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op picks" sheetId="2" state="visible" r:id="rId4"/>
    <sheet name="944 vs 615" sheetId="3" state="visible" r:id="rId5"/>
    <sheet name="All runners" sheetId="4" state="visible" r:id="rId6"/>
    <sheet name="Newmarket (Rowley)" sheetId="5" state="visible" r:id="rId7"/>
    <sheet name="Curragh" sheetId="6" state="visible" r:id="rId8"/>
    <sheet name="Haydock" sheetId="7" state="visible" r:id="rId9"/>
    <sheet name="Ripon" sheetId="8" state="visible" r:id="rId10"/>
    <sheet name="Market Rasen" sheetId="9" state="visible" r:id="rId11"/>
    <sheet name="Listowel" sheetId="10" state="visible" r:id="rId12"/>
    <sheet name="Southwell" sheetId="11" state="visible" r:id="rId13"/>
  </sheets>
  <definedNames>
    <definedName function="false" hidden="true" localSheetId="2" name="_xlnm._FilterDatabase" vbProcedure="false">'944 vs 615'!$A$1:$K$54</definedName>
    <definedName function="false" hidden="true" localSheetId="3" name="_xlnm._FilterDatabase" vbProcedure="false">'All runners'!$A$1:$T$576</definedName>
    <definedName function="false" hidden="true" localSheetId="5" name="_xlnm._FilterDatabase" vbProcedure="false">Curragh!$A$1:$T$114</definedName>
    <definedName function="false" hidden="true" localSheetId="6" name="_xlnm._FilterDatabase" vbProcedure="false">Haydock!$A$1:$T$63</definedName>
    <definedName function="false" hidden="true" localSheetId="9" name="_xlnm._FilterDatabase" vbProcedure="false">Listowel!$A$1:$T$85</definedName>
    <definedName function="false" hidden="true" localSheetId="8" name="_xlnm._FilterDatabase" vbProcedure="false">'Market Rasen'!$A$1:$T$62</definedName>
    <definedName function="false" hidden="true" localSheetId="4" name="_xlnm._FilterDatabase" vbProcedure="false">'Newmarket (Rowley)'!$A$1:$T$81</definedName>
    <definedName function="false" hidden="true" localSheetId="7" name="_xlnm._FilterDatabase" vbProcedure="false">Ripon!$A$1:$T$78</definedName>
    <definedName function="false" hidden="true" localSheetId="10" name="_xlnm._FilterDatabase" vbProcedure="false">Southwell!$A$1:$T$99</definedName>
    <definedName function="false" hidden="true" localSheetId="1" name="_xlnm._FilterDatabase" vbProcedure="false">'Top picks'!$A$1:$O$54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<sst xmlns="http://schemas.openxmlformats.org/spreadsheetml/2006/main" count="9621" uniqueCount="1273">
  <si>
    <t xml:space="preserve">Predictions for 2026-09-26</t>
  </si>
  <si>
    <t xml:space="preserve">Runners</t>
  </si>
  <si>
    <t xml:space="preserve">Races</t>
  </si>
  <si>
    <t xml:space="preserve">Meetings</t>
  </si>
  <si>
    <t xml:space="preserve">The model</t>
  </si>
  <si>
    <t xml:space="preserve">944</t>
  </si>
  <si>
    <t xml:space="preserve">Features</t>
  </si>
  <si>
    <t xml:space="preserve">Trained through</t>
  </si>
  <si>
    <t xml:space="preserve">2026-09-22</t>
  </si>
  <si>
    <t xml:space="preserve">Boosting rounds</t>
  </si>
  <si>
    <t xml:space="preserve">Target</t>
  </si>
  <si>
    <t xml:space="preserve">logit_norm_prob</t>
  </si>
  <si>
    <t xml:space="preserve">Feature code hash</t>
  </si>
  <si>
    <t xml:space="preserve">f879b10c8369467a</t>
  </si>
  <si>
    <t xml:space="preserve">How to read it</t>
  </si>
  <si>
    <t xml:space="preserve">Predicted BSP</t>
  </si>
  <si>
    <t xml:space="preserve">The model's forecast of the Betfair Starting Price, from pre-race information only. The prices in each race make a book of exactly 100%.</t>
  </si>
  <si>
    <t xml:space="preserve">Win probability</t>
  </si>
  <si>
    <t xml:space="preserve">1 / predicted BSP: the model's chance for the horse, normalised within the race.</t>
  </si>
  <si>
    <t xml:space="preserve">Model rank</t>
  </si>
  <si>
    <t xml:space="preserve">1 = the model's shortest price in the race (highlighted green).</t>
  </si>
  <si>
    <t xml:space="preserve">Card odds (HRB)</t>
  </si>
  <si>
    <t xml:space="preserve">The odds printed on the horseracebase card when it was fetched: a bookmaker forecast, not the Betfair morning price the early-price rule was tested against.</t>
  </si>
  <si>
    <t xml:space="preserve">Card odds vs model</t>
  </si>
  <si>
    <t xml:space="preserve">Card odds / predicted BSP - 1. Positive: the card is longer than the model.</t>
  </si>
  <si>
    <t xml:space="preserve">The early-price rule</t>
  </si>
  <si>
    <t xml:space="preserve">Margin (log)</t>
  </si>
  <si>
    <t xml:space="preserve">Rule: back at Betfair ≥</t>
  </si>
  <si>
    <t xml:space="preserve">Predicted BSP × e^margin: at 0.2, a Betfair price at least 1.22 times the model's (the model at least 22% shorter). The rule was fixed before it was first tested (reports/clv_betfair_2026q1.md): back at Betfair's morning volume-weighted price, where at least £100 has been matched in the morning, and close the position at BSP (lay at BSP to level the book). It is a trade on the price, not a bet held to the result. The margin (blue) is the one input: change it to see the prices at another threshold.</t>
  </si>
  <si>
    <t xml:space="preserve">Note</t>
  </si>
  <si>
    <t xml:space="preserve">The 944: the model recommended to serve from 27 Sep (reports/serving_note_2026-09-27.md), priced here by predict-now run 12 on the card fetched at 09:44 UTC (575 runners in 53 races; non-runners declared by then are out, and each race's book is 100% of those left). It is not yet the served model: the 06:00 job priced today with the 615, whose picks are on the '944 vs 615' sheet. Out of sample (Jan-Mar 2026), the 944's early-price rule returned +8.44% per trade (90% interval +7.17 to +9.82) on 4,602 trades, traded out at BSP and net of commission; its top pick traded out at BSP +1.19% (+0.44 to +1.96), and +5.18% where the rule also picks it. Held to the result, the top pick lost (-7.56% at BSP): the edge is in the price, not the result. The rule's forward test (pre-registered, from 25 Sep) has not reported yet.</t>
  </si>
  <si>
    <t xml:space="preserve">Time</t>
  </si>
  <si>
    <t xml:space="preserve">Course</t>
  </si>
  <si>
    <t xml:space="preserve">Race</t>
  </si>
  <si>
    <t xml:space="preserve">Top pick</t>
  </si>
  <si>
    <t xml:space="preserve">Jockey</t>
  </si>
  <si>
    <t xml:space="preserve">Trainer</t>
  </si>
  <si>
    <t xml:space="preserve">Second choice</t>
  </si>
  <si>
    <t xml:space="preserve">Second's BSP</t>
  </si>
  <si>
    <t xml:space="preserve">Second's probability</t>
  </si>
  <si>
    <t xml:space="preserve">Probability gap</t>
  </si>
  <si>
    <t xml:space="preserve">1:22</t>
  </si>
  <si>
    <t xml:space="preserve">Newmarket (Rowley)</t>
  </si>
  <si>
    <t xml:space="preserve">British Stallion Studs EBF Jersey Lily Fillies Nursery</t>
  </si>
  <si>
    <t xml:space="preserve">Al Samsama (IRE)</t>
  </si>
  <si>
    <t xml:space="preserve">Loughnane, Billy</t>
  </si>
  <si>
    <t xml:space="preserve">Hughes, Richard</t>
  </si>
  <si>
    <t xml:space="preserve">Next Of Kin</t>
  </si>
  <si>
    <t xml:space="preserve">1:30</t>
  </si>
  <si>
    <t xml:space="preserve">Curragh</t>
  </si>
  <si>
    <t xml:space="preserve">Market Square Monasterevin Irish European Breeders Fund Maiden</t>
  </si>
  <si>
    <t xml:space="preserve">Benown (IRE)</t>
  </si>
  <si>
    <t xml:space="preserve">Sheridan, J M</t>
  </si>
  <si>
    <t xml:space="preserve">OBrien, Joseph Patrick</t>
  </si>
  <si>
    <t xml:space="preserve">Heralds March (IRE)</t>
  </si>
  <si>
    <t xml:space="preserve">1:35</t>
  </si>
  <si>
    <t xml:space="preserve">Haydock</t>
  </si>
  <si>
    <t xml:space="preserve">William Hill Epic Boosts Handicap</t>
  </si>
  <si>
    <t xml:space="preserve">Eternal Force</t>
  </si>
  <si>
    <t xml:space="preserve">Fallon, Cieren</t>
  </si>
  <si>
    <t xml:space="preserve">Haggas, W J</t>
  </si>
  <si>
    <t xml:space="preserve">Centigrade (IRE)</t>
  </si>
  <si>
    <t xml:space="preserve">1:44</t>
  </si>
  <si>
    <t xml:space="preserve">Ripon</t>
  </si>
  <si>
    <t xml:space="preserve">Theakston Brewing Legends Since 1827 EBF Novice Stakes (GBB Race)</t>
  </si>
  <si>
    <t xml:space="preserve">Scenic Route (IRE)</t>
  </si>
  <si>
    <t xml:space="preserve">Orr, Oisin</t>
  </si>
  <si>
    <t xml:space="preserve">Fahey, R A</t>
  </si>
  <si>
    <t xml:space="preserve">Bulletsnap (IRE)</t>
  </si>
  <si>
    <t xml:space="preserve">1:55</t>
  </si>
  <si>
    <t xml:space="preserve">Tattersalls Online Royal Lodge Stakes (Group 2)</t>
  </si>
  <si>
    <t xml:space="preserve">Haffner (USA)</t>
  </si>
  <si>
    <t xml:space="preserve">Moore, Ryan</t>
  </si>
  <si>
    <t xml:space="preserve">OBrien, A P</t>
  </si>
  <si>
    <t xml:space="preserve">First Law (IRE)</t>
  </si>
  <si>
    <t xml:space="preserve">2:00</t>
  </si>
  <si>
    <t xml:space="preserve">Kwiff More Bang For Your Bet Rated Race</t>
  </si>
  <si>
    <t xml:space="preserve">Oro Blanco (IRE)</t>
  </si>
  <si>
    <t xml:space="preserve">Kennedy, K G</t>
  </si>
  <si>
    <t xml:space="preserve">Harrington, Mrs John</t>
  </si>
  <si>
    <t xml:space="preserve">Killashee Warrior</t>
  </si>
  <si>
    <t xml:space="preserve">2:10</t>
  </si>
  <si>
    <t xml:space="preserve">William Hill Best Odds Guaranteed Handicap</t>
  </si>
  <si>
    <t xml:space="preserve">Trilby</t>
  </si>
  <si>
    <t xml:space="preserve">McDonald, P J</t>
  </si>
  <si>
    <t xml:space="preserve">England, Sam</t>
  </si>
  <si>
    <t xml:space="preserve">King Of Light</t>
  </si>
  <si>
    <t xml:space="preserve">2:16</t>
  </si>
  <si>
    <t xml:space="preserve">Lloyd Landrover Ripon Nursery (GBBPlus Race)</t>
  </si>
  <si>
    <t xml:space="preserve">Aphra Behn</t>
  </si>
  <si>
    <t xml:space="preserve">Hart, Jason</t>
  </si>
  <si>
    <t xml:space="preserve">Beckett, R M</t>
  </si>
  <si>
    <t xml:space="preserve">Zarakova</t>
  </si>
  <si>
    <t xml:space="preserve">2:27</t>
  </si>
  <si>
    <t xml:space="preserve">Tattersalls Sceptre Sessions Cheveley Park Stakes (Fillies Group 1)</t>
  </si>
  <si>
    <t xml:space="preserve">Sun Goddess (IRE)</t>
  </si>
  <si>
    <t xml:space="preserve">Libertango (IRE)</t>
  </si>
  <si>
    <t xml:space="preserve">2:30</t>
  </si>
  <si>
    <t xml:space="preserve">Market Rasen</t>
  </si>
  <si>
    <t xml:space="preserve">Market Rasen Racecourse Conference &amp; Events Mares Maiden Hurdle (GBB Race)</t>
  </si>
  <si>
    <t xml:space="preserve">Elated</t>
  </si>
  <si>
    <t xml:space="preserve">Jones, Ben R</t>
  </si>
  <si>
    <t xml:space="preserve">Pauling, Ben</t>
  </si>
  <si>
    <t xml:space="preserve">No More Teardrops</t>
  </si>
  <si>
    <t xml:space="preserve">2:35</t>
  </si>
  <si>
    <t xml:space="preserve">Kwiff Supercharged Joe McGrath Handicap (Premier Handicap)</t>
  </si>
  <si>
    <t xml:space="preserve">Red Evolution (IRE)</t>
  </si>
  <si>
    <t xml:space="preserve">Holohan, Reese</t>
  </si>
  <si>
    <t xml:space="preserve">OCallaghan, M D</t>
  </si>
  <si>
    <t xml:space="preserve">Dark Ace (IRE)</t>
  </si>
  <si>
    <t xml:space="preserve">2:40</t>
  </si>
  <si>
    <t xml:space="preserve">British EBF Fillies Novice Stakes (GBB Race)</t>
  </si>
  <si>
    <t xml:space="preserve">Kaguyahime (IRE)</t>
  </si>
  <si>
    <t xml:space="preserve">Bowen, S D</t>
  </si>
  <si>
    <t xml:space="preserve">Varian, Roger</t>
  </si>
  <si>
    <t xml:space="preserve">My Girl Dee Mo (IRE)</t>
  </si>
  <si>
    <t xml:space="preserve">2:45</t>
  </si>
  <si>
    <t xml:space="preserve">Listowel</t>
  </si>
  <si>
    <t xml:space="preserve">John Lynch Memorial Maiden Hurdle</t>
  </si>
  <si>
    <t xml:space="preserve">Trubshaw</t>
  </si>
  <si>
    <t xml:space="preserve">OKeeffe, Darragh</t>
  </si>
  <si>
    <t xml:space="preserve">Bromhead, Henry De</t>
  </si>
  <si>
    <t xml:space="preserve">Blue Johnl (IRE)</t>
  </si>
  <si>
    <t xml:space="preserve">2:49</t>
  </si>
  <si>
    <t xml:space="preserve">Napoleons Casino And Restaurant Leeds Handicap</t>
  </si>
  <si>
    <t xml:space="preserve">Tiva (IRE)</t>
  </si>
  <si>
    <t xml:space="preserve">Whiteley, C J</t>
  </si>
  <si>
    <t xml:space="preserve">OMeara, D</t>
  </si>
  <si>
    <t xml:space="preserve">Mighty Magnus (IRE)</t>
  </si>
  <si>
    <t xml:space="preserve">3:00</t>
  </si>
  <si>
    <t xml:space="preserve">Tattersalls Middle Park Stakes (Group 1)</t>
  </si>
  <si>
    <t xml:space="preserve">Inner City Blues (IRE)</t>
  </si>
  <si>
    <t xml:space="preserve">Buick, William</t>
  </si>
  <si>
    <t xml:space="preserve">Appleby, Charlie</t>
  </si>
  <si>
    <t xml:space="preserve">Orthodox</t>
  </si>
  <si>
    <t xml:space="preserve">3:05</t>
  </si>
  <si>
    <t xml:space="preserve">Market Rasen Racecourse Caravan Site Juvenile Hurdle (GBB Race)</t>
  </si>
  <si>
    <t xml:space="preserve">Moment Of Light</t>
  </si>
  <si>
    <t xml:space="preserve">Skelton, Harry</t>
  </si>
  <si>
    <t xml:space="preserve">Skelton, Daniel</t>
  </si>
  <si>
    <t xml:space="preserve">Pass The Buck (IRE)</t>
  </si>
  <si>
    <t xml:space="preserve">3:10</t>
  </si>
  <si>
    <t xml:space="preserve">Churchill Tyres Beresford Stakes (Group 2)</t>
  </si>
  <si>
    <t xml:space="preserve">Noble Exhibit (IRE)</t>
  </si>
  <si>
    <t xml:space="preserve">Lordan, W M</t>
  </si>
  <si>
    <t xml:space="preserve">Shakespeare</t>
  </si>
  <si>
    <t xml:space="preserve">3:15</t>
  </si>
  <si>
    <t xml:space="preserve">Forever Our Mike Handicap</t>
  </si>
  <si>
    <t xml:space="preserve">Art Lover (IRE)</t>
  </si>
  <si>
    <t xml:space="preserve">Rousing Encore (IRE)</t>
  </si>
  <si>
    <t xml:space="preserve">3:21</t>
  </si>
  <si>
    <t xml:space="preserve">Allman Contracts Novice Hurdle</t>
  </si>
  <si>
    <t xml:space="preserve">Roc Dino (FR)</t>
  </si>
  <si>
    <t xml:space="preserve">Townend, P</t>
  </si>
  <si>
    <t xml:space="preserve">Mullins, W P</t>
  </si>
  <si>
    <t xml:space="preserve">Dad Sez (IRE)</t>
  </si>
  <si>
    <t xml:space="preserve">3:28</t>
  </si>
  <si>
    <t xml:space="preserve">Ripon Cathedral City Of The Dales Handicap</t>
  </si>
  <si>
    <t xml:space="preserve">Dark Thirty (IRE)</t>
  </si>
  <si>
    <t xml:space="preserve">Dickson, Jake</t>
  </si>
  <si>
    <t xml:space="preserve">Quinn, J J</t>
  </si>
  <si>
    <t xml:space="preserve">Trefor (IRE)</t>
  </si>
  <si>
    <t xml:space="preserve">3:40</t>
  </si>
  <si>
    <t xml:space="preserve">bet365 Cambridgeshire (Heritage Handicap)</t>
  </si>
  <si>
    <t xml:space="preserve">Gavriel</t>
  </si>
  <si>
    <t xml:space="preserve">Havlin, Robert</t>
  </si>
  <si>
    <t xml:space="preserve">Gosden, John and Thady</t>
  </si>
  <si>
    <t xml:space="preserve">Bourbon Blues</t>
  </si>
  <si>
    <t xml:space="preserve">3:45</t>
  </si>
  <si>
    <t xml:space="preserve">Izuzu Ireland Handicap</t>
  </si>
  <si>
    <t xml:space="preserve">Excellent Believe</t>
  </si>
  <si>
    <t xml:space="preserve">Keane, C T</t>
  </si>
  <si>
    <t xml:space="preserve">Thorne, Stephen</t>
  </si>
  <si>
    <t xml:space="preserve">Unique Journey (IRE)</t>
  </si>
  <si>
    <t xml:space="preserve">3:50</t>
  </si>
  <si>
    <t xml:space="preserve">Summer Plate Ladies Day 2027 On Sale Handicap Chase (GBB Race)</t>
  </si>
  <si>
    <t xml:space="preserve">Nickelforce (IRE)</t>
  </si>
  <si>
    <t xml:space="preserve">Bannister, Harry A A</t>
  </si>
  <si>
    <t xml:space="preserve">Case, B I</t>
  </si>
  <si>
    <t xml:space="preserve">Jet To Vegas (IRE)</t>
  </si>
  <si>
    <t xml:space="preserve">3:55</t>
  </si>
  <si>
    <t xml:space="preserve">M.J. Carroll ARRO Handicap Hurdle</t>
  </si>
  <si>
    <t xml:space="preserve">Livio (FR)</t>
  </si>
  <si>
    <t xml:space="preserve">Avalo (IRE)</t>
  </si>
  <si>
    <t xml:space="preserve">4:00</t>
  </si>
  <si>
    <t xml:space="preserve">William Hill Price Boosts Every Day Nursery</t>
  </si>
  <si>
    <t xml:space="preserve">Camarda Rc</t>
  </si>
  <si>
    <t xml:space="preserve">Levey, S M</t>
  </si>
  <si>
    <t xml:space="preserve">Hannon (Jnr), Richard</t>
  </si>
  <si>
    <t xml:space="preserve">Mister Whippy (USA)</t>
  </si>
  <si>
    <t xml:space="preserve">4:05</t>
  </si>
  <si>
    <t xml:space="preserve">Michael Raby Memorial Handicap (Div 1)</t>
  </si>
  <si>
    <t xml:space="preserve">Good Karma</t>
  </si>
  <si>
    <t xml:space="preserve">Tindall, Ethan</t>
  </si>
  <si>
    <t xml:space="preserve">Riches, John</t>
  </si>
  <si>
    <t xml:space="preserve">Showtime Mahomes</t>
  </si>
  <si>
    <t xml:space="preserve">4:10</t>
  </si>
  <si>
    <t xml:space="preserve">Southwell</t>
  </si>
  <si>
    <t xml:space="preserve">Gents Night Sat 24th October Handicap</t>
  </si>
  <si>
    <t xml:space="preserve">Mimime (IRE)</t>
  </si>
  <si>
    <t xml:space="preserve">Vigors, Harry</t>
  </si>
  <si>
    <t xml:space="preserve">Appleby, M</t>
  </si>
  <si>
    <t xml:space="preserve">Lets Go Hugo (IRE)</t>
  </si>
  <si>
    <t xml:space="preserve">4:15</t>
  </si>
  <si>
    <t xml:space="preserve">Blandford Bloodstock 25th Anniversary EBF Maiden Fillies Stakes (GBB Race)</t>
  </si>
  <si>
    <t xml:space="preserve">Ruby Sands</t>
  </si>
  <si>
    <t xml:space="preserve">Marquand, Tom</t>
  </si>
  <si>
    <t xml:space="preserve">Sangster, Ollie</t>
  </si>
  <si>
    <t xml:space="preserve">Ozone Friendly</t>
  </si>
  <si>
    <t xml:space="preserve">4:20</t>
  </si>
  <si>
    <t xml:space="preserve">Goffs Million</t>
  </si>
  <si>
    <t xml:space="preserve">Trean (IRE)</t>
  </si>
  <si>
    <t xml:space="preserve">Lee, W J</t>
  </si>
  <si>
    <t xml:space="preserve">Twomey, P</t>
  </si>
  <si>
    <t xml:space="preserve">Green Dreamer (IRE)</t>
  </si>
  <si>
    <t xml:space="preserve">4:25</t>
  </si>
  <si>
    <t xml:space="preserve">Dine In Altiors Restaurant Handicap Chase</t>
  </si>
  <si>
    <t xml:space="preserve">Galway Reel (IRE)</t>
  </si>
  <si>
    <t xml:space="preserve">Bowen, Sean P</t>
  </si>
  <si>
    <t xml:space="preserve">Murphy, Olly</t>
  </si>
  <si>
    <t xml:space="preserve">Huckleberry Sting</t>
  </si>
  <si>
    <t xml:space="preserve">4:30</t>
  </si>
  <si>
    <t xml:space="preserve">Kathleen Walsh Memorial Handicap Hurdle (0-100)</t>
  </si>
  <si>
    <t xml:space="preserve">Liberated Light (IRE)</t>
  </si>
  <si>
    <t xml:space="preserve">Gleeson, Mr J L</t>
  </si>
  <si>
    <t xml:space="preserve">Kiely, J E and Thomas</t>
  </si>
  <si>
    <t xml:space="preserve">Ladiam (IRE)</t>
  </si>
  <si>
    <t xml:space="preserve">4:35</t>
  </si>
  <si>
    <t xml:space="preserve">J&amp;P Civil Engineering British EBF Maiden Stakes</t>
  </si>
  <si>
    <t xml:space="preserve">Impasto</t>
  </si>
  <si>
    <t xml:space="preserve">Balding, A M</t>
  </si>
  <si>
    <t xml:space="preserve">Royal Acclamation</t>
  </si>
  <si>
    <t xml:space="preserve">4:40</t>
  </si>
  <si>
    <t xml:space="preserve">Michael Raby Memorial Handicap (Div 2)</t>
  </si>
  <si>
    <t xml:space="preserve">Valentine Catcher</t>
  </si>
  <si>
    <t xml:space="preserve">Allan, David</t>
  </si>
  <si>
    <t xml:space="preserve">Easterby, T D</t>
  </si>
  <si>
    <t xml:space="preserve">Kings Merchant</t>
  </si>
  <si>
    <t xml:space="preserve">4:45</t>
  </si>
  <si>
    <t xml:space="preserve">Dance Through The Decades Christmas Parties EBF Restricted Maiden Fillies Stakes (GBB Race)</t>
  </si>
  <si>
    <t xml:space="preserve">Romotoso</t>
  </si>
  <si>
    <t xml:space="preserve">Knight, W J</t>
  </si>
  <si>
    <t xml:space="preserve">Inglewood</t>
  </si>
  <si>
    <t xml:space="preserve">4:50</t>
  </si>
  <si>
    <t xml:space="preserve">Hunt Family Fund Handicap</t>
  </si>
  <si>
    <t xml:space="preserve">Addison Grey</t>
  </si>
  <si>
    <t xml:space="preserve">Ryan, Rossa</t>
  </si>
  <si>
    <t xml:space="preserve">Cox, C G</t>
  </si>
  <si>
    <t xml:space="preserve">The Fingal Raven (IRE)</t>
  </si>
  <si>
    <t xml:space="preserve">4:55</t>
  </si>
  <si>
    <t xml:space="preserve">Gra Chocolates Maiden</t>
  </si>
  <si>
    <t xml:space="preserve">Almazann (IRE)</t>
  </si>
  <si>
    <t xml:space="preserve">Hayes, C D</t>
  </si>
  <si>
    <t xml:space="preserve">Weld, D K</t>
  </si>
  <si>
    <t xml:space="preserve">State Of Wyoming (IRE)</t>
  </si>
  <si>
    <t xml:space="preserve">5:00</t>
  </si>
  <si>
    <t xml:space="preserve">10 Pound County Racedays Handicap Hurdle</t>
  </si>
  <si>
    <t xml:space="preserve">Woodstock City</t>
  </si>
  <si>
    <t xml:space="preserve">Buxted Reel (IRE)</t>
  </si>
  <si>
    <t xml:space="preserve">5:05</t>
  </si>
  <si>
    <t xml:space="preserve">Charlie Chute Memorial Handicap Chase</t>
  </si>
  <si>
    <t xml:space="preserve">A Penny A Hundred (FR)</t>
  </si>
  <si>
    <t xml:space="preserve">Pinot Gris (IRE)</t>
  </si>
  <si>
    <t xml:space="preserve">5:10</t>
  </si>
  <si>
    <t xml:space="preserve">William Hill Daily Winnings Boost Handicap (GBBPlus Race)</t>
  </si>
  <si>
    <t xml:space="preserve">Alther Walden (HUN)</t>
  </si>
  <si>
    <t xml:space="preserve">Rodriguez, Callum</t>
  </si>
  <si>
    <t xml:space="preserve">Scott, George</t>
  </si>
  <si>
    <t xml:space="preserve">Sharp Move (IRE)</t>
  </si>
  <si>
    <t xml:space="preserve">5:15</t>
  </si>
  <si>
    <t xml:space="preserve">Jozef White Last Day Of Freedom Novice Stakes (GBB/GBBPlus Race)</t>
  </si>
  <si>
    <t xml:space="preserve">Walking On Stars (IRE)</t>
  </si>
  <si>
    <t xml:space="preserve">Morris, Luke</t>
  </si>
  <si>
    <t xml:space="preserve">Prescott, Sir Mark</t>
  </si>
  <si>
    <t xml:space="preserve">Koala Rose (IRE)</t>
  </si>
  <si>
    <t xml:space="preserve">5:20</t>
  </si>
  <si>
    <t xml:space="preserve">Celebrate With Sponsorship At Southwell Racecourse Handicap (Div 1)</t>
  </si>
  <si>
    <t xml:space="preserve">Elyam</t>
  </si>
  <si>
    <t xml:space="preserve">Keenan, Darragh</t>
  </si>
  <si>
    <t xml:space="preserve">Herrington,M</t>
  </si>
  <si>
    <t xml:space="preserve">Ziggys Triton (IRE)</t>
  </si>
  <si>
    <t xml:space="preserve">5:25</t>
  </si>
  <si>
    <t xml:space="preserve">Equiwinner Patches Fillies Maiden</t>
  </si>
  <si>
    <t xml:space="preserve">Sunatia (FR)</t>
  </si>
  <si>
    <t xml:space="preserve">Together Now (USA)</t>
  </si>
  <si>
    <t xml:space="preserve">5:30</t>
  </si>
  <si>
    <t xml:space="preserve">Block Free Services Lincoln Handicap Hurdle (GBB Race)</t>
  </si>
  <si>
    <t xml:space="preserve">Un Sens A La Vie (FR)</t>
  </si>
  <si>
    <t xml:space="preserve">Twiston-Davies, Sam</t>
  </si>
  <si>
    <t xml:space="preserve">Twiston-Davies, N A</t>
  </si>
  <si>
    <t xml:space="preserve">Edelak (IRE)</t>
  </si>
  <si>
    <t xml:space="preserve">5:35</t>
  </si>
  <si>
    <t xml:space="preserve">John &amp; Terry Moriarty Memorial (Q.R.) Handicap Chase</t>
  </si>
  <si>
    <t xml:space="preserve">Justatan (FR)</t>
  </si>
  <si>
    <t xml:space="preserve">Stone, B T</t>
  </si>
  <si>
    <t xml:space="preserve">Mullins, Emmet</t>
  </si>
  <si>
    <t xml:space="preserve">Illtakehimmyself (IRE)</t>
  </si>
  <si>
    <t xml:space="preserve">5:45</t>
  </si>
  <si>
    <t xml:space="preserve">Thank You To Our Groundstaff Handicap (GBBPlus Race)</t>
  </si>
  <si>
    <t xml:space="preserve">Talismans Time</t>
  </si>
  <si>
    <t xml:space="preserve">Beasley, Connor</t>
  </si>
  <si>
    <t xml:space="preserve">Bethell, Ed</t>
  </si>
  <si>
    <t xml:space="preserve">Zimmerman</t>
  </si>
  <si>
    <t xml:space="preserve">5:55</t>
  </si>
  <si>
    <t xml:space="preserve">Celebrate With Sponsorship At Southwell Racecourse Handicap (Div 2)</t>
  </si>
  <si>
    <t xml:space="preserve">Hypnotised</t>
  </si>
  <si>
    <t xml:space="preserve">Muscutt, D</t>
  </si>
  <si>
    <t xml:space="preserve">Charlton, Roger/Harry</t>
  </si>
  <si>
    <t xml:space="preserve">Canons House</t>
  </si>
  <si>
    <t xml:space="preserve">6:00</t>
  </si>
  <si>
    <t xml:space="preserve">Agriculture Raceday Returns On 12th November Handicap Hurdle</t>
  </si>
  <si>
    <t xml:space="preserve">Traveling Soldier (IRE)</t>
  </si>
  <si>
    <t xml:space="preserve">Electric Eddy</t>
  </si>
  <si>
    <t xml:space="preserve">6:05</t>
  </si>
  <si>
    <t xml:space="preserve">Listowel Printing Works Slan Abhaile (Pro/Am) Flat Race</t>
  </si>
  <si>
    <t xml:space="preserve">Iron Sword (FR)</t>
  </si>
  <si>
    <t xml:space="preserve">Ryan, Mr A P</t>
  </si>
  <si>
    <t xml:space="preserve">Slattery, Andrew</t>
  </si>
  <si>
    <t xml:space="preserve">Game Shadow (IRE)</t>
  </si>
  <si>
    <t xml:space="preserve">6:30</t>
  </si>
  <si>
    <t xml:space="preserve">Tipsy Tapas At Winter Ladies Evening Handicap</t>
  </si>
  <si>
    <t xml:space="preserve">Madjid</t>
  </si>
  <si>
    <t xml:space="preserve">Patrol (IRE)</t>
  </si>
  <si>
    <t xml:space="preserve">7:00</t>
  </si>
  <si>
    <t xml:space="preserve">3rd And 10th Oktoberfest Race Nights Maiden Stakes (GBB/GBBPlus Race)</t>
  </si>
  <si>
    <t xml:space="preserve">Pyramid</t>
  </si>
  <si>
    <t xml:space="preserve">Sayette, B D L</t>
  </si>
  <si>
    <t xml:space="preserve">Kashooda</t>
  </si>
  <si>
    <t xml:space="preserve">7:30</t>
  </si>
  <si>
    <t xml:space="preserve">Book The Bistro In Seasons Restaurant Apprentice Handicap</t>
  </si>
  <si>
    <t xml:space="preserve">Gladiadora (IRE)</t>
  </si>
  <si>
    <t xml:space="preserve">Wright, Liam</t>
  </si>
  <si>
    <t xml:space="preserve">Clover, Charlie</t>
  </si>
  <si>
    <t xml:space="preserve">Avatar Jet (IRE)</t>
  </si>
  <si>
    <t xml:space="preserve">8:00</t>
  </si>
  <si>
    <t xml:space="preserve">Festive Fixtures At Southwell Racecourse Handicap</t>
  </si>
  <si>
    <t xml:space="preserve">Justice Court (IRE)</t>
  </si>
  <si>
    <t xml:space="preserve">Carver, William</t>
  </si>
  <si>
    <t xml:space="preserve">Osborne, J A</t>
  </si>
  <si>
    <t xml:space="preserve">Caragio (IRE)</t>
  </si>
  <si>
    <t xml:space="preserve">8:30</t>
  </si>
  <si>
    <t xml:space="preserve">Golf &amp; Gallop Southwell Golf Club Handicap</t>
  </si>
  <si>
    <t xml:space="preserve">Massimo Blue</t>
  </si>
  <si>
    <t xml:space="preserve">Callan, Jack</t>
  </si>
  <si>
    <t xml:space="preserve">Cunha, Dylan</t>
  </si>
  <si>
    <t xml:space="preserve">Ormolulu (IRE)</t>
  </si>
  <si>
    <t xml:space="preserve">Runners (now)</t>
  </si>
  <si>
    <t xml:space="preserve">944 top pick</t>
  </si>
  <si>
    <t xml:space="preserve">944 BSP</t>
  </si>
  <si>
    <t xml:space="preserve">Its 615 BSP</t>
  </si>
  <si>
    <t xml:space="preserve">615 top pick (runners still declared)</t>
  </si>
  <si>
    <t xml:space="preserve">615 BSP</t>
  </si>
  <si>
    <t xml:space="preserve">Same pick?</t>
  </si>
  <si>
    <t xml:space="preserve">944 vs 615 on the 944's pick</t>
  </si>
  <si>
    <t xml:space="preserve">Lewis Carroll (IRE)</t>
  </si>
  <si>
    <t xml:space="preserve">Protest Rally (IRE)</t>
  </si>
  <si>
    <t xml:space="preserve">Races with the same top pick</t>
  </si>
  <si>
    <t xml:space="preserve">The 615's prices are this morning's 06:00 record (Daily Predictions run 197, the forward test's file); the 944's are from the card fetched at 09:44 UTC, so a race that lost a runner since 06:00 is priced on the smaller field.</t>
  </si>
  <si>
    <t xml:space="preserve">Class</t>
  </si>
  <si>
    <t xml:space="preserve">Furlongs</t>
  </si>
  <si>
    <t xml:space="preserve">Going</t>
  </si>
  <si>
    <t xml:space="preserve">Horse</t>
  </si>
  <si>
    <t xml:space="preserve">Draw</t>
  </si>
  <si>
    <t xml:space="preserve">OR</t>
  </si>
  <si>
    <t xml:space="preserve">Age</t>
  </si>
  <si>
    <t xml:space="preserve">Days since run</t>
  </si>
  <si>
    <t xml:space="preserve">Class 2</t>
  </si>
  <si>
    <t xml:space="preserve">Good To Firm</t>
  </si>
  <si>
    <t xml:space="preserve">Zephyra</t>
  </si>
  <si>
    <t xml:space="preserve">Murphy, Oisin</t>
  </si>
  <si>
    <t xml:space="preserve">Botti, M</t>
  </si>
  <si>
    <t xml:space="preserve">Marsala (IRE)</t>
  </si>
  <si>
    <t xml:space="preserve">Fire Thunder (IRE)</t>
  </si>
  <si>
    <t xml:space="preserve">Sousa, Silvestre De</t>
  </si>
  <si>
    <t xml:space="preserve">Bymiddaytomorrow (IRE)</t>
  </si>
  <si>
    <t xml:space="preserve">Lee, Clifford</t>
  </si>
  <si>
    <t xml:space="preserve">Walker, Ed</t>
  </si>
  <si>
    <t xml:space="preserve">Polyxena (IRE)</t>
  </si>
  <si>
    <t xml:space="preserve">Ghiani, Marco</t>
  </si>
  <si>
    <t xml:space="preserve">Williams, S C</t>
  </si>
  <si>
    <t xml:space="preserve">Tansy Lane</t>
  </si>
  <si>
    <t xml:space="preserve">Owen, J P</t>
  </si>
  <si>
    <t xml:space="preserve">Kiah (IRE)</t>
  </si>
  <si>
    <t xml:space="preserve">Egan, David</t>
  </si>
  <si>
    <t xml:space="preserve">Meehan, B J</t>
  </si>
  <si>
    <t xml:space="preserve">Tie A Navyribbon</t>
  </si>
  <si>
    <t xml:space="preserve">Gordon, Josephine</t>
  </si>
  <si>
    <t xml:space="preserve">Stone, W B</t>
  </si>
  <si>
    <t xml:space="preserve">Good</t>
  </si>
  <si>
    <t xml:space="preserve">Lyons, G M</t>
  </si>
  <si>
    <t xml:space="preserve">Controlla (IRE)</t>
  </si>
  <si>
    <t xml:space="preserve">OConnor, Donagh</t>
  </si>
  <si>
    <t xml:space="preserve">Aguiar, Robson</t>
  </si>
  <si>
    <t xml:space="preserve">Jungle Wise (IRE)</t>
  </si>
  <si>
    <t xml:space="preserve">Coen, Ben M</t>
  </si>
  <si>
    <t xml:space="preserve">Murphy, Daniel</t>
  </si>
  <si>
    <t xml:space="preserve">Shake It Out</t>
  </si>
  <si>
    <t xml:space="preserve">Whelan, R P</t>
  </si>
  <si>
    <t xml:space="preserve">Cotter, Kieran P</t>
  </si>
  <si>
    <t xml:space="preserve">Moon Gypsy (IRE)</t>
  </si>
  <si>
    <t xml:space="preserve">Mulligan, R M</t>
  </si>
  <si>
    <t xml:space="preserve">Burns, J G</t>
  </si>
  <si>
    <t xml:space="preserve">Katty (IRE)</t>
  </si>
  <si>
    <t xml:space="preserve">Heffernan, J A</t>
  </si>
  <si>
    <t xml:space="preserve">Sexton, Adrian</t>
  </si>
  <si>
    <t xml:space="preserve">Royal Sovereign (IRE)</t>
  </si>
  <si>
    <t xml:space="preserve">Joyce, Wesley</t>
  </si>
  <si>
    <t xml:space="preserve">Mulvany, Michael</t>
  </si>
  <si>
    <t xml:space="preserve">Starlit (IRE)</t>
  </si>
  <si>
    <t xml:space="preserve">Champion Basma (IRE)</t>
  </si>
  <si>
    <t xml:space="preserve">ONeill, E J</t>
  </si>
  <si>
    <t xml:space="preserve">Fen Phasee (IRE)</t>
  </si>
  <si>
    <t xml:space="preserve">Cleary, R P</t>
  </si>
  <si>
    <t xml:space="preserve">Davis, Sean</t>
  </si>
  <si>
    <t xml:space="preserve">Ar Son Na Cuise (IRE)</t>
  </si>
  <si>
    <t xml:space="preserve">McDonogh, D P</t>
  </si>
  <si>
    <t xml:space="preserve">Brageiro (IRE)</t>
  </si>
  <si>
    <t xml:space="preserve">McAteer, L T</t>
  </si>
  <si>
    <t xml:space="preserve">OSullivan, Ross</t>
  </si>
  <si>
    <t xml:space="preserve">Heavy</t>
  </si>
  <si>
    <t xml:space="preserve">Crouch, Hector</t>
  </si>
  <si>
    <t xml:space="preserve">Looka (USA)</t>
  </si>
  <si>
    <t xml:space="preserve">Cerulean Bay (IRE)</t>
  </si>
  <si>
    <t xml:space="preserve">Tudhope, Daniel</t>
  </si>
  <si>
    <t xml:space="preserve">Arctic Thunder (IRE)</t>
  </si>
  <si>
    <t xml:space="preserve">Lewis, Ashley</t>
  </si>
  <si>
    <t xml:space="preserve">Godwinson</t>
  </si>
  <si>
    <t xml:space="preserve">Probert, David</t>
  </si>
  <si>
    <t xml:space="preserve">Channon, Jack</t>
  </si>
  <si>
    <t xml:space="preserve">Mister Winston</t>
  </si>
  <si>
    <t xml:space="preserve">Commanders Intent (FR)</t>
  </si>
  <si>
    <t xml:space="preserve">Desperate Dan (IRE)</t>
  </si>
  <si>
    <t xml:space="preserve">Wood, George</t>
  </si>
  <si>
    <t xml:space="preserve">Chapple-Hyam, P W</t>
  </si>
  <si>
    <t xml:space="preserve">Checkandchallenge</t>
  </si>
  <si>
    <t xml:space="preserve">Shepherd, Callum</t>
  </si>
  <si>
    <t xml:space="preserve">Class 4</t>
  </si>
  <si>
    <t xml:space="preserve">Time To Play (IRE)</t>
  </si>
  <si>
    <t xml:space="preserve">Mulrennan, Paul</t>
  </si>
  <si>
    <t xml:space="preserve">Burke, K R</t>
  </si>
  <si>
    <t xml:space="preserve">Alfa Hoodini (IRE)</t>
  </si>
  <si>
    <t xml:space="preserve">Nolan, D</t>
  </si>
  <si>
    <t xml:space="preserve">Furtado, Ivan</t>
  </si>
  <si>
    <t xml:space="preserve">Commander Keith (IRE)</t>
  </si>
  <si>
    <t xml:space="preserve">Stammers, Oliver</t>
  </si>
  <si>
    <t xml:space="preserve">Frost, Kevin</t>
  </si>
  <si>
    <t xml:space="preserve">Jeans Tipple (FR)</t>
  </si>
  <si>
    <t xml:space="preserve">Kirby, P A</t>
  </si>
  <si>
    <t xml:space="preserve">Cracking Toast</t>
  </si>
  <si>
    <t xml:space="preserve">Sexton, Ryan</t>
  </si>
  <si>
    <t xml:space="preserve">Hanmer, G D</t>
  </si>
  <si>
    <t xml:space="preserve">Harry Akoya</t>
  </si>
  <si>
    <t xml:space="preserve">McManoman, Faye</t>
  </si>
  <si>
    <t xml:space="preserve">Tinkler, N</t>
  </si>
  <si>
    <t xml:space="preserve">Ubettanotblink</t>
  </si>
  <si>
    <t xml:space="preserve">Eaves, Tom</t>
  </si>
  <si>
    <t xml:space="preserve">Lidster, Craig</t>
  </si>
  <si>
    <t xml:space="preserve">Quest For Stars (FR)</t>
  </si>
  <si>
    <t xml:space="preserve">Burning Up</t>
  </si>
  <si>
    <t xml:space="preserve">Quicken Away (USA)</t>
  </si>
  <si>
    <t xml:space="preserve">Rocket Boy (IRE)</t>
  </si>
  <si>
    <t xml:space="preserve">Iwasjustsaying</t>
  </si>
  <si>
    <t xml:space="preserve">Mitchell, Jack</t>
  </si>
  <si>
    <t xml:space="preserve">Johnston, Charlie</t>
  </si>
  <si>
    <t xml:space="preserve">Harty, Edward and Patrick</t>
  </si>
  <si>
    <t xml:space="preserve">Invincible Will (IRE)</t>
  </si>
  <si>
    <t xml:space="preserve">Carroll, G F</t>
  </si>
  <si>
    <t xml:space="preserve">Cromwell, Gavin Patrick</t>
  </si>
  <si>
    <t xml:space="preserve">Chapel Lane (IRE)</t>
  </si>
  <si>
    <t xml:space="preserve">McCreery, W</t>
  </si>
  <si>
    <t xml:space="preserve">Mumhan (IRE)</t>
  </si>
  <si>
    <t xml:space="preserve">Bolger, J S</t>
  </si>
  <si>
    <t xml:space="preserve">Unauthorized (IRE)</t>
  </si>
  <si>
    <t xml:space="preserve">Melia, Aidan</t>
  </si>
  <si>
    <t xml:space="preserve">Kindergarten (IRE)</t>
  </si>
  <si>
    <t xml:space="preserve">McCullagh, Scott</t>
  </si>
  <si>
    <t xml:space="preserve">Lohoobb</t>
  </si>
  <si>
    <t xml:space="preserve">McCullagh, N G</t>
  </si>
  <si>
    <t xml:space="preserve">Grassick, M C</t>
  </si>
  <si>
    <t xml:space="preserve">Ancient State (IRE)</t>
  </si>
  <si>
    <t xml:space="preserve">Kirby, Adam</t>
  </si>
  <si>
    <t xml:space="preserve">Hucklesbrook</t>
  </si>
  <si>
    <t xml:space="preserve">Mason, Joanna</t>
  </si>
  <si>
    <t xml:space="preserve">Teal, R A</t>
  </si>
  <si>
    <t xml:space="preserve">Boston Dan (IRE)</t>
  </si>
  <si>
    <t xml:space="preserve">Kirrane, Sean</t>
  </si>
  <si>
    <t xml:space="preserve">Fandom</t>
  </si>
  <si>
    <t xml:space="preserve">Elara May</t>
  </si>
  <si>
    <t xml:space="preserve">McBride, P J</t>
  </si>
  <si>
    <t xml:space="preserve">Stargazed</t>
  </si>
  <si>
    <t xml:space="preserve">James, S H</t>
  </si>
  <si>
    <t xml:space="preserve">Roach Power (IRE)</t>
  </si>
  <si>
    <t xml:space="preserve">Egan, John</t>
  </si>
  <si>
    <t xml:space="preserve">Wigham, M</t>
  </si>
  <si>
    <t xml:space="preserve">Jel Pepper (IRE)</t>
  </si>
  <si>
    <t xml:space="preserve">Jamin, Pierre-Louis</t>
  </si>
  <si>
    <t xml:space="preserve">Rawlinson, Ali</t>
  </si>
  <si>
    <t xml:space="preserve">Forest Berry</t>
  </si>
  <si>
    <t xml:space="preserve">Palace Legacy</t>
  </si>
  <si>
    <t xml:space="preserve">Tate, James</t>
  </si>
  <si>
    <t xml:space="preserve">Statten Island (IRE)</t>
  </si>
  <si>
    <t xml:space="preserve">Ryan, K A</t>
  </si>
  <si>
    <t xml:space="preserve">Cash Cove (IRE)</t>
  </si>
  <si>
    <t xml:space="preserve">Scott, Rowan</t>
  </si>
  <si>
    <t xml:space="preserve">Boughey, George</t>
  </si>
  <si>
    <t xml:space="preserve">Senorita Bonita (IRE)</t>
  </si>
  <si>
    <t xml:space="preserve">Crisford, Simon</t>
  </si>
  <si>
    <t xml:space="preserve">Alwaysanangel (IRE)</t>
  </si>
  <si>
    <t xml:space="preserve">Moonrise (IRE)</t>
  </si>
  <si>
    <t xml:space="preserve">Snowing (IRE)</t>
  </si>
  <si>
    <t xml:space="preserve">Sheehan, Gavin</t>
  </si>
  <si>
    <t xml:space="preserve">Snowden, Jamie</t>
  </si>
  <si>
    <t xml:space="preserve">Poets Pearl (IRE)</t>
  </si>
  <si>
    <t xml:space="preserve">OBrien, P V</t>
  </si>
  <si>
    <t xml:space="preserve">Derham, Harry</t>
  </si>
  <si>
    <t xml:space="preserve">Adba (FR)</t>
  </si>
  <si>
    <t xml:space="preserve">Kimber, Harry</t>
  </si>
  <si>
    <t xml:space="preserve">Bramley, Faye</t>
  </si>
  <si>
    <t xml:space="preserve">Mighty Dink</t>
  </si>
  <si>
    <t xml:space="preserve">Georgies Lady (IRE)</t>
  </si>
  <si>
    <t xml:space="preserve">Todd, C J</t>
  </si>
  <si>
    <t xml:space="preserve">Dennis, David</t>
  </si>
  <si>
    <t xml:space="preserve">Chloes Courage</t>
  </si>
  <si>
    <t xml:space="preserve">Noonan, David G</t>
  </si>
  <si>
    <t xml:space="preserve">Ryan, J</t>
  </si>
  <si>
    <t xml:space="preserve">Lara K (IRE)</t>
  </si>
  <si>
    <t xml:space="preserve">Ring, C V</t>
  </si>
  <si>
    <t xml:space="preserve">Williams, Mrs C</t>
  </si>
  <si>
    <t xml:space="preserve">Sweet Cicely</t>
  </si>
  <si>
    <t xml:space="preserve">Maggs, Charlie</t>
  </si>
  <si>
    <t xml:space="preserve">Sowersby, M E</t>
  </si>
  <si>
    <t xml:space="preserve">Caffrey, Adam</t>
  </si>
  <si>
    <t xml:space="preserve">McGuinness, Adrian</t>
  </si>
  <si>
    <t xml:space="preserve">Moltophino (IRE)</t>
  </si>
  <si>
    <t xml:space="preserve">Kinsella, J A</t>
  </si>
  <si>
    <t xml:space="preserve">Namiid (IRE)</t>
  </si>
  <si>
    <t xml:space="preserve">Murtagh, J P</t>
  </si>
  <si>
    <t xml:space="preserve">Keke</t>
  </si>
  <si>
    <t xml:space="preserve">Lynam, Edward</t>
  </si>
  <si>
    <t xml:space="preserve">Amerilis</t>
  </si>
  <si>
    <t xml:space="preserve">Burns, Nicola</t>
  </si>
  <si>
    <t xml:space="preserve">Scott, Gillian</t>
  </si>
  <si>
    <t xml:space="preserve">Gazelle Dor (IRE)</t>
  </si>
  <si>
    <t xml:space="preserve">Erosandpsyche (IRE)</t>
  </si>
  <si>
    <t xml:space="preserve">Kendall Roy</t>
  </si>
  <si>
    <t xml:space="preserve">McGivern, Miss</t>
  </si>
  <si>
    <t xml:space="preserve">Stag Night (IRE)</t>
  </si>
  <si>
    <t xml:space="preserve">Cuban Grey</t>
  </si>
  <si>
    <t xml:space="preserve">McKenna, P J</t>
  </si>
  <si>
    <t xml:space="preserve">The Highway Rat (IRE)</t>
  </si>
  <si>
    <t xml:space="preserve">Oliver, Andrew</t>
  </si>
  <si>
    <t xml:space="preserve">Buddy Batt (IRE)</t>
  </si>
  <si>
    <t xml:space="preserve">Collins, Tracey</t>
  </si>
  <si>
    <t xml:space="preserve">Cardiff By The Sea (IRE)</t>
  </si>
  <si>
    <t xml:space="preserve">Pietropaolo, J</t>
  </si>
  <si>
    <t xml:space="preserve">Stack, J A</t>
  </si>
  <si>
    <t xml:space="preserve">Rosie Frith (IRE)</t>
  </si>
  <si>
    <t xml:space="preserve">Kearney, J</t>
  </si>
  <si>
    <t xml:space="preserve">Magee, Patrick</t>
  </si>
  <si>
    <t xml:space="preserve">Harrys Hill</t>
  </si>
  <si>
    <t xml:space="preserve">Wallace, S A</t>
  </si>
  <si>
    <t xml:space="preserve">Hassett, Martin</t>
  </si>
  <si>
    <t xml:space="preserve">Sommelier</t>
  </si>
  <si>
    <t xml:space="preserve">Crosse, Nathan</t>
  </si>
  <si>
    <t xml:space="preserve">Bounty (IRE)</t>
  </si>
  <si>
    <t xml:space="preserve">Ryan, J J G</t>
  </si>
  <si>
    <t xml:space="preserve">Frescobaldi (IRE)</t>
  </si>
  <si>
    <t xml:space="preserve">Casey, T</t>
  </si>
  <si>
    <t xml:space="preserve">Heddon Street (IRE)</t>
  </si>
  <si>
    <t xml:space="preserve">Flynn, Leonard</t>
  </si>
  <si>
    <t xml:space="preserve">Class 3</t>
  </si>
  <si>
    <t xml:space="preserve">Palmer, Hugo</t>
  </si>
  <si>
    <t xml:space="preserve">Shes Got A Way (IRE)</t>
  </si>
  <si>
    <t xml:space="preserve">Perfect Gal (IRE)</t>
  </si>
  <si>
    <t xml:space="preserve">Menzies, Rebecca</t>
  </si>
  <si>
    <t xml:space="preserve">Woollahra (IRE)</t>
  </si>
  <si>
    <t xml:space="preserve">Morland, Jack</t>
  </si>
  <si>
    <t xml:space="preserve">Hotterthanjuly (IRE)</t>
  </si>
  <si>
    <t xml:space="preserve">Miss Faithfull (IRE)</t>
  </si>
  <si>
    <t xml:space="preserve">Bradley, Paddy</t>
  </si>
  <si>
    <t xml:space="preserve">Fellowes, Charlie</t>
  </si>
  <si>
    <t xml:space="preserve">Shabby</t>
  </si>
  <si>
    <t xml:space="preserve">Bell, M L W</t>
  </si>
  <si>
    <t xml:space="preserve">Zirconic</t>
  </si>
  <si>
    <t xml:space="preserve">Slevin, J J</t>
  </si>
  <si>
    <t xml:space="preserve">Ryan, John Patrick</t>
  </si>
  <si>
    <t xml:space="preserve">Local Resident (IRE)</t>
  </si>
  <si>
    <t xml:space="preserve">Gilligan, D J</t>
  </si>
  <si>
    <t xml:space="preserve">Collins, C M</t>
  </si>
  <si>
    <t xml:space="preserve">Little An Often (IRE)</t>
  </si>
  <si>
    <t xml:space="preserve">OConnor, Thomas</t>
  </si>
  <si>
    <t xml:space="preserve">Fahey, Mark</t>
  </si>
  <si>
    <t xml:space="preserve">Parisian Dream (IRE)</t>
  </si>
  <si>
    <t xml:space="preserve">Markey, S R</t>
  </si>
  <si>
    <t xml:space="preserve">Je Suis Celebre</t>
  </si>
  <si>
    <t xml:space="preserve">King, D</t>
  </si>
  <si>
    <t xml:space="preserve">McCarthy, Eoin Christopher</t>
  </si>
  <si>
    <t xml:space="preserve">The Two Marys (IRE)</t>
  </si>
  <si>
    <t xml:space="preserve">Sexton, Harry</t>
  </si>
  <si>
    <t xml:space="preserve">Hanlon, John Joseph</t>
  </si>
  <si>
    <t xml:space="preserve">Lennora (IRE)</t>
  </si>
  <si>
    <t xml:space="preserve">Meyler, D</t>
  </si>
  <si>
    <t xml:space="preserve">OLeary, Daniel Joseph</t>
  </si>
  <si>
    <t xml:space="preserve">Hidden Hurricane (IRE)</t>
  </si>
  <si>
    <t xml:space="preserve">Burke-Ott, Luke</t>
  </si>
  <si>
    <t xml:space="preserve">Ott, Alexander</t>
  </si>
  <si>
    <t xml:space="preserve">Devine Genius (FR)</t>
  </si>
  <si>
    <t xml:space="preserve">Fitzgerald, Shane</t>
  </si>
  <si>
    <t xml:space="preserve">Morrison, J</t>
  </si>
  <si>
    <t xml:space="preserve">You Lift Me Up (IRE)</t>
  </si>
  <si>
    <t xml:space="preserve">OCallaghan, Shane</t>
  </si>
  <si>
    <t xml:space="preserve">Rothwell, P J</t>
  </si>
  <si>
    <t xml:space="preserve">Out West (IRE)</t>
  </si>
  <si>
    <t xml:space="preserve">Healy, Kevin</t>
  </si>
  <si>
    <t xml:space="preserve">Obrien, Daniel</t>
  </si>
  <si>
    <t xml:space="preserve">Dods, M</t>
  </si>
  <si>
    <t xml:space="preserve">Equity Law</t>
  </si>
  <si>
    <t xml:space="preserve">Hiya Maite</t>
  </si>
  <si>
    <t xml:space="preserve">Gilligan, Jack</t>
  </si>
  <si>
    <t xml:space="preserve">Bowring, S R</t>
  </si>
  <si>
    <t xml:space="preserve">Kinetic Force</t>
  </si>
  <si>
    <t xml:space="preserve">Carr, Mrs R A</t>
  </si>
  <si>
    <t xml:space="preserve">Accrual</t>
  </si>
  <si>
    <t xml:space="preserve">Pyle, William</t>
  </si>
  <si>
    <t xml:space="preserve">Emerald Harmony (IRE)</t>
  </si>
  <si>
    <t xml:space="preserve">Midgley, P T</t>
  </si>
  <si>
    <t xml:space="preserve">Our Absent Friends (IRE)</t>
  </si>
  <si>
    <t xml:space="preserve">Davidson, Tristan</t>
  </si>
  <si>
    <t xml:space="preserve">Marks Choice (IRE)</t>
  </si>
  <si>
    <t xml:space="preserve">Tutty, Gemma</t>
  </si>
  <si>
    <t xml:space="preserve">Canaria Queen</t>
  </si>
  <si>
    <t xml:space="preserve">Fentiman, Duran</t>
  </si>
  <si>
    <t xml:space="preserve">Emperor Caradoc (FR)</t>
  </si>
  <si>
    <t xml:space="preserve">Intervention</t>
  </si>
  <si>
    <t xml:space="preserve">Mullen, Andrew</t>
  </si>
  <si>
    <t xml:space="preserve">Angel Numbers (IRE)</t>
  </si>
  <si>
    <t xml:space="preserve">Winchurch (IRE)</t>
  </si>
  <si>
    <t xml:space="preserve">Marco Polo (IRE)</t>
  </si>
  <si>
    <t xml:space="preserve">Push The Boat Out (IRE)</t>
  </si>
  <si>
    <t xml:space="preserve">Foley, Shane</t>
  </si>
  <si>
    <t xml:space="preserve">Confucius (IRE)</t>
  </si>
  <si>
    <t xml:space="preserve">Hell Of A Spin (IRE)</t>
  </si>
  <si>
    <t xml:space="preserve">Sheehy, M P</t>
  </si>
  <si>
    <t xml:space="preserve">Keatley, Adrian Paul</t>
  </si>
  <si>
    <t xml:space="preserve">Force Noir (IRE)</t>
  </si>
  <si>
    <t xml:space="preserve">Vietnorm (IRE)</t>
  </si>
  <si>
    <t xml:space="preserve">Brown, Oakley</t>
  </si>
  <si>
    <t xml:space="preserve">Blue To Blue (IRE)</t>
  </si>
  <si>
    <t xml:space="preserve">Hughes, Brian</t>
  </si>
  <si>
    <t xml:space="preserve">Jefferson, Ruth</t>
  </si>
  <si>
    <t xml:space="preserve">Two Steppin (IRE)</t>
  </si>
  <si>
    <t xml:space="preserve">Pritchard, Callum</t>
  </si>
  <si>
    <t xml:space="preserve">Murphy, Barry John</t>
  </si>
  <si>
    <t xml:space="preserve">Steel Fixer</t>
  </si>
  <si>
    <t xml:space="preserve">Moscrop, Nathan</t>
  </si>
  <si>
    <t xml:space="preserve">Ellison, B</t>
  </si>
  <si>
    <t xml:space="preserve">Lynxman (IRE)</t>
  </si>
  <si>
    <t xml:space="preserve">City of Dubai (IRE)</t>
  </si>
  <si>
    <t xml:space="preserve">Drumbeat (IRE)</t>
  </si>
  <si>
    <t xml:space="preserve">Venetian Power (IRE)</t>
  </si>
  <si>
    <t xml:space="preserve">Tommy Quick (USA)</t>
  </si>
  <si>
    <t xml:space="preserve">Sullivan, James P</t>
  </si>
  <si>
    <t xml:space="preserve">Angel Gabriel (IRE)</t>
  </si>
  <si>
    <t xml:space="preserve">Miraculous (IRE)</t>
  </si>
  <si>
    <t xml:space="preserve">Dandy Magic (IRE)</t>
  </si>
  <si>
    <t xml:space="preserve">Goldie, J S</t>
  </si>
  <si>
    <t xml:space="preserve">So Darn Hot</t>
  </si>
  <si>
    <t xml:space="preserve">Downing, George</t>
  </si>
  <si>
    <t xml:space="preserve">Golden Long (AUS)</t>
  </si>
  <si>
    <t xml:space="preserve">Souza, Lemos</t>
  </si>
  <si>
    <t xml:space="preserve">Black Star Boy (IRE)</t>
  </si>
  <si>
    <t xml:space="preserve">Figjam (IRE)</t>
  </si>
  <si>
    <t xml:space="preserve">Scott, Miss Katie</t>
  </si>
  <si>
    <t xml:space="preserve">Proof</t>
  </si>
  <si>
    <t xml:space="preserve">Hills, Charles</t>
  </si>
  <si>
    <t xml:space="preserve">Zain Primus</t>
  </si>
  <si>
    <t xml:space="preserve">Butler, John</t>
  </si>
  <si>
    <t xml:space="preserve">Kennedy, J W</t>
  </si>
  <si>
    <t xml:space="preserve">Elliott, Gordon</t>
  </si>
  <si>
    <t xml:space="preserve">Rosies Wings (IRE)</t>
  </si>
  <si>
    <t xml:space="preserve">Clay Pigeons (IRE)</t>
  </si>
  <si>
    <t xml:space="preserve">Hayes, Brian</t>
  </si>
  <si>
    <t xml:space="preserve">Goeasyonme (FR)</t>
  </si>
  <si>
    <t xml:space="preserve">I Can Find Em (IRE)</t>
  </si>
  <si>
    <t xml:space="preserve">McGill, Mr O</t>
  </si>
  <si>
    <t xml:space="preserve">McGill, Gary</t>
  </si>
  <si>
    <t xml:space="preserve">Eye Of Dubai</t>
  </si>
  <si>
    <t xml:space="preserve">Im Next</t>
  </si>
  <si>
    <t xml:space="preserve">Yes Im Mali</t>
  </si>
  <si>
    <t xml:space="preserve">Dark Cloud Rising</t>
  </si>
  <si>
    <t xml:space="preserve">Winn, Mark</t>
  </si>
  <si>
    <t xml:space="preserve">Indian Run (IRE)</t>
  </si>
  <si>
    <t xml:space="preserve">Camacho, Miss J A</t>
  </si>
  <si>
    <t xml:space="preserve">U Sure Do (IRE)</t>
  </si>
  <si>
    <t xml:space="preserve">Kind Touch (IRE)</t>
  </si>
  <si>
    <t xml:space="preserve">Hardie, Cameron</t>
  </si>
  <si>
    <t xml:space="preserve">Schrodingers Cat</t>
  </si>
  <si>
    <t xml:space="preserve">Tuer, Grant</t>
  </si>
  <si>
    <t xml:space="preserve">Another Baar</t>
  </si>
  <si>
    <t xml:space="preserve">McSweeney, O</t>
  </si>
  <si>
    <t xml:space="preserve">Beaujolais Nouveau</t>
  </si>
  <si>
    <t xml:space="preserve">Haslam, B M R</t>
  </si>
  <si>
    <t xml:space="preserve">Shafdar (IRE)</t>
  </si>
  <si>
    <t xml:space="preserve">Williams, Ian</t>
  </si>
  <si>
    <t xml:space="preserve">Indalo (IRE)</t>
  </si>
  <si>
    <t xml:space="preserve">Dawson, R</t>
  </si>
  <si>
    <t xml:space="preserve">Hand Of God</t>
  </si>
  <si>
    <t xml:space="preserve">Edmunds, Lewis</t>
  </si>
  <si>
    <t xml:space="preserve">Alcarath (IRE)</t>
  </si>
  <si>
    <t xml:space="preserve">King, A</t>
  </si>
  <si>
    <t xml:space="preserve">Harmonics (IRE)</t>
  </si>
  <si>
    <t xml:space="preserve">Pierre Royal (IRE)</t>
  </si>
  <si>
    <t xml:space="preserve">Spanish Voice</t>
  </si>
  <si>
    <t xml:space="preserve">Erzindjan (IRE)</t>
  </si>
  <si>
    <t xml:space="preserve">Kent, T J</t>
  </si>
  <si>
    <t xml:space="preserve">Thunder Run (IRE)</t>
  </si>
  <si>
    <t xml:space="preserve">Wild Thoughts (IRE)</t>
  </si>
  <si>
    <t xml:space="preserve">Osborne, Saffie</t>
  </si>
  <si>
    <t xml:space="preserve">Spencer, Richard</t>
  </si>
  <si>
    <t xml:space="preserve">Spell Master</t>
  </si>
  <si>
    <t xml:space="preserve">Rix, Oli</t>
  </si>
  <si>
    <t xml:space="preserve">Zennor Storm</t>
  </si>
  <si>
    <t xml:space="preserve">Davies, Harry</t>
  </si>
  <si>
    <t xml:space="preserve">Crest of Fire (IRE)</t>
  </si>
  <si>
    <t xml:space="preserve">St Anton (IRE)</t>
  </si>
  <si>
    <t xml:space="preserve">Leavy, Joe</t>
  </si>
  <si>
    <t xml:space="preserve">Hard Endeavor (FR)</t>
  </si>
  <si>
    <t xml:space="preserve">Chapple-Hyam, Jane</t>
  </si>
  <si>
    <t xml:space="preserve">Parole Doro</t>
  </si>
  <si>
    <t xml:space="preserve">Nicholls, Jack</t>
  </si>
  <si>
    <t xml:space="preserve">Asmen Warrior (IRE)</t>
  </si>
  <si>
    <t xml:space="preserve">Principality (IRE)</t>
  </si>
  <si>
    <t xml:space="preserve">Fraser, Kaiya</t>
  </si>
  <si>
    <t xml:space="preserve">Eustace, Harry</t>
  </si>
  <si>
    <t xml:space="preserve">Salam Dubawi</t>
  </si>
  <si>
    <t xml:space="preserve">Tubb, Olivia</t>
  </si>
  <si>
    <t xml:space="preserve">Urban Lion</t>
  </si>
  <si>
    <t xml:space="preserve">Bass, George</t>
  </si>
  <si>
    <t xml:space="preserve">First Ambition</t>
  </si>
  <si>
    <t xml:space="preserve">Currie, Nicola</t>
  </si>
  <si>
    <t xml:space="preserve">Keady, Michael</t>
  </si>
  <si>
    <t xml:space="preserve">Dwindling Funds</t>
  </si>
  <si>
    <t xml:space="preserve">Elliott, Rhys</t>
  </si>
  <si>
    <t xml:space="preserve">Wanderlust (FR)</t>
  </si>
  <si>
    <t xml:space="preserve">Jardine, I</t>
  </si>
  <si>
    <t xml:space="preserve">Altareq</t>
  </si>
  <si>
    <t xml:space="preserve">Young, Lauren</t>
  </si>
  <si>
    <t xml:space="preserve">Nizam (FR)</t>
  </si>
  <si>
    <t xml:space="preserve">Dace, Jack</t>
  </si>
  <si>
    <t xml:space="preserve">Punica Granatum (IRE)</t>
  </si>
  <si>
    <t xml:space="preserve">Rahmi (IRE)</t>
  </si>
  <si>
    <t xml:space="preserve">Headmaster</t>
  </si>
  <si>
    <t xml:space="preserve">City House (IRE)</t>
  </si>
  <si>
    <t xml:space="preserve">Uncle Goalie (IRE)</t>
  </si>
  <si>
    <t xml:space="preserve">Devine, Rory</t>
  </si>
  <si>
    <t xml:space="preserve">Dmaniac</t>
  </si>
  <si>
    <t xml:space="preserve">Eddie G (IRE)</t>
  </si>
  <si>
    <t xml:space="preserve">Temperance (IRE)</t>
  </si>
  <si>
    <t xml:space="preserve">Love Billy Boy (IRE)</t>
  </si>
  <si>
    <t xml:space="preserve">Bunyan, Darren / OLeary, G</t>
  </si>
  <si>
    <t xml:space="preserve">Russell, Lucinda / Scudamore, M</t>
  </si>
  <si>
    <t xml:space="preserve">Sure Touch</t>
  </si>
  <si>
    <t xml:space="preserve">Saunders, Lewis</t>
  </si>
  <si>
    <t xml:space="preserve">Fringill Dike (IRE)</t>
  </si>
  <si>
    <t xml:space="preserve">Quinlan, Sean</t>
  </si>
  <si>
    <t xml:space="preserve">OKeeffe, Jedd</t>
  </si>
  <si>
    <t xml:space="preserve">Ewing, Sam</t>
  </si>
  <si>
    <t xml:space="preserve">Fahey, Peter</t>
  </si>
  <si>
    <t xml:space="preserve">Ifiwerearichman (IRE)</t>
  </si>
  <si>
    <t xml:space="preserve">OSullivan, Alan</t>
  </si>
  <si>
    <t xml:space="preserve">Nolan, Paul</t>
  </si>
  <si>
    <t xml:space="preserve">Elusive Ogie (IRE)</t>
  </si>
  <si>
    <t xml:space="preserve">Londonofficecallin (IRE)</t>
  </si>
  <si>
    <t xml:space="preserve">Walsh, M P</t>
  </si>
  <si>
    <t xml:space="preserve">Serienmond (GER)</t>
  </si>
  <si>
    <t xml:space="preserve">Donovan, Philip</t>
  </si>
  <si>
    <t xml:space="preserve">Luck Between Us (IRE)</t>
  </si>
  <si>
    <t xml:space="preserve">Moore, Niall</t>
  </si>
  <si>
    <t xml:space="preserve">Duggan, Donncha</t>
  </si>
  <si>
    <t xml:space="preserve">Watch The Weather</t>
  </si>
  <si>
    <t xml:space="preserve">Cody, Patrick</t>
  </si>
  <si>
    <t xml:space="preserve">Matt Connor (IRE)</t>
  </si>
  <si>
    <t xml:space="preserve">Gainford, Jordan</t>
  </si>
  <si>
    <t xml:space="preserve">Dempsey, J P</t>
  </si>
  <si>
    <t xml:space="preserve">Feud</t>
  </si>
  <si>
    <t xml:space="preserve">OLeary, G E</t>
  </si>
  <si>
    <t xml:space="preserve">Sequoiaspirit (IRE)</t>
  </si>
  <si>
    <t xml:space="preserve">Quinlan, Liam</t>
  </si>
  <si>
    <t xml:space="preserve">Hackett, Ray</t>
  </si>
  <si>
    <t xml:space="preserve">Give Him A Chance (IRE)</t>
  </si>
  <si>
    <t xml:space="preserve">Young Churchill (IRE)</t>
  </si>
  <si>
    <t xml:space="preserve">Kenneally, Michael</t>
  </si>
  <si>
    <t xml:space="preserve">OBrien, Richard John</t>
  </si>
  <si>
    <t xml:space="preserve">Tullyhill (FR)</t>
  </si>
  <si>
    <t xml:space="preserve">Butler, S J</t>
  </si>
  <si>
    <t xml:space="preserve">Doyle, Mary E</t>
  </si>
  <si>
    <t xml:space="preserve">Trumpety Trump (IRE)</t>
  </si>
  <si>
    <t xml:space="preserve">Mind Those Steps</t>
  </si>
  <si>
    <t xml:space="preserve">Kodiak Breeze (IRE)</t>
  </si>
  <si>
    <t xml:space="preserve">Gray, S A</t>
  </si>
  <si>
    <t xml:space="preserve">Wolf Bay</t>
  </si>
  <si>
    <t xml:space="preserve">Persian Land (IRE)</t>
  </si>
  <si>
    <t xml:space="preserve">Evans, P D</t>
  </si>
  <si>
    <t xml:space="preserve">Class 6</t>
  </si>
  <si>
    <t xml:space="preserve">Big Apple Jack</t>
  </si>
  <si>
    <t xml:space="preserve">Easterby, M W</t>
  </si>
  <si>
    <t xml:space="preserve">Run This Way</t>
  </si>
  <si>
    <t xml:space="preserve">Eldeyaar (IRE)</t>
  </si>
  <si>
    <t xml:space="preserve">Brittain, Antony</t>
  </si>
  <si>
    <t xml:space="preserve">Kings Road Dandy (IRE)</t>
  </si>
  <si>
    <t xml:space="preserve">Barron, T D</t>
  </si>
  <si>
    <t xml:space="preserve">Oh So Perfect (IRE)</t>
  </si>
  <si>
    <t xml:space="preserve">Sole Spirit</t>
  </si>
  <si>
    <t xml:space="preserve">Smart, B</t>
  </si>
  <si>
    <t xml:space="preserve">Jet Warrior</t>
  </si>
  <si>
    <t xml:space="preserve">Mullaney, L A</t>
  </si>
  <si>
    <t xml:space="preserve">Triple P</t>
  </si>
  <si>
    <t xml:space="preserve">Golden Mabel</t>
  </si>
  <si>
    <t xml:space="preserve">Williamson, Mrs L</t>
  </si>
  <si>
    <t xml:space="preserve">Standard</t>
  </si>
  <si>
    <t xml:space="preserve">Marshall, Tom Kiely</t>
  </si>
  <si>
    <t xml:space="preserve">Pears, Ollie</t>
  </si>
  <si>
    <t xml:space="preserve">Garritty, Billy</t>
  </si>
  <si>
    <t xml:space="preserve">Bailey, Liam</t>
  </si>
  <si>
    <t xml:space="preserve">Tomarlo</t>
  </si>
  <si>
    <t xml:space="preserve">Candlish, Jennie</t>
  </si>
  <si>
    <t xml:space="preserve">Sams Xpress (IRE)</t>
  </si>
  <si>
    <t xml:space="preserve">Hogan, D E</t>
  </si>
  <si>
    <t xml:space="preserve">Birkett, Julia/Shelley</t>
  </si>
  <si>
    <t xml:space="preserve">Torfrida</t>
  </si>
  <si>
    <t xml:space="preserve">ONeill, K T</t>
  </si>
  <si>
    <t xml:space="preserve">Sly, Mrs P</t>
  </si>
  <si>
    <t xml:space="preserve">Popular Dream</t>
  </si>
  <si>
    <t xml:space="preserve">Jary, Alex</t>
  </si>
  <si>
    <t xml:space="preserve">Shaw, D</t>
  </si>
  <si>
    <t xml:space="preserve">Hellcat</t>
  </si>
  <si>
    <t xml:space="preserve">Burdon, R</t>
  </si>
  <si>
    <t xml:space="preserve">Crypto Quest (IRE)</t>
  </si>
  <si>
    <t xml:space="preserve">Howarth, Christian</t>
  </si>
  <si>
    <t xml:space="preserve">Dixon, Scott</t>
  </si>
  <si>
    <t xml:space="preserve">La Pittura</t>
  </si>
  <si>
    <t xml:space="preserve">Miss Jane Hadley (IRE)</t>
  </si>
  <si>
    <t xml:space="preserve">Out Late (IRE)</t>
  </si>
  <si>
    <t xml:space="preserve">Queen Of The Gulf</t>
  </si>
  <si>
    <t xml:space="preserve">Aquila Doro</t>
  </si>
  <si>
    <t xml:space="preserve">Cole, Oliver</t>
  </si>
  <si>
    <t xml:space="preserve">Friendly Force</t>
  </si>
  <si>
    <t xml:space="preserve">Foy, Kevin</t>
  </si>
  <si>
    <t xml:space="preserve">Lady Jemima</t>
  </si>
  <si>
    <t xml:space="preserve">Via Star (IRE)</t>
  </si>
  <si>
    <t xml:space="preserve">Reveillez (GER)</t>
  </si>
  <si>
    <t xml:space="preserve">Dorigo (IRE)</t>
  </si>
  <si>
    <t xml:space="preserve">Stott, Kevin</t>
  </si>
  <si>
    <t xml:space="preserve">Critical Reason (IRE)</t>
  </si>
  <si>
    <t xml:space="preserve">Bayside View (IRE)</t>
  </si>
  <si>
    <t xml:space="preserve">King Of Cloughan (IRE)</t>
  </si>
  <si>
    <t xml:space="preserve">Carry The Flag (IRE)</t>
  </si>
  <si>
    <t xml:space="preserve">Ballinea Star (IRE)</t>
  </si>
  <si>
    <t xml:space="preserve">Thomas Chippendale (IRE)</t>
  </si>
  <si>
    <t xml:space="preserve">Cleary, Jack</t>
  </si>
  <si>
    <t xml:space="preserve">Love Is (IRE)</t>
  </si>
  <si>
    <t xml:space="preserve">Marsh, Finley</t>
  </si>
  <si>
    <t xml:space="preserve">Hi Corbett Court (IRE)</t>
  </si>
  <si>
    <t xml:space="preserve">Rutledge, Siobhan</t>
  </si>
  <si>
    <t xml:space="preserve">My Lucky Journey (IRE)</t>
  </si>
  <si>
    <t xml:space="preserve">Blessed Voyager (IRE)</t>
  </si>
  <si>
    <t xml:space="preserve">Nobelos (IRE)</t>
  </si>
  <si>
    <t xml:space="preserve">Hornby, Rob</t>
  </si>
  <si>
    <t xml:space="preserve">Roeillaun (IRE)</t>
  </si>
  <si>
    <t xml:space="preserve">Meade, Noel</t>
  </si>
  <si>
    <t xml:space="preserve">Nation Blaze (IRE)</t>
  </si>
  <si>
    <t xml:space="preserve">Slattery, A J</t>
  </si>
  <si>
    <t xml:space="preserve">Cashel Queen (IRE)</t>
  </si>
  <si>
    <t xml:space="preserve">Obrien, Donnacha</t>
  </si>
  <si>
    <t xml:space="preserve">Be In Love (IRE)</t>
  </si>
  <si>
    <t xml:space="preserve">Eyeconic (IRE)</t>
  </si>
  <si>
    <t xml:space="preserve">Ryan, Gavin</t>
  </si>
  <si>
    <t xml:space="preserve">Class 5</t>
  </si>
  <si>
    <t xml:space="preserve">Andrews, Jack</t>
  </si>
  <si>
    <t xml:space="preserve">Ellis, T</t>
  </si>
  <si>
    <t xml:space="preserve">Hardy Buck (IRE)</t>
  </si>
  <si>
    <t xml:space="preserve">Mitchell, Freddie</t>
  </si>
  <si>
    <t xml:space="preserve">Comley, Max</t>
  </si>
  <si>
    <t xml:space="preserve">Ribeye</t>
  </si>
  <si>
    <t xml:space="preserve">Bewley, Callum</t>
  </si>
  <si>
    <t xml:space="preserve">Atkinson, P G</t>
  </si>
  <si>
    <t xml:space="preserve">Fane Court (IRE)</t>
  </si>
  <si>
    <t xml:space="preserve">Stones, Lewis</t>
  </si>
  <si>
    <t xml:space="preserve">Jeffreys, D J</t>
  </si>
  <si>
    <t xml:space="preserve">Deadly Missile (IRE)</t>
  </si>
  <si>
    <t xml:space="preserve">Poste, Ben J</t>
  </si>
  <si>
    <t xml:space="preserve">Gasson, Mrs Rosemary</t>
  </si>
  <si>
    <t xml:space="preserve">Just Keeps Rolling (IRE)</t>
  </si>
  <si>
    <t xml:space="preserve">Hogan, Jack</t>
  </si>
  <si>
    <t xml:space="preserve">Fast Deal</t>
  </si>
  <si>
    <t xml:space="preserve">Stevenson, J W</t>
  </si>
  <si>
    <t xml:space="preserve">Chapman, M C</t>
  </si>
  <si>
    <t xml:space="preserve">Smithers, C D</t>
  </si>
  <si>
    <t xml:space="preserve">Lee, Norman</t>
  </si>
  <si>
    <t xml:space="preserve">Laligurash (IRE)</t>
  </si>
  <si>
    <t xml:space="preserve">Cleary-Farrell, S</t>
  </si>
  <si>
    <t xml:space="preserve">Griffin, Michael C</t>
  </si>
  <si>
    <t xml:space="preserve">Lake Okeechobee (IRE)</t>
  </si>
  <si>
    <t xml:space="preserve">OSullivan, Eugene M</t>
  </si>
  <si>
    <t xml:space="preserve">Annie Button (IRE)</t>
  </si>
  <si>
    <t xml:space="preserve">Flood, Peter</t>
  </si>
  <si>
    <t xml:space="preserve">Scathach (IRE)</t>
  </si>
  <si>
    <t xml:space="preserve">Tropical Image (IRE)</t>
  </si>
  <si>
    <t xml:space="preserve">Opposite Ends (IRE)</t>
  </si>
  <si>
    <t xml:space="preserve">Byrnes, Philip</t>
  </si>
  <si>
    <t xml:space="preserve">Byrnes, C</t>
  </si>
  <si>
    <t xml:space="preserve">Barryroe Madam (FR)</t>
  </si>
  <si>
    <t xml:space="preserve">RESERVE</t>
  </si>
  <si>
    <t xml:space="preserve">OBrien, Terence</t>
  </si>
  <si>
    <t xml:space="preserve">Oogum Boogum (IRE)</t>
  </si>
  <si>
    <t xml:space="preserve">Budds, David Kenneth</t>
  </si>
  <si>
    <t xml:space="preserve">Tudorista (IRE)</t>
  </si>
  <si>
    <t xml:space="preserve">Power, Edward F</t>
  </si>
  <si>
    <t xml:space="preserve">Rubi Tuesday (IRE)</t>
  </si>
  <si>
    <t xml:space="preserve">Katies Casper (IRE)</t>
  </si>
  <si>
    <t xml:space="preserve">McLoughlin, D A</t>
  </si>
  <si>
    <t xml:space="preserve">Torque De Lune (IRE)</t>
  </si>
  <si>
    <t xml:space="preserve">Roll It Roisin (IRE)</t>
  </si>
  <si>
    <t xml:space="preserve">Quirke, Cian</t>
  </si>
  <si>
    <t xml:space="preserve">Kelly, David Harry</t>
  </si>
  <si>
    <t xml:space="preserve">Windy Grey (IRE)</t>
  </si>
  <si>
    <t xml:space="preserve">Murphy, Kevin</t>
  </si>
  <si>
    <t xml:space="preserve">OFlynn, Paul</t>
  </si>
  <si>
    <t xml:space="preserve">Drumadeise (IRE)</t>
  </si>
  <si>
    <t xml:space="preserve">Kelly, T Joseph</t>
  </si>
  <si>
    <t xml:space="preserve">Corkery, P</t>
  </si>
  <si>
    <t xml:space="preserve">Keep The Head (IRE)</t>
  </si>
  <si>
    <t xml:space="preserve">Doesthatmakesense (IRE)</t>
  </si>
  <si>
    <t xml:space="preserve">Clarke, Conor</t>
  </si>
  <si>
    <t xml:space="preserve">Seymour, E</t>
  </si>
  <si>
    <t xml:space="preserve">Moore, Toby</t>
  </si>
  <si>
    <t xml:space="preserve">Hands To Yourself (IRE)</t>
  </si>
  <si>
    <t xml:space="preserve">Game Character</t>
  </si>
  <si>
    <t xml:space="preserve">Dancing Dunes (GER)</t>
  </si>
  <si>
    <t xml:space="preserve">River Glen (IRE)</t>
  </si>
  <si>
    <t xml:space="preserve">Hurstwood</t>
  </si>
  <si>
    <t xml:space="preserve">Niven, P D</t>
  </si>
  <si>
    <t xml:space="preserve">Liverpool Star (IRE)</t>
  </si>
  <si>
    <t xml:space="preserve">Angel Summer (IRE)</t>
  </si>
  <si>
    <t xml:space="preserve">Owens, Patrick</t>
  </si>
  <si>
    <t xml:space="preserve">Taygar (IRE)</t>
  </si>
  <si>
    <t xml:space="preserve">Dream Deal</t>
  </si>
  <si>
    <t xml:space="preserve">Uncertainty (IRE)</t>
  </si>
  <si>
    <t xml:space="preserve">Whitaker, Simon</t>
  </si>
  <si>
    <t xml:space="preserve">Cheerleader</t>
  </si>
  <si>
    <t xml:space="preserve">Jackson, Miss T</t>
  </si>
  <si>
    <t xml:space="preserve">Solar Cooper</t>
  </si>
  <si>
    <t xml:space="preserve">Walford, Mark</t>
  </si>
  <si>
    <t xml:space="preserve">Plastic Dream</t>
  </si>
  <si>
    <t xml:space="preserve">Dwyer, C A</t>
  </si>
  <si>
    <t xml:space="preserve">Shaniko</t>
  </si>
  <si>
    <t xml:space="preserve">Carson, William</t>
  </si>
  <si>
    <t xml:space="preserve">Mollisha (IRE)</t>
  </si>
  <si>
    <t xml:space="preserve">Nushga (IRE)</t>
  </si>
  <si>
    <t xml:space="preserve">Fentiman, Warren</t>
  </si>
  <si>
    <t xml:space="preserve">So Sexy Me</t>
  </si>
  <si>
    <t xml:space="preserve">Bishop, Charles</t>
  </si>
  <si>
    <t xml:space="preserve">Ghazalia (IRE)</t>
  </si>
  <si>
    <t xml:space="preserve">Langley, Taryn</t>
  </si>
  <si>
    <t xml:space="preserve">Kobeissi, Hilal</t>
  </si>
  <si>
    <t xml:space="preserve">Picnic Princess</t>
  </si>
  <si>
    <t xml:space="preserve">McHugh, B</t>
  </si>
  <si>
    <t xml:space="preserve">Love Always</t>
  </si>
  <si>
    <t xml:space="preserve">Swallow, Libby</t>
  </si>
  <si>
    <t xml:space="preserve">Arctic Dawn</t>
  </si>
  <si>
    <t xml:space="preserve">Kubler, Daniel</t>
  </si>
  <si>
    <t xml:space="preserve">Huscal (IRE)</t>
  </si>
  <si>
    <t xml:space="preserve">Sword Maker (IRE)</t>
  </si>
  <si>
    <t xml:space="preserve">Suroor, Saeed Bin</t>
  </si>
  <si>
    <t xml:space="preserve">Aqpan (IRE)</t>
  </si>
  <si>
    <t xml:space="preserve">Sword</t>
  </si>
  <si>
    <t xml:space="preserve">Haines, Olivia</t>
  </si>
  <si>
    <t xml:space="preserve">Five Ways</t>
  </si>
  <si>
    <t xml:space="preserve">Watson, Jason</t>
  </si>
  <si>
    <t xml:space="preserve">Native American (IRE)</t>
  </si>
  <si>
    <t xml:space="preserve">Jehani, H Al</t>
  </si>
  <si>
    <t xml:space="preserve">Dapper Guest (IRE)</t>
  </si>
  <si>
    <t xml:space="preserve">Margarson, G G</t>
  </si>
  <si>
    <t xml:space="preserve">Rocking Ends</t>
  </si>
  <si>
    <t xml:space="preserve">Clover, Tom</t>
  </si>
  <si>
    <t xml:space="preserve">Utmost Good Faith</t>
  </si>
  <si>
    <t xml:space="preserve">Doughty, Jack</t>
  </si>
  <si>
    <t xml:space="preserve">Kenough (FR)</t>
  </si>
  <si>
    <t xml:space="preserve">Lets Smash It (IRE)</t>
  </si>
  <si>
    <t xml:space="preserve">Come What May (IRE)</t>
  </si>
  <si>
    <t xml:space="preserve">Copper Dog (IRE)</t>
  </si>
  <si>
    <t xml:space="preserve">Vico Road (IRE)</t>
  </si>
  <si>
    <t xml:space="preserve">Murphy, John Joseph</t>
  </si>
  <si>
    <t xml:space="preserve">Royal Ballet Blue (IRE)</t>
  </si>
  <si>
    <t xml:space="preserve">Foley, Jack</t>
  </si>
  <si>
    <t xml:space="preserve">Leopold The First (IRE)</t>
  </si>
  <si>
    <t xml:space="preserve">Colgan, R C</t>
  </si>
  <si>
    <t xml:space="preserve">Lee, Andrew</t>
  </si>
  <si>
    <t xml:space="preserve">Big Jake (IRE)</t>
  </si>
  <si>
    <t xml:space="preserve">Positive Thinking (IRE)</t>
  </si>
  <si>
    <t xml:space="preserve">Lupini, Miss Natalia</t>
  </si>
  <si>
    <t xml:space="preserve">Conrad (IRE)</t>
  </si>
  <si>
    <t xml:space="preserve">Feane, John James</t>
  </si>
  <si>
    <t xml:space="preserve">Plug In Hybrid (IRE)</t>
  </si>
  <si>
    <t xml:space="preserve">Toristar (IRE)</t>
  </si>
  <si>
    <t xml:space="preserve">Timmons, C D</t>
  </si>
  <si>
    <t xml:space="preserve">Desert Swing (IRE)</t>
  </si>
  <si>
    <t xml:space="preserve">Kinirons, A</t>
  </si>
  <si>
    <t xml:space="preserve">What Do You Say (IRE)</t>
  </si>
  <si>
    <t xml:space="preserve">Griselinia (IRE)</t>
  </si>
  <si>
    <t xml:space="preserve">Coleman, Kevin</t>
  </si>
  <si>
    <t xml:space="preserve">Silverhillsox (IRE)</t>
  </si>
  <si>
    <t xml:space="preserve">Egan, Kieran P</t>
  </si>
  <si>
    <t xml:space="preserve">Sheppard, Stan</t>
  </si>
  <si>
    <t xml:space="preserve">Lacey, T</t>
  </si>
  <si>
    <t xml:space="preserve">Timely Salute</t>
  </si>
  <si>
    <t xml:space="preserve">Dream Jet (IRE)</t>
  </si>
  <si>
    <t xml:space="preserve">Nichol, Craig</t>
  </si>
  <si>
    <t xml:space="preserve">Yanka Blue (IRE)</t>
  </si>
  <si>
    <t xml:space="preserve">Finjimk (IRE)</t>
  </si>
  <si>
    <t xml:space="preserve">Woods, K K</t>
  </si>
  <si>
    <t xml:space="preserve">Scholfield, Nick</t>
  </si>
  <si>
    <t xml:space="preserve">Huit Reflets (FR)</t>
  </si>
  <si>
    <t xml:space="preserve">Hamilton, Jamie</t>
  </si>
  <si>
    <t xml:space="preserve">Dantes Inferno</t>
  </si>
  <si>
    <t xml:space="preserve">Barclay, Stella</t>
  </si>
  <si>
    <t xml:space="preserve">Glance At Me</t>
  </si>
  <si>
    <t xml:space="preserve">Quinlan, S M</t>
  </si>
  <si>
    <t xml:space="preserve">Martin, Andrew J</t>
  </si>
  <si>
    <t xml:space="preserve">Cosmic Spirit</t>
  </si>
  <si>
    <t xml:space="preserve">Battle Stride (USA)</t>
  </si>
  <si>
    <t xml:space="preserve">Armson, Philip</t>
  </si>
  <si>
    <t xml:space="preserve">Armson, R J</t>
  </si>
  <si>
    <t xml:space="preserve">West Away (IRE)</t>
  </si>
  <si>
    <t xml:space="preserve">Finegan, Eoghan</t>
  </si>
  <si>
    <t xml:space="preserve">Collins, P E</t>
  </si>
  <si>
    <t xml:space="preserve">Talk In The Park (IRE)</t>
  </si>
  <si>
    <t xml:space="preserve">Ceanndana (IRE)</t>
  </si>
  <si>
    <t xml:space="preserve">Meet And Greet (IRE)</t>
  </si>
  <si>
    <t xml:space="preserve">Enright, P T</t>
  </si>
  <si>
    <t xml:space="preserve">McKiernan, Oliver</t>
  </si>
  <si>
    <t xml:space="preserve">Drumgill (IRE)</t>
  </si>
  <si>
    <t xml:space="preserve">Blaze The Way (IRE)</t>
  </si>
  <si>
    <t xml:space="preserve">Mullins, D E</t>
  </si>
  <si>
    <t xml:space="preserve">Mullins, Ms Margaret</t>
  </si>
  <si>
    <t xml:space="preserve">Yoradreamer</t>
  </si>
  <si>
    <t xml:space="preserve">Runcok (FR)</t>
  </si>
  <si>
    <t xml:space="preserve">McConnell, John C</t>
  </si>
  <si>
    <t xml:space="preserve">El Champo (IRE)</t>
  </si>
  <si>
    <t xml:space="preserve">Pray Tell (IRE)</t>
  </si>
  <si>
    <t xml:space="preserve">Smith, James</t>
  </si>
  <si>
    <t xml:space="preserve">Kenneally, Desmond</t>
  </si>
  <si>
    <t xml:space="preserve">Barry Lyndon (IRE)</t>
  </si>
  <si>
    <t xml:space="preserve">OHanlon, P J</t>
  </si>
  <si>
    <t xml:space="preserve">Trojan Sun</t>
  </si>
  <si>
    <t xml:space="preserve">Gentle Warrior (IRE)</t>
  </si>
  <si>
    <t xml:space="preserve">Mick Collins (IRE)</t>
  </si>
  <si>
    <t xml:space="preserve">Todhunter, M</t>
  </si>
  <si>
    <t xml:space="preserve">Shadow Dance</t>
  </si>
  <si>
    <t xml:space="preserve">Soul Limbo (IRE)</t>
  </si>
  <si>
    <t xml:space="preserve">Fry, Harry</t>
  </si>
  <si>
    <t xml:space="preserve">Yaa Min</t>
  </si>
  <si>
    <t xml:space="preserve">Burton, Hayley</t>
  </si>
  <si>
    <t xml:space="preserve">Evaluation</t>
  </si>
  <si>
    <t xml:space="preserve">Nicol, Adam</t>
  </si>
  <si>
    <t xml:space="preserve">Wadacre Icon</t>
  </si>
  <si>
    <t xml:space="preserve">Neswick</t>
  </si>
  <si>
    <t xml:space="preserve">Costello, Dougie</t>
  </si>
  <si>
    <t xml:space="preserve">Tregoning, M P</t>
  </si>
  <si>
    <t xml:space="preserve">Chico Dorado (IRE)</t>
  </si>
  <si>
    <t xml:space="preserve">Emtinan (IRE)</t>
  </si>
  <si>
    <t xml:space="preserve">Medran (IRE)</t>
  </si>
  <si>
    <t xml:space="preserve">Whos The Goat (IRE)</t>
  </si>
  <si>
    <t xml:space="preserve">Brookes, Aiden</t>
  </si>
  <si>
    <t xml:space="preserve">Hammond, Micky</t>
  </si>
  <si>
    <t xml:space="preserve">Going To Graceland (IRE)</t>
  </si>
  <si>
    <t xml:space="preserve">Brittunculi</t>
  </si>
  <si>
    <t xml:space="preserve">Waggott, Miss Tracy</t>
  </si>
  <si>
    <t xml:space="preserve">Paddys Day (IRE)</t>
  </si>
  <si>
    <t xml:space="preserve">Spring Is Sprung (FR)</t>
  </si>
  <si>
    <t xml:space="preserve">Juan Les Pins</t>
  </si>
  <si>
    <t xml:space="preserve">Paetel, Mason</t>
  </si>
  <si>
    <t xml:space="preserve">Bassenthwaite</t>
  </si>
  <si>
    <t xml:space="preserve">Dobie, Georgia</t>
  </si>
  <si>
    <t xml:space="preserve">Noble Vow (IRE)</t>
  </si>
  <si>
    <t xml:space="preserve">Voikhansky, Alexander</t>
  </si>
  <si>
    <t xml:space="preserve">Layla Liz (IRE)</t>
  </si>
  <si>
    <t xml:space="preserve">Cox, William</t>
  </si>
  <si>
    <t xml:space="preserve">Watson, Archie</t>
  </si>
  <si>
    <t xml:space="preserve">Wateen (IRE)</t>
  </si>
  <si>
    <t xml:space="preserve">Cowell, R M H</t>
  </si>
  <si>
    <t xml:space="preserve">Tees Spirit</t>
  </si>
  <si>
    <t xml:space="preserve">Garritty, Jack</t>
  </si>
  <si>
    <t xml:space="preserve">Nicholls, Adrian</t>
  </si>
  <si>
    <t xml:space="preserve">Sangreal (IRE)</t>
  </si>
  <si>
    <t xml:space="preserve">Saxony Charms (IRE)</t>
  </si>
  <si>
    <t xml:space="preserve">Lookingforarainbow (USA)</t>
  </si>
  <si>
    <t xml:space="preserve">Serendipia (IRE)</t>
  </si>
  <si>
    <t xml:space="preserve">Camelot Queen (IRE)</t>
  </si>
  <si>
    <t xml:space="preserve">Emberelle (IRE)</t>
  </si>
  <si>
    <t xml:space="preserve">Goddess Of War (SAF)</t>
  </si>
  <si>
    <t xml:space="preserve">Seventh Sea (GER)</t>
  </si>
  <si>
    <t xml:space="preserve">Socratea (IRE)</t>
  </si>
  <si>
    <t xml:space="preserve">Brigids Charm (IRE)</t>
  </si>
  <si>
    <t xml:space="preserve">Molls Gap (IRE)</t>
  </si>
  <si>
    <t xml:space="preserve">Powell, J A</t>
  </si>
  <si>
    <t xml:space="preserve">Ballysax Boo</t>
  </si>
  <si>
    <t xml:space="preserve">Brown, Miss Katy</t>
  </si>
  <si>
    <t xml:space="preserve">Pattyandselma (IRE)</t>
  </si>
  <si>
    <t xml:space="preserve">Isthatrightkatie (IRE)</t>
  </si>
  <si>
    <t xml:space="preserve">Queen Of Chenab (IRE)</t>
  </si>
  <si>
    <t xml:space="preserve">Abbas, G</t>
  </si>
  <si>
    <t xml:space="preserve">Flynn, Patrick J</t>
  </si>
  <si>
    <t xml:space="preserve">Indemnity (IRE)</t>
  </si>
  <si>
    <t xml:space="preserve">Lavelle, Miss E C</t>
  </si>
  <si>
    <t xml:space="preserve">Indian River (IRE)</t>
  </si>
  <si>
    <t xml:space="preserve">Squeezebox (IRE)</t>
  </si>
  <si>
    <t xml:space="preserve">Powell, Brendan</t>
  </si>
  <si>
    <t xml:space="preserve">Morning Mayhem</t>
  </si>
  <si>
    <t xml:space="preserve">Crooked Path (IRE)</t>
  </si>
  <si>
    <t xml:space="preserve">Burke, Jonathan</t>
  </si>
  <si>
    <t xml:space="preserve">Howth (IRE)</t>
  </si>
  <si>
    <t xml:space="preserve">Inappropriate (IRE)</t>
  </si>
  <si>
    <t xml:space="preserve">Whillans, Ewan</t>
  </si>
  <si>
    <t xml:space="preserve">Saligo Bay (IRE)</t>
  </si>
  <si>
    <t xml:space="preserve">England, Jonathan</t>
  </si>
  <si>
    <t xml:space="preserve">Belvedere Blast (IRE)</t>
  </si>
  <si>
    <t xml:space="preserve">McMenamin, Daniel</t>
  </si>
  <si>
    <t xml:space="preserve">Karoline Banbou (FR)</t>
  </si>
  <si>
    <t xml:space="preserve">ONeill, J P</t>
  </si>
  <si>
    <t xml:space="preserve">Dunne, Mr J</t>
  </si>
  <si>
    <t xml:space="preserve">McNamara, E</t>
  </si>
  <si>
    <t xml:space="preserve">Harbour Highway (IRE)</t>
  </si>
  <si>
    <t xml:space="preserve">OConnor, Derek</t>
  </si>
  <si>
    <t xml:space="preserve">Hees Dynamite (IRE)</t>
  </si>
  <si>
    <t xml:space="preserve">Costello, Ms E C</t>
  </si>
  <si>
    <t xml:space="preserve">Toor Khov (IRE)</t>
  </si>
  <si>
    <t xml:space="preserve">Flynn, Ms M</t>
  </si>
  <si>
    <t xml:space="preserve">Mister Pink (IRE)</t>
  </si>
  <si>
    <t xml:space="preserve">Shanahan, Mr L P</t>
  </si>
  <si>
    <t xml:space="preserve">Dorans Law (IRE)</t>
  </si>
  <si>
    <t xml:space="preserve">Ira Hayes (IRE)</t>
  </si>
  <si>
    <t xml:space="preserve">Cotter, Mr S</t>
  </si>
  <si>
    <t xml:space="preserve">Sphagnum (IRE)</t>
  </si>
  <si>
    <t xml:space="preserve">Sampson, Mr J P</t>
  </si>
  <si>
    <t xml:space="preserve">Broderick, J P</t>
  </si>
  <si>
    <t xml:space="preserve">Le Grand Vert (FR)</t>
  </si>
  <si>
    <t xml:space="preserve">Kelly, Noel C</t>
  </si>
  <si>
    <t xml:space="preserve">Born Bright (IRE)</t>
  </si>
  <si>
    <t xml:space="preserve">OSullivan, Mr D</t>
  </si>
  <si>
    <t xml:space="preserve">OConnell, Ms Claire</t>
  </si>
  <si>
    <t xml:space="preserve">Whateys Quest (IRE)</t>
  </si>
  <si>
    <t xml:space="preserve">Fitzgibbon, Miss A L</t>
  </si>
  <si>
    <t xml:space="preserve">Tullybeg (IRE)</t>
  </si>
  <si>
    <t xml:space="preserve">Mahon, Mr E</t>
  </si>
  <si>
    <t xml:space="preserve">McMahon, Brian M</t>
  </si>
  <si>
    <t xml:space="preserve">King Ferdinand (IRE)</t>
  </si>
  <si>
    <t xml:space="preserve">Benson, Miss G</t>
  </si>
  <si>
    <t xml:space="preserve">Sax Appeal</t>
  </si>
  <si>
    <t xml:space="preserve">Tarbat Ness</t>
  </si>
  <si>
    <t xml:space="preserve">Berry, John</t>
  </si>
  <si>
    <t xml:space="preserve">Gibside</t>
  </si>
  <si>
    <t xml:space="preserve">Kylian (IRE)</t>
  </si>
  <si>
    <t xml:space="preserve">Right And Exact</t>
  </si>
  <si>
    <t xml:space="preserve">Wheatley, Zak</t>
  </si>
  <si>
    <t xml:space="preserve">Carroll, D</t>
  </si>
  <si>
    <t xml:space="preserve">Moulin Booj (IRE)</t>
  </si>
  <si>
    <t xml:space="preserve">Paradise Walk (IRE)</t>
  </si>
  <si>
    <t xml:space="preserve">Clutterbuck, Rhys</t>
  </si>
  <si>
    <t xml:space="preserve">Michaelas Boy (IRE)</t>
  </si>
  <si>
    <t xml:space="preserve">Hutchinson, Callum</t>
  </si>
  <si>
    <t xml:space="preserve">True Promise</t>
  </si>
  <si>
    <t xml:space="preserve">Russell, Harry</t>
  </si>
  <si>
    <t xml:space="preserve">Mcsharry, Fionn</t>
  </si>
  <si>
    <t xml:space="preserve">Fidelius</t>
  </si>
  <si>
    <t xml:space="preserve">The Clonmel Kid (IRE)</t>
  </si>
  <si>
    <t xml:space="preserve">Matoury</t>
  </si>
  <si>
    <t xml:space="preserve">Maggs, William</t>
  </si>
  <si>
    <t xml:space="preserve">You Did (IRE)</t>
  </si>
  <si>
    <t xml:space="preserve">Mistral Milly (IRE)</t>
  </si>
  <si>
    <t xml:space="preserve">Ramaah</t>
  </si>
  <si>
    <t xml:space="preserve">Best, J A</t>
  </si>
  <si>
    <t xml:space="preserve">Davies, Miss Sarah-Jayne</t>
  </si>
  <si>
    <t xml:space="preserve">Annie Don (IRE)</t>
  </si>
  <si>
    <t xml:space="preserve">Oliver, Henry</t>
  </si>
  <si>
    <t xml:space="preserve">Illico De Montave (FR)</t>
  </si>
  <si>
    <t xml:space="preserve">Destination Unkown (IRE)</t>
  </si>
  <si>
    <t xml:space="preserve">Doyle, Mr D</t>
  </si>
  <si>
    <t xml:space="preserve">Distraction (IRE)</t>
  </si>
  <si>
    <t xml:space="preserve">Kiely, David A</t>
  </si>
  <si>
    <t xml:space="preserve">Imboundtosay (IRE)</t>
  </si>
  <si>
    <t xml:space="preserve">Swan, H C</t>
  </si>
  <si>
    <t xml:space="preserve">Roper, W M</t>
  </si>
  <si>
    <t xml:space="preserve">Pats Charm (IRE)</t>
  </si>
  <si>
    <t xml:space="preserve">Chute, Mr J G</t>
  </si>
  <si>
    <t xml:space="preserve">OConnor, Thomas P</t>
  </si>
  <si>
    <t xml:space="preserve">Without Deception (IRE)</t>
  </si>
  <si>
    <t xml:space="preserve">Leahy, Miss Sarah</t>
  </si>
  <si>
    <t xml:space="preserve">Odoherty, William Joseph</t>
  </si>
  <si>
    <t xml:space="preserve">Roker Roar (IRE)</t>
  </si>
  <si>
    <t xml:space="preserve">Flightofthephoenix (IRE)</t>
  </si>
  <si>
    <t xml:space="preserve">Molo Del Palazzo (USA)</t>
  </si>
  <si>
    <t xml:space="preserve">Bondi (IRE)</t>
  </si>
  <si>
    <t xml:space="preserve">League Of Justice (USA)</t>
  </si>
  <si>
    <t xml:space="preserve">Dream Harder (IRE)</t>
  </si>
  <si>
    <t xml:space="preserve">Loughnane, Daniel Mark</t>
  </si>
  <si>
    <t xml:space="preserve">Liam Mera Kai (FR)</t>
  </si>
  <si>
    <t xml:space="preserve">Greatrex, W J</t>
  </si>
  <si>
    <t xml:space="preserve">Church Wedding (IRE)</t>
  </si>
  <si>
    <t xml:space="preserve">Pepperazzi (FR)</t>
  </si>
  <si>
    <t xml:space="preserve">Roxy Power (USA)</t>
  </si>
  <si>
    <t xml:space="preserve">Chilli King</t>
  </si>
  <si>
    <t xml:space="preserve">Crystal Jet (FR)</t>
  </si>
  <si>
    <t xml:space="preserve">Bulgin, T S M</t>
  </si>
  <si>
    <t xml:space="preserve">Train In Vain</t>
  </si>
  <si>
    <t xml:space="preserve">Macey, Jessica</t>
  </si>
  <si>
    <t xml:space="preserve">Masterly (FR)</t>
  </si>
  <si>
    <t xml:space="preserve">Emerald Spirit (IRE)</t>
  </si>
  <si>
    <t xml:space="preserve">Peate, Jonny</t>
  </si>
  <si>
    <t xml:space="preserve">Odriscoll (IRE)</t>
  </si>
  <si>
    <t xml:space="preserve">Horton, James</t>
  </si>
  <si>
    <t xml:space="preserve">Indian Mary (FR)</t>
  </si>
  <si>
    <t xml:space="preserve">Pearson, Laura</t>
  </si>
  <si>
    <t xml:space="preserve">Horgan, C</t>
  </si>
  <si>
    <t xml:space="preserve">R P Mcmurphy</t>
  </si>
  <si>
    <t xml:space="preserve">Maher, Jude</t>
  </si>
  <si>
    <t xml:space="preserve">Dandy G Boy (IRE)</t>
  </si>
  <si>
    <t xml:space="preserve">Izzari (GER)</t>
  </si>
  <si>
    <t xml:space="preserve">Tuke, Cara</t>
  </si>
  <si>
    <t xml:space="preserve">Ballybunion (IRE)</t>
  </si>
  <si>
    <t xml:space="preserve">Bradnam, Joe</t>
  </si>
  <si>
    <t xml:space="preserve">Special Breeze</t>
  </si>
  <si>
    <t xml:space="preserve">Degale</t>
  </si>
  <si>
    <t xml:space="preserve">Big Alex Walmsley</t>
  </si>
  <si>
    <t xml:space="preserve">Bond, Alice</t>
  </si>
  <si>
    <t xml:space="preserve">Gansera-Leveque, Mrs Ilka</t>
  </si>
  <si>
    <t xml:space="preserve">Optimatum</t>
  </si>
  <si>
    <t xml:space="preserve">Tucker, Charlie</t>
  </si>
  <si>
    <t xml:space="preserve">Millman, B R</t>
  </si>
  <si>
    <t xml:space="preserve">Imola (IRE)</t>
  </si>
  <si>
    <t xml:space="preserve">Ramsden, Joey</t>
  </si>
  <si>
    <t xml:space="preserve">The Cookstown Cafu</t>
  </si>
  <si>
    <t xml:space="preserve">Beauty By My Side (IRE)</t>
  </si>
  <si>
    <t xml:space="preserve">Burns, Harry</t>
  </si>
  <si>
    <t xml:space="preserve">Parr, Joseph</t>
  </si>
  <si>
    <t xml:space="preserve">Lineofsuccession</t>
  </si>
  <si>
    <t xml:space="preserve">Croot, Elle-May</t>
  </si>
  <si>
    <t xml:space="preserve">Kiani King (IRE)</t>
  </si>
  <si>
    <t xml:space="preserve">Coakley, Ross</t>
  </si>
  <si>
    <t xml:space="preserve">Morrison, H</t>
  </si>
  <si>
    <t xml:space="preserve">Mystical Storm</t>
  </si>
  <si>
    <t xml:space="preserve">Forest Caper</t>
  </si>
  <si>
    <t xml:space="preserve">Packetofbiscuits</t>
  </si>
  <si>
    <t xml:space="preserve">Mackie, J</t>
  </si>
  <si>
    <t xml:space="preserve">Be Frank</t>
  </si>
  <si>
    <t xml:space="preserve">Bundok</t>
  </si>
  <si>
    <t xml:space="preserve">Newsreader (IRE)</t>
  </si>
  <si>
    <t xml:space="preserve">Carroll, A W</t>
  </si>
  <si>
    <t xml:space="preserve">Decem Starr (IRE)</t>
  </si>
  <si>
    <t xml:space="preserve">You Will See</t>
  </si>
  <si>
    <t xml:space="preserve">Beauzon</t>
  </si>
  <si>
    <t xml:space="preserve">Come On Over (IRE)</t>
  </si>
  <si>
    <t xml:space="preserve">Lunar Melody</t>
  </si>
  <si>
    <t xml:space="preserve">New Image</t>
  </si>
  <si>
    <t xml:space="preserve">Mr Cool (IRE)</t>
  </si>
  <si>
    <t xml:space="preserve">Bright Summer (IRE)</t>
  </si>
  <si>
    <t xml:space="preserve">Kats Bob</t>
  </si>
  <si>
    <t xml:space="preserve">Alfa Duplicate (IRE)</t>
  </si>
  <si>
    <t xml:space="preserve">An Outlaws Grace (IRE)</t>
  </si>
  <si>
    <t xml:space="preserve">Mighty Vega (IRE)</t>
  </si>
  <si>
    <t xml:space="preserve">Fenlander</t>
  </si>
  <si>
    <t xml:space="preserve">Williams, Olly</t>
  </si>
  <si>
    <t xml:space="preserve">Kings Call (IRE)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</si>
</sst>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"/>
    <numFmt numFmtId="167" formatCode="0.0%"/>
    <numFmt numFmtId="168" formatCode="\+0%;\-0%;0%"/>
    <numFmt numFmtId="169" formatCode="@"/>
    <numFmt numFmtId="170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3" t="s">
        <v>1</v>
      </c>
      <c r="B3" s="2" t="n">
        <v>575</v>
      </c>
    </row>
    <row r="4" customFormat="false" ht="15" hidden="false" customHeight="false" outlineLevel="0" collapsed="false">
      <c r="A4" s="3" t="s">
        <v>2</v>
      </c>
      <c r="B4" s="2" t="n">
        <v>53</v>
      </c>
    </row>
    <row r="5" customFormat="false" ht="15" hidden="false" customHeight="false" outlineLevel="0" collapsed="false">
      <c r="A5" s="3" t="s">
        <v>3</v>
      </c>
      <c r="B5" s="2" t="n">
        <v>7</v>
      </c>
    </row>
    <row r="6" customFormat="false" ht="15" hidden="false" customHeight="false" outlineLevel="0" collapsed="false">
      <c r="A6" s="3"/>
      <c r="B6" s="2"/>
    </row>
    <row r="7" customFormat="false" ht="15" hidden="false" customHeight="false" outlineLevel="0" collapsed="false">
      <c r="A7" s="4" t="s">
        <v>4</v>
      </c>
      <c r="B7" s="2" t="s">
        <v>5</v>
      </c>
    </row>
    <row r="8" customFormat="false" ht="15" hidden="false" customHeight="false" outlineLevel="0" collapsed="false">
      <c r="A8" s="3" t="s">
        <v>6</v>
      </c>
      <c r="B8" s="2" t="n">
        <v>944</v>
      </c>
    </row>
    <row r="9" customFormat="false" ht="15" hidden="false" customHeight="false" outlineLevel="0" collapsed="false">
      <c r="A9" s="3" t="s">
        <v>7</v>
      </c>
      <c r="B9" s="2" t="s">
        <v>8</v>
      </c>
    </row>
    <row r="10" customFormat="false" ht="15" hidden="false" customHeight="false" outlineLevel="0" collapsed="false">
      <c r="A10" s="3" t="s">
        <v>9</v>
      </c>
      <c r="B10" s="2" t="n">
        <v>6000</v>
      </c>
    </row>
    <row r="11" customFormat="false" ht="15" hidden="false" customHeight="false" outlineLevel="0" collapsed="false">
      <c r="A11" s="3" t="s">
        <v>10</v>
      </c>
      <c r="B11" s="2" t="s">
        <v>11</v>
      </c>
    </row>
    <row r="12" customFormat="false" ht="15" hidden="false" customHeight="false" outlineLevel="0" collapsed="false">
      <c r="A12" s="3" t="s">
        <v>12</v>
      </c>
      <c r="B12" s="2" t="s">
        <v>13</v>
      </c>
    </row>
    <row r="13" customFormat="false" ht="15" hidden="false" customHeight="false" outlineLevel="0" collapsed="false">
      <c r="A13" s="3"/>
      <c r="B13" s="2"/>
    </row>
    <row r="14" customFormat="false" ht="15" hidden="false" customHeight="false" outlineLevel="0" collapsed="false">
      <c r="A14" s="4" t="s">
        <v>14</v>
      </c>
      <c r="B14" s="2"/>
    </row>
    <row r="15" customFormat="false" ht="15" hidden="false" customHeight="false" outlineLevel="0" collapsed="false">
      <c r="A15" s="3" t="s">
        <v>15</v>
      </c>
      <c r="B15" s="2" t="s">
        <v>16</v>
      </c>
    </row>
    <row r="16" customFormat="false" ht="15" hidden="false" customHeight="false" outlineLevel="0" collapsed="false">
      <c r="A16" s="3" t="s">
        <v>17</v>
      </c>
      <c r="B16" s="2" t="s">
        <v>18</v>
      </c>
    </row>
    <row r="17" customFormat="false" ht="15" hidden="false" customHeight="false" outlineLevel="0" collapsed="false">
      <c r="A17" s="3" t="s">
        <v>19</v>
      </c>
      <c r="B17" s="2" t="s">
        <v>20</v>
      </c>
    </row>
    <row r="18" customFormat="false" ht="26.85" hidden="false" customHeight="false" outlineLevel="0" collapsed="false">
      <c r="A18" s="3" t="s">
        <v>21</v>
      </c>
      <c r="B18" s="2" t="s">
        <v>22</v>
      </c>
    </row>
    <row r="19" customFormat="false" ht="15" hidden="false" customHeight="false" outlineLevel="0" collapsed="false">
      <c r="A19" s="3" t="s">
        <v>23</v>
      </c>
      <c r="B19" s="2" t="s">
        <v>24</v>
      </c>
    </row>
    <row r="20" customFormat="false" ht="15" hidden="false" customHeight="false" outlineLevel="0" collapsed="false">
      <c r="A20" s="3"/>
      <c r="B20" s="2"/>
    </row>
    <row r="21" customFormat="false" ht="15" hidden="false" customHeight="false" outlineLevel="0" collapsed="false">
      <c r="A21" s="4" t="s">
        <v>25</v>
      </c>
      <c r="B21" s="2"/>
    </row>
    <row r="22" customFormat="false" ht="15" hidden="false" customHeight="false" outlineLevel="0" collapsed="false">
      <c r="A22" s="3" t="s">
        <v>26</v>
      </c>
      <c r="B22" s="5" t="n">
        <v>0.2</v>
      </c>
    </row>
    <row r="23" customFormat="false" ht="52.2" hidden="false" customHeight="false" outlineLevel="0" collapsed="false">
      <c r="A23" s="3" t="s">
        <v>27</v>
      </c>
      <c r="B23" s="2" t="s">
        <v>28</v>
      </c>
    </row>
    <row r="24" customFormat="false" ht="15" hidden="false" customHeight="false" outlineLevel="0" collapsed="false">
      <c r="A24" s="3"/>
      <c r="B24" s="2"/>
    </row>
    <row r="25" customFormat="false" ht="90.25" hidden="false" customHeight="false" outlineLevel="0" collapsed="false">
      <c r="A25" s="4" t="s">
        <v>29</v>
      </c>
      <c r="B25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9" min="8" style="0" width="10"/>
    <col collapsed="false" customWidth="true" hidden="false" outlineLevel="0" max="10" min="10" style="0" width="24"/>
    <col collapsed="false" customWidth="true" hidden="false" outlineLevel="0" max="14" min="11" style="0" width="10"/>
    <col collapsed="false" customWidth="true" hidden="false" outlineLevel="0" max="15" min="15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1</v>
      </c>
      <c r="E1" s="6" t="s">
        <v>34</v>
      </c>
      <c r="F1" s="6" t="s">
        <v>35</v>
      </c>
      <c r="G1" s="6" t="s">
        <v>36</v>
      </c>
      <c r="H1" s="6" t="s">
        <v>15</v>
      </c>
      <c r="I1" s="6" t="s">
        <v>17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21</v>
      </c>
      <c r="O1" s="6" t="s">
        <v>27</v>
      </c>
    </row>
    <row r="2" customFormat="false" ht="15" hidden="false" customHeight="false" outlineLevel="0" collapsed="false">
      <c r="A2" s="7" t="s">
        <v>41</v>
      </c>
      <c r="B2" s="7" t="s">
        <v>42</v>
      </c>
      <c r="C2" s="7" t="s">
        <v>43</v>
      </c>
      <c r="D2" s="8" t="n">
        <v>10</v>
      </c>
      <c r="E2" s="7" t="s">
        <v>44</v>
      </c>
      <c r="F2" s="7" t="s">
        <v>45</v>
      </c>
      <c r="G2" s="7" t="s">
        <v>46</v>
      </c>
      <c r="H2" s="9" t="n">
        <v>5.42239116953925</v>
      </c>
      <c r="I2" s="10" t="n">
        <v>0.184420483276379</v>
      </c>
      <c r="J2" s="7" t="s">
        <v>47</v>
      </c>
      <c r="K2" s="9" t="n">
        <v>7.36937350500186</v>
      </c>
      <c r="L2" s="10" t="n">
        <v>0.13569674536394</v>
      </c>
      <c r="M2" s="10" t="n">
        <f aca="false">IF(AND(ISNUMBER(I2),ISNUMBER(L2)),I2-L2,"")</f>
        <v>0.0487237379124399</v>
      </c>
      <c r="N2" s="9" t="n">
        <v>7.5</v>
      </c>
      <c r="O2" s="9" t="n">
        <f aca="false">IF(AND(ISNUMBER(H2),H2&gt;0),H2*EXP('Read me'!$B$22),"")</f>
        <v>6.62292353029858</v>
      </c>
    </row>
    <row r="3" customFormat="false" ht="15" hidden="false" customHeight="false" outlineLevel="0" collapsed="false">
      <c r="A3" s="7" t="s">
        <v>48</v>
      </c>
      <c r="B3" s="7" t="s">
        <v>49</v>
      </c>
      <c r="C3" s="7" t="s">
        <v>50</v>
      </c>
      <c r="D3" s="8" t="n">
        <v>13</v>
      </c>
      <c r="E3" s="7" t="s">
        <v>51</v>
      </c>
      <c r="F3" s="7" t="s">
        <v>52</v>
      </c>
      <c r="G3" s="7" t="s">
        <v>53</v>
      </c>
      <c r="H3" s="9" t="n">
        <v>1.90226073730023</v>
      </c>
      <c r="I3" s="10" t="n">
        <v>0.525690290711273</v>
      </c>
      <c r="J3" s="7" t="s">
        <v>54</v>
      </c>
      <c r="K3" s="9" t="n">
        <v>5.32346888083586</v>
      </c>
      <c r="L3" s="10" t="n">
        <v>0.187847439777461</v>
      </c>
      <c r="M3" s="10" t="n">
        <f aca="false">IF(AND(ISNUMBER(I3),ISNUMBER(L3)),I3-L3,"")</f>
        <v>0.337842850933812</v>
      </c>
      <c r="N3" s="9" t="n">
        <v>1.72727272727273</v>
      </c>
      <c r="O3" s="9" t="n">
        <f aca="false">IF(AND(ISNUMBER(H3),H3&gt;0),H3*EXP('Read me'!$B$22),"")</f>
        <v>2.3234265112783</v>
      </c>
    </row>
    <row r="4" customFormat="false" ht="15" hidden="false" customHeight="false" outlineLevel="0" collapsed="false">
      <c r="A4" s="7" t="s">
        <v>55</v>
      </c>
      <c r="B4" s="7" t="s">
        <v>56</v>
      </c>
      <c r="C4" s="7" t="s">
        <v>57</v>
      </c>
      <c r="D4" s="8" t="n">
        <v>10</v>
      </c>
      <c r="E4" s="7" t="s">
        <v>58</v>
      </c>
      <c r="F4" s="7" t="s">
        <v>59</v>
      </c>
      <c r="G4" s="7" t="s">
        <v>60</v>
      </c>
      <c r="H4" s="9" t="n">
        <v>5.26836015612941</v>
      </c>
      <c r="I4" s="10" t="n">
        <v>0.189812383809137</v>
      </c>
      <c r="J4" s="7" t="s">
        <v>61</v>
      </c>
      <c r="K4" s="9" t="n">
        <v>5.84340442926075</v>
      </c>
      <c r="L4" s="10" t="n">
        <v>0.171133114626213</v>
      </c>
      <c r="M4" s="10" t="n">
        <f aca="false">IF(AND(ISNUMBER(I4),ISNUMBER(L4)),I4-L4,"")</f>
        <v>0.0186792691829242</v>
      </c>
      <c r="N4" s="9" t="n">
        <v>4.5</v>
      </c>
      <c r="O4" s="9" t="n">
        <f aca="false">IF(AND(ISNUMBER(H4),H4&gt;0),H4*EXP('Read me'!$B$22),"")</f>
        <v>6.4347896256776</v>
      </c>
    </row>
    <row r="5" customFormat="false" ht="15" hidden="false" customHeight="false" outlineLevel="0" collapsed="false">
      <c r="A5" s="7" t="s">
        <v>62</v>
      </c>
      <c r="B5" s="7" t="s">
        <v>63</v>
      </c>
      <c r="C5" s="7" t="s">
        <v>64</v>
      </c>
      <c r="D5" s="8" t="n">
        <v>9</v>
      </c>
      <c r="E5" s="7" t="s">
        <v>65</v>
      </c>
      <c r="F5" s="7" t="s">
        <v>66</v>
      </c>
      <c r="G5" s="7" t="s">
        <v>67</v>
      </c>
      <c r="H5" s="9" t="n">
        <v>2.19698373468503</v>
      </c>
      <c r="I5" s="10" t="n">
        <v>0.455169505450784</v>
      </c>
      <c r="J5" s="7" t="s">
        <v>68</v>
      </c>
      <c r="K5" s="9" t="n">
        <v>2.65077833783043</v>
      </c>
      <c r="L5" s="10" t="n">
        <v>0.377247688246337</v>
      </c>
      <c r="M5" s="10" t="n">
        <f aca="false">IF(AND(ISNUMBER(I5),ISNUMBER(L5)),I5-L5,"")</f>
        <v>0.0779218172044462</v>
      </c>
      <c r="N5" s="9" t="n">
        <v>1.90909090909091</v>
      </c>
      <c r="O5" s="9" t="n">
        <f aca="false">IF(AND(ISNUMBER(H5),H5&gt;0),H5*EXP('Read me'!$B$22),"")</f>
        <v>2.68340199317733</v>
      </c>
    </row>
    <row r="6" customFormat="false" ht="15" hidden="false" customHeight="false" outlineLevel="0" collapsed="false">
      <c r="A6" s="7" t="s">
        <v>69</v>
      </c>
      <c r="B6" s="7" t="s">
        <v>42</v>
      </c>
      <c r="C6" s="7" t="s">
        <v>70</v>
      </c>
      <c r="D6" s="8" t="n">
        <v>7</v>
      </c>
      <c r="E6" s="7" t="s">
        <v>71</v>
      </c>
      <c r="F6" s="7" t="s">
        <v>72</v>
      </c>
      <c r="G6" s="7" t="s">
        <v>73</v>
      </c>
      <c r="H6" s="9" t="n">
        <v>4.15559373778774</v>
      </c>
      <c r="I6" s="10" t="n">
        <v>0.240639500177021</v>
      </c>
      <c r="J6" s="7" t="s">
        <v>74</v>
      </c>
      <c r="K6" s="9" t="n">
        <v>4.32480598537306</v>
      </c>
      <c r="L6" s="10" t="n">
        <v>0.231224245291489</v>
      </c>
      <c r="M6" s="10" t="n">
        <f aca="false">IF(AND(ISNUMBER(I6),ISNUMBER(L6)),I6-L6,"")</f>
        <v>0.0094152548855316</v>
      </c>
      <c r="N6" s="9" t="n">
        <v>4.5</v>
      </c>
      <c r="O6" s="9" t="n">
        <f aca="false">IF(AND(ISNUMBER(H6),H6&gt;0),H6*EXP('Read me'!$B$22),"")</f>
        <v>5.07565365312708</v>
      </c>
    </row>
    <row r="7" customFormat="false" ht="15" hidden="false" customHeight="false" outlineLevel="0" collapsed="false">
      <c r="A7" s="7" t="s">
        <v>75</v>
      </c>
      <c r="B7" s="7" t="s">
        <v>49</v>
      </c>
      <c r="C7" s="7" t="s">
        <v>76</v>
      </c>
      <c r="D7" s="8" t="n">
        <v>9</v>
      </c>
      <c r="E7" s="7" t="s">
        <v>77</v>
      </c>
      <c r="F7" s="7" t="s">
        <v>78</v>
      </c>
      <c r="G7" s="7" t="s">
        <v>79</v>
      </c>
      <c r="H7" s="9" t="n">
        <v>4.43374591799746</v>
      </c>
      <c r="I7" s="10" t="n">
        <v>0.225542919800794</v>
      </c>
      <c r="J7" s="7" t="s">
        <v>80</v>
      </c>
      <c r="K7" s="9" t="n">
        <v>5.05615037095291</v>
      </c>
      <c r="L7" s="10" t="n">
        <v>0.197778927965613</v>
      </c>
      <c r="M7" s="10" t="n">
        <f aca="false">IF(AND(ISNUMBER(I7),ISNUMBER(L7)),I7-L7,"")</f>
        <v>0.0277639918351815</v>
      </c>
      <c r="N7" s="9" t="n">
        <v>3.75</v>
      </c>
      <c r="O7" s="9" t="n">
        <f aca="false">IF(AND(ISNUMBER(H7),H7&gt;0),H7*EXP('Read me'!$B$22),"")</f>
        <v>5.4153894932235</v>
      </c>
    </row>
    <row r="8" customFormat="false" ht="15" hidden="false" customHeight="false" outlineLevel="0" collapsed="false">
      <c r="A8" s="7" t="s">
        <v>81</v>
      </c>
      <c r="B8" s="7" t="s">
        <v>56</v>
      </c>
      <c r="C8" s="7" t="s">
        <v>82</v>
      </c>
      <c r="D8" s="8" t="n">
        <v>10</v>
      </c>
      <c r="E8" s="7" t="s">
        <v>83</v>
      </c>
      <c r="F8" s="7" t="s">
        <v>84</v>
      </c>
      <c r="G8" s="7" t="s">
        <v>85</v>
      </c>
      <c r="H8" s="9" t="n">
        <v>4.58882493328048</v>
      </c>
      <c r="I8" s="10" t="n">
        <v>0.217920712718303</v>
      </c>
      <c r="J8" s="7" t="s">
        <v>86</v>
      </c>
      <c r="K8" s="9" t="n">
        <v>4.88750453280089</v>
      </c>
      <c r="L8" s="10" t="n">
        <v>0.204603390807891</v>
      </c>
      <c r="M8" s="10" t="n">
        <f aca="false">IF(AND(ISNUMBER(I8),ISNUMBER(L8)),I8-L8,"")</f>
        <v>0.0133173219104113</v>
      </c>
      <c r="N8" s="9" t="n">
        <v>3.25</v>
      </c>
      <c r="O8" s="9" t="n">
        <f aca="false">IF(AND(ISNUMBER(H8),H8&gt;0),H8*EXP('Read me'!$B$22),"")</f>
        <v>5.60480343022294</v>
      </c>
    </row>
    <row r="9" customFormat="false" ht="15" hidden="false" customHeight="false" outlineLevel="0" collapsed="false">
      <c r="A9" s="7" t="s">
        <v>87</v>
      </c>
      <c r="B9" s="7" t="s">
        <v>63</v>
      </c>
      <c r="C9" s="7" t="s">
        <v>88</v>
      </c>
      <c r="D9" s="8" t="n">
        <v>6</v>
      </c>
      <c r="E9" s="7" t="s">
        <v>89</v>
      </c>
      <c r="F9" s="7" t="s">
        <v>90</v>
      </c>
      <c r="G9" s="7" t="s">
        <v>91</v>
      </c>
      <c r="H9" s="9" t="n">
        <v>3.91379231338235</v>
      </c>
      <c r="I9" s="10" t="n">
        <v>0.255506659507895</v>
      </c>
      <c r="J9" s="7" t="s">
        <v>92</v>
      </c>
      <c r="K9" s="9" t="n">
        <v>4.324991638038</v>
      </c>
      <c r="L9" s="10" t="n">
        <v>0.23121431986251</v>
      </c>
      <c r="M9" s="10" t="n">
        <f aca="false">IF(AND(ISNUMBER(I9),ISNUMBER(L9)),I9-L9,"")</f>
        <v>0.0242923396453849</v>
      </c>
      <c r="N9" s="9" t="n">
        <v>2.625</v>
      </c>
      <c r="O9" s="9" t="n">
        <f aca="false">IF(AND(ISNUMBER(H9),H9&gt;0),H9*EXP('Read me'!$B$22),"")</f>
        <v>4.78031672643127</v>
      </c>
    </row>
    <row r="10" customFormat="false" ht="15" hidden="false" customHeight="false" outlineLevel="0" collapsed="false">
      <c r="A10" s="7" t="s">
        <v>93</v>
      </c>
      <c r="B10" s="7" t="s">
        <v>42</v>
      </c>
      <c r="C10" s="7" t="s">
        <v>94</v>
      </c>
      <c r="D10" s="8" t="n">
        <v>6</v>
      </c>
      <c r="E10" s="7" t="s">
        <v>95</v>
      </c>
      <c r="F10" s="7" t="s">
        <v>72</v>
      </c>
      <c r="G10" s="7" t="s">
        <v>73</v>
      </c>
      <c r="H10" s="9" t="n">
        <v>1.82781272009048</v>
      </c>
      <c r="I10" s="10" t="n">
        <v>0.547102002852075</v>
      </c>
      <c r="J10" s="7" t="s">
        <v>96</v>
      </c>
      <c r="K10" s="9" t="n">
        <v>6.50551080807952</v>
      </c>
      <c r="L10" s="10" t="n">
        <v>0.153715831008697</v>
      </c>
      <c r="M10" s="10" t="n">
        <f aca="false">IF(AND(ISNUMBER(I10),ISNUMBER(L10)),I10-L10,"")</f>
        <v>0.393386171843379</v>
      </c>
      <c r="N10" s="9" t="n">
        <v>2.5</v>
      </c>
      <c r="O10" s="9" t="n">
        <f aca="false">IF(AND(ISNUMBER(H10),H10&gt;0),H10*EXP('Read me'!$B$22),"")</f>
        <v>2.23249549771875</v>
      </c>
    </row>
    <row r="11" customFormat="false" ht="15" hidden="false" customHeight="false" outlineLevel="0" collapsed="false">
      <c r="A11" s="7" t="s">
        <v>97</v>
      </c>
      <c r="B11" s="7" t="s">
        <v>98</v>
      </c>
      <c r="C11" s="7" t="s">
        <v>99</v>
      </c>
      <c r="D11" s="8" t="n">
        <v>9</v>
      </c>
      <c r="E11" s="7" t="s">
        <v>100</v>
      </c>
      <c r="F11" s="7" t="s">
        <v>101</v>
      </c>
      <c r="G11" s="7" t="s">
        <v>102</v>
      </c>
      <c r="H11" s="9" t="n">
        <v>1.75227007036663</v>
      </c>
      <c r="I11" s="10" t="n">
        <v>0.570688284249909</v>
      </c>
      <c r="J11" s="7" t="s">
        <v>103</v>
      </c>
      <c r="K11" s="9" t="n">
        <v>3.63165835807926</v>
      </c>
      <c r="L11" s="10" t="n">
        <v>0.275356297702212</v>
      </c>
      <c r="M11" s="10" t="n">
        <f aca="false">IF(AND(ISNUMBER(I11),ISNUMBER(L11)),I11-L11,"")</f>
        <v>0.295331986547697</v>
      </c>
      <c r="N11" s="9" t="n">
        <v>2.2</v>
      </c>
      <c r="O11" s="9" t="n">
        <f aca="false">IF(AND(ISNUMBER(H11),H11&gt;0),H11*EXP('Read me'!$B$22),"")</f>
        <v>2.14022749698732</v>
      </c>
    </row>
    <row r="12" customFormat="false" ht="15" hidden="false" customHeight="false" outlineLevel="0" collapsed="false">
      <c r="A12" s="7" t="s">
        <v>104</v>
      </c>
      <c r="B12" s="7" t="s">
        <v>49</v>
      </c>
      <c r="C12" s="7" t="s">
        <v>105</v>
      </c>
      <c r="D12" s="8" t="n">
        <v>20</v>
      </c>
      <c r="E12" s="7" t="s">
        <v>106</v>
      </c>
      <c r="F12" s="7" t="s">
        <v>107</v>
      </c>
      <c r="G12" s="7" t="s">
        <v>108</v>
      </c>
      <c r="H12" s="9" t="n">
        <v>6.60039018203497</v>
      </c>
      <c r="I12" s="10" t="n">
        <v>0.151506194697673</v>
      </c>
      <c r="J12" s="7" t="s">
        <v>109</v>
      </c>
      <c r="K12" s="9" t="n">
        <v>8.73666412473841</v>
      </c>
      <c r="L12" s="10" t="n">
        <v>0.114460163023601</v>
      </c>
      <c r="M12" s="10" t="n">
        <f aca="false">IF(AND(ISNUMBER(I12),ISNUMBER(L12)),I12-L12,"")</f>
        <v>0.0370460316740725</v>
      </c>
      <c r="N12" s="9" t="n">
        <v>5.5</v>
      </c>
      <c r="O12" s="9" t="n">
        <f aca="false">IF(AND(ISNUMBER(H12),H12&gt;0),H12*EXP('Read me'!$B$22),"")</f>
        <v>8.06173477327082</v>
      </c>
    </row>
    <row r="13" customFormat="false" ht="15" hidden="false" customHeight="false" outlineLevel="0" collapsed="false">
      <c r="A13" s="7" t="s">
        <v>110</v>
      </c>
      <c r="B13" s="7" t="s">
        <v>56</v>
      </c>
      <c r="C13" s="7" t="s">
        <v>111</v>
      </c>
      <c r="D13" s="8" t="n">
        <v>9</v>
      </c>
      <c r="E13" s="7" t="s">
        <v>112</v>
      </c>
      <c r="F13" s="7" t="s">
        <v>113</v>
      </c>
      <c r="G13" s="7" t="s">
        <v>114</v>
      </c>
      <c r="H13" s="9" t="n">
        <v>2.52503190090427</v>
      </c>
      <c r="I13" s="10" t="n">
        <v>0.396034600450743</v>
      </c>
      <c r="J13" s="7" t="s">
        <v>115</v>
      </c>
      <c r="K13" s="9" t="n">
        <v>7.09889269139398</v>
      </c>
      <c r="L13" s="10" t="n">
        <v>0.140867039899378</v>
      </c>
      <c r="M13" s="10" t="n">
        <f aca="false">IF(AND(ISNUMBER(I13),ISNUMBER(L13)),I13-L13,"")</f>
        <v>0.255167560551364</v>
      </c>
      <c r="N13" s="9" t="n">
        <v>1.72727272727273</v>
      </c>
      <c r="O13" s="9" t="n">
        <f aca="false">IF(AND(ISNUMBER(H13),H13&gt;0),H13*EXP('Read me'!$B$22),"")</f>
        <v>3.08408092820689</v>
      </c>
    </row>
    <row r="14" customFormat="false" ht="15" hidden="false" customHeight="false" outlineLevel="0" collapsed="false">
      <c r="A14" s="7" t="s">
        <v>116</v>
      </c>
      <c r="B14" s="7" t="s">
        <v>117</v>
      </c>
      <c r="C14" s="7" t="s">
        <v>118</v>
      </c>
      <c r="D14" s="8" t="n">
        <v>12</v>
      </c>
      <c r="E14" s="7" t="s">
        <v>119</v>
      </c>
      <c r="F14" s="7" t="s">
        <v>120</v>
      </c>
      <c r="G14" s="7" t="s">
        <v>121</v>
      </c>
      <c r="H14" s="9" t="n">
        <v>1.63893926112457</v>
      </c>
      <c r="I14" s="10" t="n">
        <v>0.61015073817552</v>
      </c>
      <c r="J14" s="7" t="s">
        <v>122</v>
      </c>
      <c r="K14" s="9" t="n">
        <v>5.31061996209585</v>
      </c>
      <c r="L14" s="10" t="n">
        <v>0.18830193219199</v>
      </c>
      <c r="M14" s="10" t="n">
        <f aca="false">IF(AND(ISNUMBER(I14),ISNUMBER(L14)),I14-L14,"")</f>
        <v>0.42184880598353</v>
      </c>
      <c r="N14" s="9" t="n">
        <v>1.72727272727273</v>
      </c>
      <c r="O14" s="9" t="n">
        <f aca="false">IF(AND(ISNUMBER(H14),H14&gt;0),H14*EXP('Read me'!$B$22),"")</f>
        <v>2.00180493399455</v>
      </c>
    </row>
    <row r="15" customFormat="false" ht="15" hidden="false" customHeight="false" outlineLevel="0" collapsed="false">
      <c r="A15" s="7" t="s">
        <v>123</v>
      </c>
      <c r="B15" s="7" t="s">
        <v>63</v>
      </c>
      <c r="C15" s="7" t="s">
        <v>124</v>
      </c>
      <c r="D15" s="8" t="n">
        <v>14</v>
      </c>
      <c r="E15" s="7" t="s">
        <v>125</v>
      </c>
      <c r="F15" s="7" t="s">
        <v>126</v>
      </c>
      <c r="G15" s="7" t="s">
        <v>127</v>
      </c>
      <c r="H15" s="9" t="n">
        <v>6.41144031517265</v>
      </c>
      <c r="I15" s="10" t="n">
        <v>0.15597119381015</v>
      </c>
      <c r="J15" s="7" t="s">
        <v>128</v>
      </c>
      <c r="K15" s="9" t="n">
        <v>8.51503731580013</v>
      </c>
      <c r="L15" s="10" t="n">
        <v>0.117439297434956</v>
      </c>
      <c r="M15" s="10" t="n">
        <f aca="false">IF(AND(ISNUMBER(I15),ISNUMBER(L15)),I15-L15,"")</f>
        <v>0.0385318963751937</v>
      </c>
      <c r="N15" s="9" t="n">
        <v>7</v>
      </c>
      <c r="O15" s="9" t="n">
        <f aca="false">IF(AND(ISNUMBER(H15),H15&gt;0),H15*EXP('Read me'!$B$22),"")</f>
        <v>7.83095088473118</v>
      </c>
    </row>
    <row r="16" customFormat="false" ht="15" hidden="false" customHeight="false" outlineLevel="0" collapsed="false">
      <c r="A16" s="7" t="s">
        <v>129</v>
      </c>
      <c r="B16" s="7" t="s">
        <v>42</v>
      </c>
      <c r="C16" s="7" t="s">
        <v>130</v>
      </c>
      <c r="D16" s="8" t="n">
        <v>7</v>
      </c>
      <c r="E16" s="7" t="s">
        <v>131</v>
      </c>
      <c r="F16" s="7" t="s">
        <v>132</v>
      </c>
      <c r="G16" s="7" t="s">
        <v>133</v>
      </c>
      <c r="H16" s="9" t="n">
        <v>2.80950963069644</v>
      </c>
      <c r="I16" s="10" t="n">
        <v>0.355933999682398</v>
      </c>
      <c r="J16" s="7" t="s">
        <v>134</v>
      </c>
      <c r="K16" s="9" t="n">
        <v>3.31894406564077</v>
      </c>
      <c r="L16" s="10" t="n">
        <v>0.301300648707057</v>
      </c>
      <c r="M16" s="10" t="n">
        <f aca="false">IF(AND(ISNUMBER(I16),ISNUMBER(L16)),I16-L16,"")</f>
        <v>0.0546333509753414</v>
      </c>
      <c r="N16" s="9" t="n">
        <v>2.25</v>
      </c>
      <c r="O16" s="9" t="n">
        <f aca="false">IF(AND(ISNUMBER(H16),H16&gt;0),H16*EXP('Read me'!$B$22),"")</f>
        <v>3.43154281201019</v>
      </c>
    </row>
    <row r="17" customFormat="false" ht="15" hidden="false" customHeight="false" outlineLevel="0" collapsed="false">
      <c r="A17" s="7" t="s">
        <v>135</v>
      </c>
      <c r="B17" s="7" t="s">
        <v>98</v>
      </c>
      <c r="C17" s="7" t="s">
        <v>136</v>
      </c>
      <c r="D17" s="8" t="n">
        <v>7</v>
      </c>
      <c r="E17" s="7" t="s">
        <v>137</v>
      </c>
      <c r="F17" s="7" t="s">
        <v>138</v>
      </c>
      <c r="G17" s="7" t="s">
        <v>139</v>
      </c>
      <c r="H17" s="9" t="n">
        <v>2.34186490265621</v>
      </c>
      <c r="I17" s="10" t="n">
        <v>0.427010114403171</v>
      </c>
      <c r="J17" s="7" t="s">
        <v>140</v>
      </c>
      <c r="K17" s="9" t="n">
        <v>3.35096897382682</v>
      </c>
      <c r="L17" s="10" t="n">
        <v>0.298421145588226</v>
      </c>
      <c r="M17" s="10" t="n">
        <f aca="false">IF(AND(ISNUMBER(I17),ISNUMBER(L17)),I17-L17,"")</f>
        <v>0.128588968814945</v>
      </c>
      <c r="N17" s="9" t="n">
        <v>1.90909090909091</v>
      </c>
      <c r="O17" s="9" t="n">
        <f aca="false">IF(AND(ISNUMBER(H17),H17&gt;0),H17*EXP('Read me'!$B$22),"")</f>
        <v>2.8603602513428</v>
      </c>
    </row>
    <row r="18" customFormat="false" ht="15" hidden="false" customHeight="false" outlineLevel="0" collapsed="false">
      <c r="A18" s="7" t="s">
        <v>141</v>
      </c>
      <c r="B18" s="7" t="s">
        <v>49</v>
      </c>
      <c r="C18" s="7" t="s">
        <v>142</v>
      </c>
      <c r="D18" s="8" t="n">
        <v>6</v>
      </c>
      <c r="E18" s="7" t="s">
        <v>143</v>
      </c>
      <c r="F18" s="7" t="s">
        <v>144</v>
      </c>
      <c r="G18" s="7" t="s">
        <v>73</v>
      </c>
      <c r="H18" s="9" t="n">
        <v>2.43164762533301</v>
      </c>
      <c r="I18" s="10" t="n">
        <v>0.411243796009733</v>
      </c>
      <c r="J18" s="7" t="s">
        <v>145</v>
      </c>
      <c r="K18" s="9" t="n">
        <v>4.51984941589422</v>
      </c>
      <c r="L18" s="10" t="n">
        <v>0.221246308888845</v>
      </c>
      <c r="M18" s="10" t="n">
        <f aca="false">IF(AND(ISNUMBER(I18),ISNUMBER(L18)),I18-L18,"")</f>
        <v>0.189997487120887</v>
      </c>
      <c r="N18" s="9" t="n">
        <v>1.83333333333333</v>
      </c>
      <c r="O18" s="9" t="n">
        <f aca="false">IF(AND(ISNUMBER(H18),H18&gt;0),H18*EXP('Read me'!$B$22),"")</f>
        <v>2.97002111645537</v>
      </c>
    </row>
    <row r="19" customFormat="false" ht="15" hidden="false" customHeight="false" outlineLevel="0" collapsed="false">
      <c r="A19" s="7" t="s">
        <v>146</v>
      </c>
      <c r="B19" s="7" t="s">
        <v>56</v>
      </c>
      <c r="C19" s="7" t="s">
        <v>147</v>
      </c>
      <c r="D19" s="8" t="n">
        <v>11</v>
      </c>
      <c r="E19" s="7" t="s">
        <v>148</v>
      </c>
      <c r="F19" s="7" t="s">
        <v>59</v>
      </c>
      <c r="G19" s="7" t="s">
        <v>60</v>
      </c>
      <c r="H19" s="9" t="n">
        <v>6.40532918566609</v>
      </c>
      <c r="I19" s="10" t="n">
        <v>0.156120001176178</v>
      </c>
      <c r="J19" s="7" t="s">
        <v>149</v>
      </c>
      <c r="K19" s="9" t="n">
        <v>6.47735479313968</v>
      </c>
      <c r="L19" s="10" t="n">
        <v>0.154384008894977</v>
      </c>
      <c r="M19" s="10" t="n">
        <f aca="false">IF(AND(ISNUMBER(I19),ISNUMBER(L19)),I19-L19,"")</f>
        <v>0.001735992281201</v>
      </c>
      <c r="N19" s="9" t="n">
        <v>7.5</v>
      </c>
      <c r="O19" s="9" t="n">
        <f aca="false">IF(AND(ISNUMBER(H19),H19&gt;0),H19*EXP('Read me'!$B$22),"")</f>
        <v>7.8234867342964</v>
      </c>
    </row>
    <row r="20" customFormat="false" ht="15" hidden="false" customHeight="false" outlineLevel="0" collapsed="false">
      <c r="A20" s="7" t="s">
        <v>150</v>
      </c>
      <c r="B20" s="7" t="s">
        <v>117</v>
      </c>
      <c r="C20" s="7" t="s">
        <v>151</v>
      </c>
      <c r="D20" s="8" t="n">
        <v>6</v>
      </c>
      <c r="E20" s="7" t="s">
        <v>152</v>
      </c>
      <c r="F20" s="7" t="s">
        <v>153</v>
      </c>
      <c r="G20" s="7" t="s">
        <v>154</v>
      </c>
      <c r="H20" s="9" t="n">
        <v>1.72523602794721</v>
      </c>
      <c r="I20" s="10" t="n">
        <v>0.579630835318144</v>
      </c>
      <c r="J20" s="7" t="s">
        <v>155</v>
      </c>
      <c r="K20" s="9" t="n">
        <v>4.40663266037417</v>
      </c>
      <c r="L20" s="10" t="n">
        <v>0.22693064683887</v>
      </c>
      <c r="M20" s="10" t="n">
        <f aca="false">IF(AND(ISNUMBER(I20),ISNUMBER(L20)),I20-L20,"")</f>
        <v>0.352700188479274</v>
      </c>
      <c r="N20" s="9" t="n">
        <v>1.72727272727273</v>
      </c>
      <c r="O20" s="9" t="n">
        <f aca="false">IF(AND(ISNUMBER(H20),H20&gt;0),H20*EXP('Read me'!$B$22),"")</f>
        <v>2.10720804301202</v>
      </c>
    </row>
    <row r="21" customFormat="false" ht="15" hidden="false" customHeight="false" outlineLevel="0" collapsed="false">
      <c r="A21" s="7" t="s">
        <v>156</v>
      </c>
      <c r="B21" s="7" t="s">
        <v>63</v>
      </c>
      <c r="C21" s="7" t="s">
        <v>157</v>
      </c>
      <c r="D21" s="8" t="n">
        <v>12</v>
      </c>
      <c r="E21" s="7" t="s">
        <v>158</v>
      </c>
      <c r="F21" s="7" t="s">
        <v>159</v>
      </c>
      <c r="G21" s="7" t="s">
        <v>160</v>
      </c>
      <c r="H21" s="9" t="n">
        <v>7.33535194452838</v>
      </c>
      <c r="I21" s="10" t="n">
        <v>0.136326110534604</v>
      </c>
      <c r="J21" s="7" t="s">
        <v>161</v>
      </c>
      <c r="K21" s="9" t="n">
        <v>8.19243745821569</v>
      </c>
      <c r="L21" s="10" t="n">
        <v>0.122063794212693</v>
      </c>
      <c r="M21" s="10" t="n">
        <f aca="false">IF(AND(ISNUMBER(I21),ISNUMBER(L21)),I21-L21,"")</f>
        <v>0.0142623163219109</v>
      </c>
      <c r="N21" s="9" t="n">
        <v>6.5</v>
      </c>
      <c r="O21" s="9" t="n">
        <f aca="false">IF(AND(ISNUMBER(H21),H21&gt;0),H21*EXP('Read me'!$B$22),"")</f>
        <v>8.95941909712253</v>
      </c>
    </row>
    <row r="22" customFormat="false" ht="15" hidden="false" customHeight="false" outlineLevel="0" collapsed="false">
      <c r="A22" s="7" t="s">
        <v>162</v>
      </c>
      <c r="B22" s="7" t="s">
        <v>42</v>
      </c>
      <c r="C22" s="7" t="s">
        <v>163</v>
      </c>
      <c r="D22" s="8" t="n">
        <v>27</v>
      </c>
      <c r="E22" s="7" t="s">
        <v>164</v>
      </c>
      <c r="F22" s="7" t="s">
        <v>165</v>
      </c>
      <c r="G22" s="7" t="s">
        <v>166</v>
      </c>
      <c r="H22" s="9" t="n">
        <v>8.58236549340676</v>
      </c>
      <c r="I22" s="10" t="n">
        <v>0.116517992710545</v>
      </c>
      <c r="J22" s="7" t="s">
        <v>167</v>
      </c>
      <c r="K22" s="9" t="n">
        <v>10.9016318319471</v>
      </c>
      <c r="L22" s="10" t="n">
        <v>0.0917293865189537</v>
      </c>
      <c r="M22" s="10" t="n">
        <f aca="false">IF(AND(ISNUMBER(I22),ISNUMBER(L22)),I22-L22,"")</f>
        <v>0.024788606191591</v>
      </c>
      <c r="N22" s="9" t="n">
        <v>5</v>
      </c>
      <c r="O22" s="9" t="n">
        <f aca="false">IF(AND(ISNUMBER(H22),H22&gt;0),H22*EXP('Read me'!$B$22),"")</f>
        <v>10.4825248851857</v>
      </c>
    </row>
    <row r="23" customFormat="false" ht="15" hidden="false" customHeight="false" outlineLevel="0" collapsed="false">
      <c r="A23" s="7" t="s">
        <v>168</v>
      </c>
      <c r="B23" s="7" t="s">
        <v>49</v>
      </c>
      <c r="C23" s="7" t="s">
        <v>169</v>
      </c>
      <c r="D23" s="8" t="n">
        <v>11</v>
      </c>
      <c r="E23" s="7" t="s">
        <v>170</v>
      </c>
      <c r="F23" s="7" t="s">
        <v>171</v>
      </c>
      <c r="G23" s="7" t="s">
        <v>172</v>
      </c>
      <c r="H23" s="9" t="n">
        <v>4.16719240541826</v>
      </c>
      <c r="I23" s="10" t="n">
        <v>0.239969721268397</v>
      </c>
      <c r="J23" s="7" t="s">
        <v>173</v>
      </c>
      <c r="K23" s="9" t="n">
        <v>8.88438838013731</v>
      </c>
      <c r="L23" s="10" t="n">
        <v>0.112556988417535</v>
      </c>
      <c r="M23" s="10" t="n">
        <f aca="false">IF(AND(ISNUMBER(I23),ISNUMBER(L23)),I23-L23,"")</f>
        <v>0.127412732850862</v>
      </c>
      <c r="N23" s="9" t="n">
        <v>4.5</v>
      </c>
      <c r="O23" s="9" t="n">
        <f aca="false">IF(AND(ISNUMBER(H23),H23&gt;0),H23*EXP('Read me'!$B$22),"")</f>
        <v>5.08982029776197</v>
      </c>
    </row>
    <row r="24" customFormat="false" ht="15" hidden="false" customHeight="false" outlineLevel="0" collapsed="false">
      <c r="A24" s="7" t="s">
        <v>174</v>
      </c>
      <c r="B24" s="7" t="s">
        <v>98</v>
      </c>
      <c r="C24" s="7" t="s">
        <v>175</v>
      </c>
      <c r="D24" s="8" t="n">
        <v>4</v>
      </c>
      <c r="E24" s="7" t="s">
        <v>176</v>
      </c>
      <c r="F24" s="7" t="s">
        <v>177</v>
      </c>
      <c r="G24" s="7" t="s">
        <v>178</v>
      </c>
      <c r="H24" s="9" t="n">
        <v>3.03344045606776</v>
      </c>
      <c r="I24" s="10" t="n">
        <v>0.32965868771207</v>
      </c>
      <c r="J24" s="7" t="s">
        <v>179</v>
      </c>
      <c r="K24" s="9" t="n">
        <v>3.50635945716669</v>
      </c>
      <c r="L24" s="10" t="n">
        <v>0.285196087912803</v>
      </c>
      <c r="M24" s="10" t="n">
        <f aca="false">IF(AND(ISNUMBER(I24),ISNUMBER(L24)),I24-L24,"")</f>
        <v>0.0444625997992666</v>
      </c>
      <c r="N24" s="9" t="n">
        <v>2.75</v>
      </c>
      <c r="O24" s="9" t="n">
        <f aca="false">IF(AND(ISNUMBER(H24),H24&gt;0),H24*EXP('Read me'!$B$22),"")</f>
        <v>3.7050525397558</v>
      </c>
    </row>
    <row r="25" customFormat="false" ht="15" hidden="false" customHeight="false" outlineLevel="0" collapsed="false">
      <c r="A25" s="7" t="s">
        <v>180</v>
      </c>
      <c r="B25" s="7" t="s">
        <v>117</v>
      </c>
      <c r="C25" s="7" t="s">
        <v>181</v>
      </c>
      <c r="D25" s="8" t="n">
        <v>14</v>
      </c>
      <c r="E25" s="7" t="s">
        <v>182</v>
      </c>
      <c r="F25" s="7" t="s">
        <v>153</v>
      </c>
      <c r="G25" s="7" t="s">
        <v>154</v>
      </c>
      <c r="H25" s="9" t="n">
        <v>3.4155192029252</v>
      </c>
      <c r="I25" s="10" t="n">
        <v>0.292781255377969</v>
      </c>
      <c r="J25" s="7" t="s">
        <v>183</v>
      </c>
      <c r="K25" s="9" t="n">
        <v>9.03446239527828</v>
      </c>
      <c r="L25" s="10" t="n">
        <v>0.110687272385198</v>
      </c>
      <c r="M25" s="10" t="n">
        <f aca="false">IF(AND(ISNUMBER(I25),ISNUMBER(L25)),I25-L25,"")</f>
        <v>0.18209398299277</v>
      </c>
      <c r="N25" s="9" t="n">
        <v>2.75</v>
      </c>
      <c r="O25" s="9" t="n">
        <f aca="false">IF(AND(ISNUMBER(H25),H25&gt;0),H25*EXP('Read me'!$B$22),"")</f>
        <v>4.17172457500187</v>
      </c>
    </row>
    <row r="26" customFormat="false" ht="15" hidden="false" customHeight="false" outlineLevel="0" collapsed="false">
      <c r="A26" s="7" t="s">
        <v>184</v>
      </c>
      <c r="B26" s="7" t="s">
        <v>56</v>
      </c>
      <c r="C26" s="7" t="s">
        <v>185</v>
      </c>
      <c r="D26" s="8" t="n">
        <v>7</v>
      </c>
      <c r="E26" s="7" t="s">
        <v>186</v>
      </c>
      <c r="F26" s="7" t="s">
        <v>187</v>
      </c>
      <c r="G26" s="7" t="s">
        <v>188</v>
      </c>
      <c r="H26" s="9" t="n">
        <v>3.32408229304458</v>
      </c>
      <c r="I26" s="10" t="n">
        <v>0.300834910763923</v>
      </c>
      <c r="J26" s="7" t="s">
        <v>189</v>
      </c>
      <c r="K26" s="9" t="n">
        <v>4.0681309288796</v>
      </c>
      <c r="L26" s="10" t="n">
        <v>0.245813130767502</v>
      </c>
      <c r="M26" s="10" t="n">
        <f aca="false">IF(AND(ISNUMBER(I26),ISNUMBER(L26)),I26-L26,"")</f>
        <v>0.055021779996421</v>
      </c>
      <c r="N26" s="9" t="n">
        <v>4.5</v>
      </c>
      <c r="O26" s="9" t="n">
        <f aca="false">IF(AND(ISNUMBER(H26),H26&gt;0),H26*EXP('Read me'!$B$22),"")</f>
        <v>4.06004328107603</v>
      </c>
    </row>
    <row r="27" customFormat="false" ht="15" hidden="false" customHeight="false" outlineLevel="0" collapsed="false">
      <c r="A27" s="7" t="s">
        <v>190</v>
      </c>
      <c r="B27" s="7" t="s">
        <v>63</v>
      </c>
      <c r="C27" s="7" t="s">
        <v>191</v>
      </c>
      <c r="D27" s="8" t="n">
        <v>11</v>
      </c>
      <c r="E27" s="7" t="s">
        <v>192</v>
      </c>
      <c r="F27" s="7" t="s">
        <v>193</v>
      </c>
      <c r="G27" s="7" t="s">
        <v>194</v>
      </c>
      <c r="H27" s="9" t="n">
        <v>5.35720501389036</v>
      </c>
      <c r="I27" s="10" t="n">
        <v>0.18666450087446</v>
      </c>
      <c r="J27" s="7" t="s">
        <v>195</v>
      </c>
      <c r="K27" s="9" t="n">
        <v>8.18969922431517</v>
      </c>
      <c r="L27" s="10" t="n">
        <v>0.122104606361001</v>
      </c>
      <c r="M27" s="10" t="n">
        <f aca="false">IF(AND(ISNUMBER(I27),ISNUMBER(L27)),I27-L27,"")</f>
        <v>0.0645598945134594</v>
      </c>
      <c r="N27" s="9" t="n">
        <v>4.5</v>
      </c>
      <c r="O27" s="9" t="n">
        <f aca="false">IF(AND(ISNUMBER(H27),H27&gt;0),H27*EXP('Read me'!$B$22),"")</f>
        <v>6.54330497999517</v>
      </c>
    </row>
    <row r="28" customFormat="false" ht="15" hidden="false" customHeight="false" outlineLevel="0" collapsed="false">
      <c r="A28" s="7" t="s">
        <v>196</v>
      </c>
      <c r="B28" s="7" t="s">
        <v>197</v>
      </c>
      <c r="C28" s="7" t="s">
        <v>198</v>
      </c>
      <c r="D28" s="8" t="n">
        <v>9</v>
      </c>
      <c r="E28" s="7" t="s">
        <v>199</v>
      </c>
      <c r="F28" s="7" t="s">
        <v>200</v>
      </c>
      <c r="G28" s="7" t="s">
        <v>201</v>
      </c>
      <c r="H28" s="9" t="n">
        <v>5.05173217737264</v>
      </c>
      <c r="I28" s="10" t="n">
        <v>0.197951903404367</v>
      </c>
      <c r="J28" s="7" t="s">
        <v>202</v>
      </c>
      <c r="K28" s="9" t="n">
        <v>5.49913543258334</v>
      </c>
      <c r="L28" s="10" t="n">
        <v>0.181846767052658</v>
      </c>
      <c r="M28" s="10" t="n">
        <f aca="false">IF(AND(ISNUMBER(I28),ISNUMBER(L28)),I28-L28,"")</f>
        <v>0.0161051363517088</v>
      </c>
      <c r="N28" s="9" t="n">
        <v>4</v>
      </c>
      <c r="O28" s="9" t="n">
        <f aca="false">IF(AND(ISNUMBER(H28),H28&gt;0),H28*EXP('Read me'!$B$22),"")</f>
        <v>6.17019961492942</v>
      </c>
    </row>
    <row r="29" customFormat="false" ht="15" hidden="false" customHeight="false" outlineLevel="0" collapsed="false">
      <c r="A29" s="7" t="s">
        <v>203</v>
      </c>
      <c r="B29" s="7" t="s">
        <v>42</v>
      </c>
      <c r="C29" s="7" t="s">
        <v>204</v>
      </c>
      <c r="D29" s="8" t="n">
        <v>11</v>
      </c>
      <c r="E29" s="7" t="s">
        <v>205</v>
      </c>
      <c r="F29" s="7" t="s">
        <v>206</v>
      </c>
      <c r="G29" s="7" t="s">
        <v>207</v>
      </c>
      <c r="H29" s="9" t="n">
        <v>4.71305867461102</v>
      </c>
      <c r="I29" s="10" t="n">
        <v>0.212176437646945</v>
      </c>
      <c r="J29" s="7" t="s">
        <v>208</v>
      </c>
      <c r="K29" s="9" t="n">
        <v>4.99392632525399</v>
      </c>
      <c r="L29" s="10" t="n">
        <v>0.200243242464964</v>
      </c>
      <c r="M29" s="10" t="n">
        <f aca="false">IF(AND(ISNUMBER(I29),ISNUMBER(L29)),I29-L29,"")</f>
        <v>0.0119331951819817</v>
      </c>
      <c r="N29" s="9" t="n">
        <v>4</v>
      </c>
      <c r="O29" s="9" t="n">
        <f aca="false">IF(AND(ISNUMBER(H29),H29&gt;0),H29*EXP('Read me'!$B$22),"")</f>
        <v>5.75654286454062</v>
      </c>
    </row>
    <row r="30" customFormat="false" ht="15" hidden="false" customHeight="false" outlineLevel="0" collapsed="false">
      <c r="A30" s="7" t="s">
        <v>209</v>
      </c>
      <c r="B30" s="7" t="s">
        <v>49</v>
      </c>
      <c r="C30" s="7" t="s">
        <v>210</v>
      </c>
      <c r="D30" s="8" t="n">
        <v>19</v>
      </c>
      <c r="E30" s="7" t="s">
        <v>211</v>
      </c>
      <c r="F30" s="7" t="s">
        <v>212</v>
      </c>
      <c r="G30" s="7" t="s">
        <v>213</v>
      </c>
      <c r="H30" s="9" t="n">
        <v>4.71070076423076</v>
      </c>
      <c r="I30" s="10" t="n">
        <v>0.212282641171604</v>
      </c>
      <c r="J30" s="7" t="s">
        <v>214</v>
      </c>
      <c r="K30" s="9" t="n">
        <v>7.79278267838183</v>
      </c>
      <c r="L30" s="10" t="n">
        <v>0.128323865975902</v>
      </c>
      <c r="M30" s="10" t="n">
        <f aca="false">IF(AND(ISNUMBER(I30),ISNUMBER(L30)),I30-L30,"")</f>
        <v>0.0839587751957021</v>
      </c>
      <c r="N30" s="9" t="n">
        <v>3.75</v>
      </c>
      <c r="O30" s="9" t="n">
        <f aca="false">IF(AND(ISNUMBER(H30),H30&gt;0),H30*EXP('Read me'!$B$22),"")</f>
        <v>5.75366290629867</v>
      </c>
    </row>
    <row r="31" customFormat="false" ht="15" hidden="false" customHeight="false" outlineLevel="0" collapsed="false">
      <c r="A31" s="7" t="s">
        <v>215</v>
      </c>
      <c r="B31" s="7" t="s">
        <v>98</v>
      </c>
      <c r="C31" s="7" t="s">
        <v>216</v>
      </c>
      <c r="D31" s="8" t="n">
        <v>8</v>
      </c>
      <c r="E31" s="7" t="s">
        <v>217</v>
      </c>
      <c r="F31" s="7" t="s">
        <v>218</v>
      </c>
      <c r="G31" s="7" t="s">
        <v>219</v>
      </c>
      <c r="H31" s="9" t="n">
        <v>2.97780434713153</v>
      </c>
      <c r="I31" s="10" t="n">
        <v>0.33581789917235</v>
      </c>
      <c r="J31" s="7" t="s">
        <v>220</v>
      </c>
      <c r="K31" s="9" t="n">
        <v>3.71331973218848</v>
      </c>
      <c r="L31" s="10" t="n">
        <v>0.269300806857975</v>
      </c>
      <c r="M31" s="10" t="n">
        <f aca="false">IF(AND(ISNUMBER(I31),ISNUMBER(L31)),I31-L31,"")</f>
        <v>0.0665170923143742</v>
      </c>
      <c r="N31" s="9" t="n">
        <v>2.1</v>
      </c>
      <c r="O31" s="9" t="n">
        <f aca="false">IF(AND(ISNUMBER(H31),H31&gt;0),H31*EXP('Read me'!$B$22),"")</f>
        <v>3.63709844284779</v>
      </c>
    </row>
    <row r="32" customFormat="false" ht="15" hidden="false" customHeight="false" outlineLevel="0" collapsed="false">
      <c r="A32" s="7" t="s">
        <v>221</v>
      </c>
      <c r="B32" s="7" t="s">
        <v>117</v>
      </c>
      <c r="C32" s="7" t="s">
        <v>222</v>
      </c>
      <c r="D32" s="8" t="n">
        <v>19</v>
      </c>
      <c r="E32" s="7" t="s">
        <v>223</v>
      </c>
      <c r="F32" s="7" t="s">
        <v>224</v>
      </c>
      <c r="G32" s="7" t="s">
        <v>225</v>
      </c>
      <c r="H32" s="9" t="n">
        <v>5.3421039052785</v>
      </c>
      <c r="I32" s="10" t="n">
        <v>0.187192165807914</v>
      </c>
      <c r="J32" s="7" t="s">
        <v>226</v>
      </c>
      <c r="K32" s="9" t="n">
        <v>8.70516948855284</v>
      </c>
      <c r="L32" s="10" t="n">
        <v>0.114874271123036</v>
      </c>
      <c r="M32" s="10" t="n">
        <f aca="false">IF(AND(ISNUMBER(I32),ISNUMBER(L32)),I32-L32,"")</f>
        <v>0.0723178946848784</v>
      </c>
      <c r="N32" s="9" t="n">
        <v>8</v>
      </c>
      <c r="O32" s="9" t="n">
        <f aca="false">IF(AND(ISNUMBER(H32),H32&gt;0),H32*EXP('Read me'!$B$22),"")</f>
        <v>6.52486044428537</v>
      </c>
    </row>
    <row r="33" customFormat="false" ht="15" hidden="false" customHeight="false" outlineLevel="0" collapsed="false">
      <c r="A33" s="7" t="s">
        <v>227</v>
      </c>
      <c r="B33" s="7" t="s">
        <v>56</v>
      </c>
      <c r="C33" s="7" t="s">
        <v>228</v>
      </c>
      <c r="D33" s="8" t="n">
        <v>6</v>
      </c>
      <c r="E33" s="7" t="s">
        <v>229</v>
      </c>
      <c r="F33" s="7" t="s">
        <v>84</v>
      </c>
      <c r="G33" s="7" t="s">
        <v>230</v>
      </c>
      <c r="H33" s="9" t="n">
        <v>2.88832779379757</v>
      </c>
      <c r="I33" s="10" t="n">
        <v>0.346221091022775</v>
      </c>
      <c r="J33" s="7" t="s">
        <v>231</v>
      </c>
      <c r="K33" s="9" t="n">
        <v>3.6826015830931</v>
      </c>
      <c r="L33" s="10" t="n">
        <v>0.271547159646871</v>
      </c>
      <c r="M33" s="10" t="n">
        <f aca="false">IF(AND(ISNUMBER(I33),ISNUMBER(L33)),I33-L33,"")</f>
        <v>0.0746739313759043</v>
      </c>
      <c r="N33" s="9" t="n">
        <v>2.625</v>
      </c>
      <c r="O33" s="9" t="n">
        <f aca="false">IF(AND(ISNUMBER(H33),H33&gt;0),H33*EXP('Read me'!$B$22),"")</f>
        <v>3.52781153381503</v>
      </c>
    </row>
    <row r="34" customFormat="false" ht="15" hidden="false" customHeight="false" outlineLevel="0" collapsed="false">
      <c r="A34" s="7" t="s">
        <v>232</v>
      </c>
      <c r="B34" s="7" t="s">
        <v>63</v>
      </c>
      <c r="C34" s="7" t="s">
        <v>233</v>
      </c>
      <c r="D34" s="8" t="n">
        <v>10</v>
      </c>
      <c r="E34" s="7" t="s">
        <v>234</v>
      </c>
      <c r="F34" s="7" t="s">
        <v>235</v>
      </c>
      <c r="G34" s="7" t="s">
        <v>236</v>
      </c>
      <c r="H34" s="9" t="n">
        <v>4.51066895635256</v>
      </c>
      <c r="I34" s="10" t="n">
        <v>0.221696606351849</v>
      </c>
      <c r="J34" s="7" t="s">
        <v>237</v>
      </c>
      <c r="K34" s="9" t="n">
        <v>4.88244188774174</v>
      </c>
      <c r="L34" s="10" t="n">
        <v>0.204815545784719</v>
      </c>
      <c r="M34" s="10" t="n">
        <f aca="false">IF(AND(ISNUMBER(I34),ISNUMBER(L34)),I34-L34,"")</f>
        <v>0.0168810605671301</v>
      </c>
      <c r="N34" s="9" t="n">
        <v>3.5</v>
      </c>
      <c r="O34" s="9" t="n">
        <f aca="false">IF(AND(ISNUMBER(H34),H34&gt;0),H34*EXP('Read me'!$B$22),"")</f>
        <v>5.50934350443647</v>
      </c>
    </row>
    <row r="35" customFormat="false" ht="15" hidden="false" customHeight="false" outlineLevel="0" collapsed="false">
      <c r="A35" s="7" t="s">
        <v>238</v>
      </c>
      <c r="B35" s="7" t="s">
        <v>197</v>
      </c>
      <c r="C35" s="7" t="s">
        <v>239</v>
      </c>
      <c r="D35" s="8" t="n">
        <v>10</v>
      </c>
      <c r="E35" s="7" t="s">
        <v>240</v>
      </c>
      <c r="F35" s="7" t="s">
        <v>200</v>
      </c>
      <c r="G35" s="7" t="s">
        <v>241</v>
      </c>
      <c r="H35" s="9" t="n">
        <v>2.31421543300291</v>
      </c>
      <c r="I35" s="10" t="n">
        <v>0.432111888002754</v>
      </c>
      <c r="J35" s="7" t="s">
        <v>242</v>
      </c>
      <c r="K35" s="9" t="n">
        <v>5.82025846048623</v>
      </c>
      <c r="L35" s="10" t="n">
        <v>0.171813675765261</v>
      </c>
      <c r="M35" s="10" t="n">
        <f aca="false">IF(AND(ISNUMBER(I35),ISNUMBER(L35)),I35-L35,"")</f>
        <v>0.260298212237493</v>
      </c>
      <c r="N35" s="9" t="n">
        <v>2.875</v>
      </c>
      <c r="O35" s="9" t="n">
        <f aca="false">IF(AND(ISNUMBER(H35),H35&gt;0),H35*EXP('Read me'!$B$22),"")</f>
        <v>2.82658911284659</v>
      </c>
    </row>
    <row r="36" customFormat="false" ht="15" hidden="false" customHeight="false" outlineLevel="0" collapsed="false">
      <c r="A36" s="7" t="s">
        <v>243</v>
      </c>
      <c r="B36" s="7" t="s">
        <v>42</v>
      </c>
      <c r="C36" s="7" t="s">
        <v>244</v>
      </c>
      <c r="D36" s="8" t="n">
        <v>12</v>
      </c>
      <c r="E36" s="7" t="s">
        <v>245</v>
      </c>
      <c r="F36" s="7" t="s">
        <v>246</v>
      </c>
      <c r="G36" s="7" t="s">
        <v>247</v>
      </c>
      <c r="H36" s="9" t="n">
        <v>5.13145321501293</v>
      </c>
      <c r="I36" s="10" t="n">
        <v>0.194876569677052</v>
      </c>
      <c r="J36" s="7" t="s">
        <v>248</v>
      </c>
      <c r="K36" s="9" t="n">
        <v>6.78424055611339</v>
      </c>
      <c r="L36" s="10" t="n">
        <v>0.147400433656334</v>
      </c>
      <c r="M36" s="10" t="n">
        <f aca="false">IF(AND(ISNUMBER(I36),ISNUMBER(L36)),I36-L36,"")</f>
        <v>0.0474761360207182</v>
      </c>
      <c r="N36" s="9" t="n">
        <v>5</v>
      </c>
      <c r="O36" s="9" t="n">
        <f aca="false">IF(AND(ISNUMBER(H36),H36&gt;0),H36*EXP('Read me'!$B$22),"")</f>
        <v>6.26757111018667</v>
      </c>
    </row>
    <row r="37" customFormat="false" ht="15" hidden="false" customHeight="false" outlineLevel="0" collapsed="false">
      <c r="A37" s="7" t="s">
        <v>249</v>
      </c>
      <c r="B37" s="7" t="s">
        <v>49</v>
      </c>
      <c r="C37" s="7" t="s">
        <v>250</v>
      </c>
      <c r="D37" s="8" t="n">
        <v>18</v>
      </c>
      <c r="E37" s="7" t="s">
        <v>251</v>
      </c>
      <c r="F37" s="7" t="s">
        <v>252</v>
      </c>
      <c r="G37" s="7" t="s">
        <v>253</v>
      </c>
      <c r="H37" s="9" t="n">
        <v>4.21028083000194</v>
      </c>
      <c r="I37" s="10" t="n">
        <v>0.237513847740066</v>
      </c>
      <c r="J37" s="7" t="s">
        <v>254</v>
      </c>
      <c r="K37" s="9" t="n">
        <v>4.81663632211831</v>
      </c>
      <c r="L37" s="10" t="n">
        <v>0.207613764694655</v>
      </c>
      <c r="M37" s="10" t="n">
        <f aca="false">IF(AND(ISNUMBER(I37),ISNUMBER(L37)),I37-L37,"")</f>
        <v>0.0299000830454109</v>
      </c>
      <c r="N37" s="9" t="n">
        <v>4.33333333333333</v>
      </c>
      <c r="O37" s="9" t="n">
        <f aca="false">IF(AND(ISNUMBER(H37),H37&gt;0),H37*EXP('Read me'!$B$22),"")</f>
        <v>5.14244861839326</v>
      </c>
    </row>
    <row r="38" customFormat="false" ht="15" hidden="false" customHeight="false" outlineLevel="0" collapsed="false">
      <c r="A38" s="7" t="s">
        <v>255</v>
      </c>
      <c r="B38" s="7" t="s">
        <v>98</v>
      </c>
      <c r="C38" s="7" t="s">
        <v>256</v>
      </c>
      <c r="D38" s="8" t="n">
        <v>11</v>
      </c>
      <c r="E38" s="7" t="s">
        <v>257</v>
      </c>
      <c r="F38" s="7" t="s">
        <v>218</v>
      </c>
      <c r="G38" s="7" t="s">
        <v>219</v>
      </c>
      <c r="H38" s="9" t="n">
        <v>4.82930999727491</v>
      </c>
      <c r="I38" s="10" t="n">
        <v>0.207068918865072</v>
      </c>
      <c r="J38" s="7" t="s">
        <v>258</v>
      </c>
      <c r="K38" s="9" t="n">
        <v>5.64912937875498</v>
      </c>
      <c r="L38" s="10" t="n">
        <v>0.177018427611299</v>
      </c>
      <c r="M38" s="10" t="n">
        <f aca="false">IF(AND(ISNUMBER(I38),ISNUMBER(L38)),I38-L38,"")</f>
        <v>0.0300504912537733</v>
      </c>
      <c r="N38" s="9" t="n">
        <v>3.5</v>
      </c>
      <c r="O38" s="9" t="n">
        <f aca="false">IF(AND(ISNUMBER(H38),H38&gt;0),H38*EXP('Read me'!$B$22),"")</f>
        <v>5.89853255068206</v>
      </c>
    </row>
    <row r="39" customFormat="false" ht="15" hidden="false" customHeight="false" outlineLevel="0" collapsed="false">
      <c r="A39" s="7" t="s">
        <v>259</v>
      </c>
      <c r="B39" s="7" t="s">
        <v>117</v>
      </c>
      <c r="C39" s="7" t="s">
        <v>260</v>
      </c>
      <c r="D39" s="8" t="n">
        <v>13</v>
      </c>
      <c r="E39" s="7" t="s">
        <v>261</v>
      </c>
      <c r="F39" s="7" t="s">
        <v>153</v>
      </c>
      <c r="G39" s="7" t="s">
        <v>154</v>
      </c>
      <c r="H39" s="9" t="n">
        <v>4.55620328242862</v>
      </c>
      <c r="I39" s="10" t="n">
        <v>0.219480988448559</v>
      </c>
      <c r="J39" s="7" t="s">
        <v>262</v>
      </c>
      <c r="K39" s="9" t="n">
        <v>5.83872200596591</v>
      </c>
      <c r="L39" s="10" t="n">
        <v>0.171270356591428</v>
      </c>
      <c r="M39" s="10" t="n">
        <f aca="false">IF(AND(ISNUMBER(I39),ISNUMBER(L39)),I39-L39,"")</f>
        <v>0.0482106318571304</v>
      </c>
      <c r="N39" s="9" t="n">
        <v>5</v>
      </c>
      <c r="O39" s="9" t="n">
        <f aca="false">IF(AND(ISNUMBER(H39),H39&gt;0),H39*EXP('Read me'!$B$22),"")</f>
        <v>5.56495925589673</v>
      </c>
    </row>
    <row r="40" customFormat="false" ht="15" hidden="false" customHeight="false" outlineLevel="0" collapsed="false">
      <c r="A40" s="7" t="s">
        <v>263</v>
      </c>
      <c r="B40" s="7" t="s">
        <v>56</v>
      </c>
      <c r="C40" s="7" t="s">
        <v>264</v>
      </c>
      <c r="D40" s="8" t="n">
        <v>9</v>
      </c>
      <c r="E40" s="7" t="s">
        <v>265</v>
      </c>
      <c r="F40" s="7" t="s">
        <v>266</v>
      </c>
      <c r="G40" s="7" t="s">
        <v>267</v>
      </c>
      <c r="H40" s="9" t="n">
        <v>5.01631464656624</v>
      </c>
      <c r="I40" s="10" t="n">
        <v>0.199349536553597</v>
      </c>
      <c r="J40" s="7" t="s">
        <v>268</v>
      </c>
      <c r="K40" s="9" t="n">
        <v>5.79895090121431</v>
      </c>
      <c r="L40" s="10" t="n">
        <v>0.172444984797267</v>
      </c>
      <c r="M40" s="10" t="n">
        <f aca="false">IF(AND(ISNUMBER(I40),ISNUMBER(L40)),I40-L40,"")</f>
        <v>0.02690455175633</v>
      </c>
      <c r="N40" s="9" t="n">
        <v>3.5</v>
      </c>
      <c r="O40" s="9" t="n">
        <f aca="false">IF(AND(ISNUMBER(H40),H40&gt;0),H40*EXP('Read me'!$B$22),"")</f>
        <v>6.12694054511526</v>
      </c>
    </row>
    <row r="41" customFormat="false" ht="15" hidden="false" customHeight="false" outlineLevel="0" collapsed="false">
      <c r="A41" s="7" t="s">
        <v>269</v>
      </c>
      <c r="B41" s="7" t="s">
        <v>63</v>
      </c>
      <c r="C41" s="7" t="s">
        <v>270</v>
      </c>
      <c r="D41" s="8" t="n">
        <v>10</v>
      </c>
      <c r="E41" s="7" t="s">
        <v>271</v>
      </c>
      <c r="F41" s="7" t="s">
        <v>272</v>
      </c>
      <c r="G41" s="7" t="s">
        <v>273</v>
      </c>
      <c r="H41" s="9" t="n">
        <v>2.71392874178648</v>
      </c>
      <c r="I41" s="10" t="n">
        <v>0.368469512335735</v>
      </c>
      <c r="J41" s="7" t="s">
        <v>274</v>
      </c>
      <c r="K41" s="9" t="n">
        <v>3.26090078112105</v>
      </c>
      <c r="L41" s="10" t="n">
        <v>0.306663731012452</v>
      </c>
      <c r="M41" s="10" t="n">
        <f aca="false">IF(AND(ISNUMBER(I41),ISNUMBER(L41)),I41-L41,"")</f>
        <v>0.0618057813232836</v>
      </c>
      <c r="N41" s="9" t="n">
        <v>3</v>
      </c>
      <c r="O41" s="9" t="n">
        <f aca="false">IF(AND(ISNUMBER(H41),H41&gt;0),H41*EXP('Read me'!$B$22),"")</f>
        <v>3.31480005066816</v>
      </c>
    </row>
    <row r="42" customFormat="false" ht="15" hidden="false" customHeight="false" outlineLevel="0" collapsed="false">
      <c r="A42" s="7" t="s">
        <v>275</v>
      </c>
      <c r="B42" s="7" t="s">
        <v>197</v>
      </c>
      <c r="C42" s="7" t="s">
        <v>276</v>
      </c>
      <c r="D42" s="8" t="n">
        <v>10</v>
      </c>
      <c r="E42" s="7" t="s">
        <v>277</v>
      </c>
      <c r="F42" s="7" t="s">
        <v>278</v>
      </c>
      <c r="G42" s="7" t="s">
        <v>279</v>
      </c>
      <c r="H42" s="9" t="n">
        <v>3.52310281748753</v>
      </c>
      <c r="I42" s="10" t="n">
        <v>0.283840708547116</v>
      </c>
      <c r="J42" s="7" t="s">
        <v>280</v>
      </c>
      <c r="K42" s="9" t="n">
        <v>4.70530492906764</v>
      </c>
      <c r="L42" s="10" t="n">
        <v>0.212526077496565</v>
      </c>
      <c r="M42" s="10" t="n">
        <f aca="false">IF(AND(ISNUMBER(I42),ISNUMBER(L42)),I42-L42,"")</f>
        <v>0.0713146310505503</v>
      </c>
      <c r="N42" s="9" t="n">
        <v>2.625</v>
      </c>
      <c r="O42" s="9" t="n">
        <f aca="false">IF(AND(ISNUMBER(H42),H42&gt;0),H42*EXP('Read me'!$B$22),"")</f>
        <v>4.30312749856114</v>
      </c>
    </row>
    <row r="43" customFormat="false" ht="15" hidden="false" customHeight="false" outlineLevel="0" collapsed="false">
      <c r="A43" s="7" t="s">
        <v>281</v>
      </c>
      <c r="B43" s="7" t="s">
        <v>49</v>
      </c>
      <c r="C43" s="7" t="s">
        <v>282</v>
      </c>
      <c r="D43" s="8" t="n">
        <v>17</v>
      </c>
      <c r="E43" s="7" t="s">
        <v>283</v>
      </c>
      <c r="F43" s="7" t="s">
        <v>252</v>
      </c>
      <c r="G43" s="7" t="s">
        <v>253</v>
      </c>
      <c r="H43" s="9" t="n">
        <v>5.50473801946738</v>
      </c>
      <c r="I43" s="10" t="n">
        <v>0.18166168788842</v>
      </c>
      <c r="J43" s="7" t="s">
        <v>284</v>
      </c>
      <c r="K43" s="9" t="n">
        <v>5.9207081646354</v>
      </c>
      <c r="L43" s="10" t="n">
        <v>0.16889871484851</v>
      </c>
      <c r="M43" s="10" t="n">
        <f aca="false">IF(AND(ISNUMBER(I43),ISNUMBER(L43)),I43-L43,"")</f>
        <v>0.0127629730399095</v>
      </c>
      <c r="N43" s="9" t="n">
        <v>6.5</v>
      </c>
      <c r="O43" s="9" t="n">
        <f aca="false">IF(AND(ISNUMBER(H43),H43&gt;0),H43*EXP('Read me'!$B$22),"")</f>
        <v>6.72350219992661</v>
      </c>
    </row>
    <row r="44" customFormat="false" ht="15" hidden="false" customHeight="false" outlineLevel="0" collapsed="false">
      <c r="A44" s="7" t="s">
        <v>285</v>
      </c>
      <c r="B44" s="7" t="s">
        <v>98</v>
      </c>
      <c r="C44" s="7" t="s">
        <v>286</v>
      </c>
      <c r="D44" s="8" t="n">
        <v>12</v>
      </c>
      <c r="E44" s="7" t="s">
        <v>287</v>
      </c>
      <c r="F44" s="7" t="s">
        <v>288</v>
      </c>
      <c r="G44" s="7" t="s">
        <v>289</v>
      </c>
      <c r="H44" s="9" t="n">
        <v>4.92085280123625</v>
      </c>
      <c r="I44" s="10" t="n">
        <v>0.203216808222504</v>
      </c>
      <c r="J44" s="7" t="s">
        <v>290</v>
      </c>
      <c r="K44" s="9" t="n">
        <v>5.50947077011947</v>
      </c>
      <c r="L44" s="10" t="n">
        <v>0.181505636698081</v>
      </c>
      <c r="M44" s="10" t="n">
        <f aca="false">IF(AND(ISNUMBER(I44),ISNUMBER(L44)),I44-L44,"")</f>
        <v>0.0217111715244236</v>
      </c>
      <c r="N44" s="9" t="n">
        <v>4.33333333333333</v>
      </c>
      <c r="O44" s="9" t="n">
        <f aca="false">IF(AND(ISNUMBER(H44),H44&gt;0),H44*EXP('Read me'!$B$22),"")</f>
        <v>6.01034318393015</v>
      </c>
    </row>
    <row r="45" customFormat="false" ht="15" hidden="false" customHeight="false" outlineLevel="0" collapsed="false">
      <c r="A45" s="7" t="s">
        <v>291</v>
      </c>
      <c r="B45" s="7" t="s">
        <v>117</v>
      </c>
      <c r="C45" s="7" t="s">
        <v>292</v>
      </c>
      <c r="D45" s="8" t="n">
        <v>14</v>
      </c>
      <c r="E45" s="7" t="s">
        <v>293</v>
      </c>
      <c r="F45" s="7" t="s">
        <v>294</v>
      </c>
      <c r="G45" s="7" t="s">
        <v>295</v>
      </c>
      <c r="H45" s="9" t="n">
        <v>3.84992854605613</v>
      </c>
      <c r="I45" s="10" t="n">
        <v>0.259745080470234</v>
      </c>
      <c r="J45" s="7" t="s">
        <v>296</v>
      </c>
      <c r="K45" s="9" t="n">
        <v>5.20936087776512</v>
      </c>
      <c r="L45" s="10" t="n">
        <v>0.191962128073763</v>
      </c>
      <c r="M45" s="10" t="n">
        <f aca="false">IF(AND(ISNUMBER(I45),ISNUMBER(L45)),I45-L45,"")</f>
        <v>0.0677829523964707</v>
      </c>
      <c r="N45" s="9" t="n">
        <v>3.75</v>
      </c>
      <c r="O45" s="9" t="n">
        <f aca="false">IF(AND(ISNUMBER(H45),H45&gt;0),H45*EXP('Read me'!$B$22),"")</f>
        <v>4.70231334487253</v>
      </c>
    </row>
    <row r="46" customFormat="false" ht="15" hidden="false" customHeight="false" outlineLevel="0" collapsed="false">
      <c r="A46" s="7" t="s">
        <v>297</v>
      </c>
      <c r="B46" s="7" t="s">
        <v>63</v>
      </c>
      <c r="C46" s="7" t="s">
        <v>298</v>
      </c>
      <c r="D46" s="8" t="n">
        <v>5</v>
      </c>
      <c r="E46" s="7" t="s">
        <v>299</v>
      </c>
      <c r="F46" s="7" t="s">
        <v>300</v>
      </c>
      <c r="G46" s="7" t="s">
        <v>301</v>
      </c>
      <c r="H46" s="9" t="n">
        <v>2.75538507394132</v>
      </c>
      <c r="I46" s="10" t="n">
        <v>0.362925679411333</v>
      </c>
      <c r="J46" s="7" t="s">
        <v>302</v>
      </c>
      <c r="K46" s="9" t="n">
        <v>3.56348517877959</v>
      </c>
      <c r="L46" s="10" t="n">
        <v>0.280624150187283</v>
      </c>
      <c r="M46" s="10" t="n">
        <f aca="false">IF(AND(ISNUMBER(I46),ISNUMBER(L46)),I46-L46,"")</f>
        <v>0.0823015292240505</v>
      </c>
      <c r="N46" s="9" t="n">
        <v>2.625</v>
      </c>
      <c r="O46" s="9" t="n">
        <f aca="false">IF(AND(ISNUMBER(H46),H46&gt;0),H46*EXP('Read me'!$B$22),"")</f>
        <v>3.36543492910529</v>
      </c>
    </row>
    <row r="47" customFormat="false" ht="15" hidden="false" customHeight="false" outlineLevel="0" collapsed="false">
      <c r="A47" s="7" t="s">
        <v>303</v>
      </c>
      <c r="B47" s="7" t="s">
        <v>197</v>
      </c>
      <c r="C47" s="7" t="s">
        <v>304</v>
      </c>
      <c r="D47" s="8" t="n">
        <v>9</v>
      </c>
      <c r="E47" s="7" t="s">
        <v>305</v>
      </c>
      <c r="F47" s="7" t="s">
        <v>306</v>
      </c>
      <c r="G47" s="7" t="s">
        <v>307</v>
      </c>
      <c r="H47" s="9" t="n">
        <v>3.31822413341024</v>
      </c>
      <c r="I47" s="10" t="n">
        <v>0.301366019833105</v>
      </c>
      <c r="J47" s="7" t="s">
        <v>308</v>
      </c>
      <c r="K47" s="9" t="n">
        <v>5.78786943729925</v>
      </c>
      <c r="L47" s="10" t="n">
        <v>0.172775148236001</v>
      </c>
      <c r="M47" s="10" t="n">
        <f aca="false">IF(AND(ISNUMBER(I47),ISNUMBER(L47)),I47-L47,"")</f>
        <v>0.128590871597104</v>
      </c>
      <c r="N47" s="9" t="n">
        <v>2.5</v>
      </c>
      <c r="O47" s="9" t="n">
        <f aca="false">IF(AND(ISNUMBER(H47),H47&gt;0),H47*EXP('Read me'!$B$22),"")</f>
        <v>4.05288810874091</v>
      </c>
    </row>
    <row r="48" customFormat="false" ht="15" hidden="false" customHeight="false" outlineLevel="0" collapsed="false">
      <c r="A48" s="7" t="s">
        <v>309</v>
      </c>
      <c r="B48" s="7" t="s">
        <v>98</v>
      </c>
      <c r="C48" s="7" t="s">
        <v>310</v>
      </c>
      <c r="D48" s="8" t="n">
        <v>10</v>
      </c>
      <c r="E48" s="7" t="s">
        <v>311</v>
      </c>
      <c r="F48" s="7" t="s">
        <v>218</v>
      </c>
      <c r="G48" s="7" t="s">
        <v>219</v>
      </c>
      <c r="H48" s="9" t="n">
        <v>4.11203764040962</v>
      </c>
      <c r="I48" s="10" t="n">
        <v>0.243188435381245</v>
      </c>
      <c r="J48" s="7" t="s">
        <v>312</v>
      </c>
      <c r="K48" s="9" t="n">
        <v>6.24520924669666</v>
      </c>
      <c r="L48" s="10" t="n">
        <v>0.160122737365276</v>
      </c>
      <c r="M48" s="10" t="n">
        <f aca="false">IF(AND(ISNUMBER(I48),ISNUMBER(L48)),I48-L48,"")</f>
        <v>0.0830656980159691</v>
      </c>
      <c r="N48" s="9" t="n">
        <v>4.5</v>
      </c>
      <c r="O48" s="9" t="n">
        <f aca="false">IF(AND(ISNUMBER(H48),H48&gt;0),H48*EXP('Read me'!$B$22),"")</f>
        <v>5.02245411565475</v>
      </c>
    </row>
    <row r="49" customFormat="false" ht="15" hidden="false" customHeight="false" outlineLevel="0" collapsed="false">
      <c r="A49" s="7" t="s">
        <v>313</v>
      </c>
      <c r="B49" s="7" t="s">
        <v>117</v>
      </c>
      <c r="C49" s="7" t="s">
        <v>314</v>
      </c>
      <c r="D49" s="8" t="n">
        <v>6</v>
      </c>
      <c r="E49" s="7" t="s">
        <v>315</v>
      </c>
      <c r="F49" s="7" t="s">
        <v>316</v>
      </c>
      <c r="G49" s="7" t="s">
        <v>317</v>
      </c>
      <c r="H49" s="9" t="n">
        <v>1.64822357562607</v>
      </c>
      <c r="I49" s="10" t="n">
        <v>0.606713806784469</v>
      </c>
      <c r="J49" s="7" t="s">
        <v>318</v>
      </c>
      <c r="K49" s="9" t="n">
        <v>4.43808915537955</v>
      </c>
      <c r="L49" s="10" t="n">
        <v>0.225322197231632</v>
      </c>
      <c r="M49" s="10" t="n">
        <f aca="false">IF(AND(ISNUMBER(I49),ISNUMBER(L49)),I49-L49,"")</f>
        <v>0.381391609552837</v>
      </c>
      <c r="N49" s="9" t="n">
        <v>1.57142857142857</v>
      </c>
      <c r="O49" s="9" t="n">
        <f aca="false">IF(AND(ISNUMBER(H49),H49&gt;0),H49*EXP('Read me'!$B$22),"")</f>
        <v>2.0131448213343</v>
      </c>
    </row>
    <row r="50" customFormat="false" ht="15" hidden="false" customHeight="false" outlineLevel="0" collapsed="false">
      <c r="A50" s="7" t="s">
        <v>319</v>
      </c>
      <c r="B50" s="7" t="s">
        <v>197</v>
      </c>
      <c r="C50" s="7" t="s">
        <v>320</v>
      </c>
      <c r="D50" s="8" t="n">
        <v>8</v>
      </c>
      <c r="E50" s="7" t="s">
        <v>321</v>
      </c>
      <c r="F50" s="7" t="s">
        <v>306</v>
      </c>
      <c r="G50" s="7" t="s">
        <v>307</v>
      </c>
      <c r="H50" s="9" t="n">
        <v>3.3880756452045</v>
      </c>
      <c r="I50" s="10" t="n">
        <v>0.295152796076264</v>
      </c>
      <c r="J50" s="7" t="s">
        <v>322</v>
      </c>
      <c r="K50" s="9" t="n">
        <v>4.29981569424984</v>
      </c>
      <c r="L50" s="10" t="n">
        <v>0.232568107823157</v>
      </c>
      <c r="M50" s="10" t="n">
        <f aca="false">IF(AND(ISNUMBER(I50),ISNUMBER(L50)),I50-L50,"")</f>
        <v>0.0625846882531069</v>
      </c>
      <c r="N50" s="9" t="n">
        <v>3.5</v>
      </c>
      <c r="O50" s="9" t="n">
        <f aca="false">IF(AND(ISNUMBER(H50),H50&gt;0),H50*EXP('Read me'!$B$22),"")</f>
        <v>4.13820493790807</v>
      </c>
    </row>
    <row r="51" customFormat="false" ht="15" hidden="false" customHeight="false" outlineLevel="0" collapsed="false">
      <c r="A51" s="7" t="s">
        <v>323</v>
      </c>
      <c r="B51" s="7" t="s">
        <v>197</v>
      </c>
      <c r="C51" s="7" t="s">
        <v>324</v>
      </c>
      <c r="D51" s="8" t="n">
        <v>13</v>
      </c>
      <c r="E51" s="7" t="s">
        <v>325</v>
      </c>
      <c r="F51" s="7" t="s">
        <v>326</v>
      </c>
      <c r="G51" s="7" t="s">
        <v>166</v>
      </c>
      <c r="H51" s="9" t="n">
        <v>1.96240472965731</v>
      </c>
      <c r="I51" s="10" t="n">
        <v>0.509578877836595</v>
      </c>
      <c r="J51" s="7" t="s">
        <v>327</v>
      </c>
      <c r="K51" s="9" t="n">
        <v>3.83048068973723</v>
      </c>
      <c r="L51" s="10" t="n">
        <v>0.261063840545976</v>
      </c>
      <c r="M51" s="10" t="n">
        <f aca="false">IF(AND(ISNUMBER(I51),ISNUMBER(L51)),I51-L51,"")</f>
        <v>0.248515037290619</v>
      </c>
      <c r="N51" s="9" t="n">
        <v>1.53333333333333</v>
      </c>
      <c r="O51" s="9" t="n">
        <f aca="false">IF(AND(ISNUMBER(H51),H51&gt;0),H51*EXP('Read me'!$B$22),"")</f>
        <v>2.39688654943</v>
      </c>
    </row>
    <row r="52" customFormat="false" ht="15" hidden="false" customHeight="false" outlineLevel="0" collapsed="false">
      <c r="A52" s="7" t="s">
        <v>328</v>
      </c>
      <c r="B52" s="7" t="s">
        <v>197</v>
      </c>
      <c r="C52" s="7" t="s">
        <v>329</v>
      </c>
      <c r="D52" s="8" t="n">
        <v>14</v>
      </c>
      <c r="E52" s="7" t="s">
        <v>330</v>
      </c>
      <c r="F52" s="7" t="s">
        <v>331</v>
      </c>
      <c r="G52" s="7" t="s">
        <v>332</v>
      </c>
      <c r="H52" s="9" t="n">
        <v>5.67757655969021</v>
      </c>
      <c r="I52" s="10" t="n">
        <v>0.176131486645169</v>
      </c>
      <c r="J52" s="7" t="s">
        <v>333</v>
      </c>
      <c r="K52" s="9" t="n">
        <v>9.01418465242488</v>
      </c>
      <c r="L52" s="10" t="n">
        <v>0.110936267511559</v>
      </c>
      <c r="M52" s="10" t="n">
        <f aca="false">IF(AND(ISNUMBER(I52),ISNUMBER(L52)),I52-L52,"")</f>
        <v>0.0651952191336093</v>
      </c>
      <c r="N52" s="9" t="n">
        <v>4.5</v>
      </c>
      <c r="O52" s="9" t="n">
        <f aca="false">IF(AND(ISNUMBER(H52),H52&gt;0),H52*EXP('Read me'!$B$22),"")</f>
        <v>6.93460766967115</v>
      </c>
    </row>
    <row r="53" customFormat="false" ht="15" hidden="false" customHeight="false" outlineLevel="0" collapsed="false">
      <c r="A53" s="7" t="s">
        <v>334</v>
      </c>
      <c r="B53" s="7" t="s">
        <v>197</v>
      </c>
      <c r="C53" s="7" t="s">
        <v>335</v>
      </c>
      <c r="D53" s="8" t="n">
        <v>12</v>
      </c>
      <c r="E53" s="7" t="s">
        <v>336</v>
      </c>
      <c r="F53" s="7" t="s">
        <v>337</v>
      </c>
      <c r="G53" s="7" t="s">
        <v>338</v>
      </c>
      <c r="H53" s="9" t="n">
        <v>6.60489098212704</v>
      </c>
      <c r="I53" s="10" t="n">
        <v>0.151402953160926</v>
      </c>
      <c r="J53" s="7" t="s">
        <v>339</v>
      </c>
      <c r="K53" s="9" t="n">
        <v>6.97450119585363</v>
      </c>
      <c r="L53" s="10" t="n">
        <v>0.143379429140324</v>
      </c>
      <c r="M53" s="10" t="n">
        <f aca="false">IF(AND(ISNUMBER(I53),ISNUMBER(L53)),I53-L53,"")</f>
        <v>0.00802352402060172</v>
      </c>
      <c r="N53" s="9" t="n">
        <v>9.5</v>
      </c>
      <c r="O53" s="9" t="n">
        <f aca="false">IF(AND(ISNUMBER(H53),H53&gt;0),H53*EXP('Read me'!$B$22),"")</f>
        <v>8.0672320629172</v>
      </c>
    </row>
    <row r="54" customFormat="false" ht="15" hidden="false" customHeight="false" outlineLevel="0" collapsed="false">
      <c r="A54" s="7" t="s">
        <v>340</v>
      </c>
      <c r="B54" s="7" t="s">
        <v>197</v>
      </c>
      <c r="C54" s="7" t="s">
        <v>341</v>
      </c>
      <c r="D54" s="8" t="n">
        <v>13</v>
      </c>
      <c r="E54" s="7" t="s">
        <v>342</v>
      </c>
      <c r="F54" s="7" t="s">
        <v>343</v>
      </c>
      <c r="G54" s="7" t="s">
        <v>344</v>
      </c>
      <c r="H54" s="9" t="n">
        <v>4.35247403174201</v>
      </c>
      <c r="I54" s="10" t="n">
        <v>0.229754386288611</v>
      </c>
      <c r="J54" s="7" t="s">
        <v>345</v>
      </c>
      <c r="K54" s="9" t="n">
        <v>6.1152374234686</v>
      </c>
      <c r="L54" s="10" t="n">
        <v>0.163525948504023</v>
      </c>
      <c r="M54" s="10" t="n">
        <f aca="false">IF(AND(ISNUMBER(I54),ISNUMBER(L54)),I54-L54,"")</f>
        <v>0.0662284377845876</v>
      </c>
      <c r="N54" s="9" t="n">
        <v>3.25</v>
      </c>
      <c r="O54" s="9" t="n">
        <f aca="false">IF(AND(ISNUMBER(H54),H54&gt;0),H54*EXP('Read me'!$B$22),"")</f>
        <v>5.3161237871902</v>
      </c>
    </row>
  </sheetData>
  <autoFilter ref="A1:O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24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346</v>
      </c>
      <c r="E1" s="6" t="s">
        <v>347</v>
      </c>
      <c r="F1" s="6" t="s">
        <v>348</v>
      </c>
      <c r="G1" s="6" t="s">
        <v>349</v>
      </c>
      <c r="H1" s="6" t="s">
        <v>350</v>
      </c>
      <c r="I1" s="6" t="s">
        <v>351</v>
      </c>
      <c r="J1" s="6" t="s">
        <v>352</v>
      </c>
      <c r="K1" s="6" t="s">
        <v>353</v>
      </c>
    </row>
    <row r="2" customFormat="false" ht="15" hidden="false" customHeight="false" outlineLevel="0" collapsed="false">
      <c r="A2" s="7" t="s">
        <v>41</v>
      </c>
      <c r="B2" s="7" t="s">
        <v>42</v>
      </c>
      <c r="C2" s="7" t="s">
        <v>43</v>
      </c>
      <c r="D2" s="8" t="n">
        <v>10</v>
      </c>
      <c r="E2" s="7" t="s">
        <v>44</v>
      </c>
      <c r="F2" s="9" t="n">
        <v>5.42239116953925</v>
      </c>
      <c r="G2" s="9" t="n">
        <v>5.03208965469183</v>
      </c>
      <c r="H2" s="7" t="s">
        <v>44</v>
      </c>
      <c r="I2" s="9" t="n">
        <v>5.03208965469183</v>
      </c>
      <c r="J2" s="7" t="str">
        <f aca="false">IF(E2=H2,"yes","no")</f>
        <v>yes</v>
      </c>
      <c r="K2" s="11" t="n">
        <f aca="false">IF(AND(ISNUMBER(F2),ISNUMBER(G2)),F2/G2-1,"")</f>
        <v>0.0775625121232699</v>
      </c>
    </row>
    <row r="3" customFormat="false" ht="15" hidden="false" customHeight="false" outlineLevel="0" collapsed="false">
      <c r="A3" s="7" t="s">
        <v>48</v>
      </c>
      <c r="B3" s="7" t="s">
        <v>49</v>
      </c>
      <c r="C3" s="7" t="s">
        <v>50</v>
      </c>
      <c r="D3" s="8" t="n">
        <v>13</v>
      </c>
      <c r="E3" s="7" t="s">
        <v>51</v>
      </c>
      <c r="F3" s="9" t="n">
        <v>1.90226073730023</v>
      </c>
      <c r="G3" s="9" t="n">
        <v>1.81888559267231</v>
      </c>
      <c r="H3" s="7" t="s">
        <v>51</v>
      </c>
      <c r="I3" s="9" t="n">
        <v>1.81888559267231</v>
      </c>
      <c r="J3" s="7" t="str">
        <f aca="false">IF(E3=H3,"yes","no")</f>
        <v>yes</v>
      </c>
      <c r="K3" s="11" t="n">
        <f aca="false">IF(AND(ISNUMBER(F3),ISNUMBER(G3)),F3/G3-1,"")</f>
        <v>0.0458385865300235</v>
      </c>
    </row>
    <row r="4" customFormat="false" ht="15" hidden="false" customHeight="false" outlineLevel="0" collapsed="false">
      <c r="A4" s="7" t="s">
        <v>55</v>
      </c>
      <c r="B4" s="7" t="s">
        <v>56</v>
      </c>
      <c r="C4" s="7" t="s">
        <v>57</v>
      </c>
      <c r="D4" s="8" t="n">
        <v>10</v>
      </c>
      <c r="E4" s="7" t="s">
        <v>58</v>
      </c>
      <c r="F4" s="9" t="n">
        <v>5.26836015612941</v>
      </c>
      <c r="G4" s="9" t="n">
        <v>5.07205788874539</v>
      </c>
      <c r="H4" s="7" t="s">
        <v>58</v>
      </c>
      <c r="I4" s="9" t="n">
        <v>5.07205788874539</v>
      </c>
      <c r="J4" s="7" t="str">
        <f aca="false">IF(E4=H4,"yes","no")</f>
        <v>yes</v>
      </c>
      <c r="K4" s="11" t="n">
        <f aca="false">IF(AND(ISNUMBER(F4),ISNUMBER(G4)),F4/G4-1,"")</f>
        <v>0.0387026866983529</v>
      </c>
    </row>
    <row r="5" customFormat="false" ht="15" hidden="false" customHeight="false" outlineLevel="0" collapsed="false">
      <c r="A5" s="7" t="s">
        <v>62</v>
      </c>
      <c r="B5" s="7" t="s">
        <v>63</v>
      </c>
      <c r="C5" s="7" t="s">
        <v>64</v>
      </c>
      <c r="D5" s="8" t="n">
        <v>9</v>
      </c>
      <c r="E5" s="7" t="s">
        <v>65</v>
      </c>
      <c r="F5" s="9" t="n">
        <v>2.19698373468503</v>
      </c>
      <c r="G5" s="9" t="n">
        <v>2.31627324846813</v>
      </c>
      <c r="H5" s="7" t="s">
        <v>65</v>
      </c>
      <c r="I5" s="9" t="n">
        <v>2.31627324846813</v>
      </c>
      <c r="J5" s="7" t="str">
        <f aca="false">IF(E5=H5,"yes","no")</f>
        <v>yes</v>
      </c>
      <c r="K5" s="11" t="n">
        <f aca="false">IF(AND(ISNUMBER(F5),ISNUMBER(G5)),F5/G5-1,"")</f>
        <v>-0.0515006223302835</v>
      </c>
    </row>
    <row r="6" customFormat="false" ht="15" hidden="false" customHeight="false" outlineLevel="0" collapsed="false">
      <c r="A6" s="7" t="s">
        <v>69</v>
      </c>
      <c r="B6" s="7" t="s">
        <v>42</v>
      </c>
      <c r="C6" s="7" t="s">
        <v>70</v>
      </c>
      <c r="D6" s="8" t="n">
        <v>7</v>
      </c>
      <c r="E6" s="7" t="s">
        <v>71</v>
      </c>
      <c r="F6" s="9" t="n">
        <v>4.15559373778774</v>
      </c>
      <c r="G6" s="9" t="n">
        <v>4.07255039530707</v>
      </c>
      <c r="H6" s="7" t="s">
        <v>71</v>
      </c>
      <c r="I6" s="9" t="n">
        <v>4.07255039530707</v>
      </c>
      <c r="J6" s="7" t="str">
        <f aca="false">IF(E6=H6,"yes","no")</f>
        <v>yes</v>
      </c>
      <c r="K6" s="11" t="n">
        <f aca="false">IF(AND(ISNUMBER(F6),ISNUMBER(G6)),F6/G6-1,"")</f>
        <v>0.0203909919878138</v>
      </c>
    </row>
    <row r="7" customFormat="false" ht="15" hidden="false" customHeight="false" outlineLevel="0" collapsed="false">
      <c r="A7" s="7" t="s">
        <v>75</v>
      </c>
      <c r="B7" s="7" t="s">
        <v>49</v>
      </c>
      <c r="C7" s="7" t="s">
        <v>76</v>
      </c>
      <c r="D7" s="8" t="n">
        <v>9</v>
      </c>
      <c r="E7" s="7" t="s">
        <v>77</v>
      </c>
      <c r="F7" s="9" t="n">
        <v>4.43374591799746</v>
      </c>
      <c r="G7" s="9" t="n">
        <v>5.59567255695209</v>
      </c>
      <c r="H7" s="7" t="s">
        <v>354</v>
      </c>
      <c r="I7" s="9" t="n">
        <v>4.30217798898707</v>
      </c>
      <c r="J7" s="7" t="str">
        <f aca="false">IF(E7=H7,"yes","no")</f>
        <v>no</v>
      </c>
      <c r="K7" s="11" t="n">
        <f aca="false">IF(AND(ISNUMBER(F7),ISNUMBER(G7)),F7/G7-1,"")</f>
        <v>-0.207647360907678</v>
      </c>
    </row>
    <row r="8" customFormat="false" ht="15" hidden="false" customHeight="false" outlineLevel="0" collapsed="false">
      <c r="A8" s="7" t="s">
        <v>81</v>
      </c>
      <c r="B8" s="7" t="s">
        <v>56</v>
      </c>
      <c r="C8" s="7" t="s">
        <v>82</v>
      </c>
      <c r="D8" s="8" t="n">
        <v>10</v>
      </c>
      <c r="E8" s="7" t="s">
        <v>83</v>
      </c>
      <c r="F8" s="9" t="n">
        <v>4.58882493328048</v>
      </c>
      <c r="G8" s="9" t="n">
        <v>5.54916182697189</v>
      </c>
      <c r="H8" s="7" t="s">
        <v>86</v>
      </c>
      <c r="I8" s="9" t="n">
        <v>4.89779234555145</v>
      </c>
      <c r="J8" s="7" t="str">
        <f aca="false">IF(E8=H8,"yes","no")</f>
        <v>no</v>
      </c>
      <c r="K8" s="11" t="n">
        <f aca="false">IF(AND(ISNUMBER(F8),ISNUMBER(G8)),F8/G8-1,"")</f>
        <v>-0.17305981040662</v>
      </c>
    </row>
    <row r="9" customFormat="false" ht="15" hidden="false" customHeight="false" outlineLevel="0" collapsed="false">
      <c r="A9" s="7" t="s">
        <v>87</v>
      </c>
      <c r="B9" s="7" t="s">
        <v>63</v>
      </c>
      <c r="C9" s="7" t="s">
        <v>88</v>
      </c>
      <c r="D9" s="8" t="n">
        <v>6</v>
      </c>
      <c r="E9" s="7" t="s">
        <v>89</v>
      </c>
      <c r="F9" s="9" t="n">
        <v>3.91379231338235</v>
      </c>
      <c r="G9" s="9" t="n">
        <v>3.88027418231329</v>
      </c>
      <c r="H9" s="7" t="s">
        <v>89</v>
      </c>
      <c r="I9" s="9" t="n">
        <v>3.88027418231329</v>
      </c>
      <c r="J9" s="7" t="str">
        <f aca="false">IF(E9=H9,"yes","no")</f>
        <v>yes</v>
      </c>
      <c r="K9" s="11" t="n">
        <f aca="false">IF(AND(ISNUMBER(F9),ISNUMBER(G9)),F9/G9-1,"")</f>
        <v>0.00863808315964687</v>
      </c>
    </row>
    <row r="10" customFormat="false" ht="15" hidden="false" customHeight="false" outlineLevel="0" collapsed="false">
      <c r="A10" s="7" t="s">
        <v>93</v>
      </c>
      <c r="B10" s="7" t="s">
        <v>42</v>
      </c>
      <c r="C10" s="7" t="s">
        <v>94</v>
      </c>
      <c r="D10" s="8" t="n">
        <v>6</v>
      </c>
      <c r="E10" s="7" t="s">
        <v>95</v>
      </c>
      <c r="F10" s="9" t="n">
        <v>1.82781272009048</v>
      </c>
      <c r="G10" s="9" t="n">
        <v>1.58743573451079</v>
      </c>
      <c r="H10" s="7" t="s">
        <v>95</v>
      </c>
      <c r="I10" s="9" t="n">
        <v>1.58743573451079</v>
      </c>
      <c r="J10" s="7" t="str">
        <f aca="false">IF(E10=H10,"yes","no")</f>
        <v>yes</v>
      </c>
      <c r="K10" s="11" t="n">
        <f aca="false">IF(AND(ISNUMBER(F10),ISNUMBER(G10)),F10/G10-1,"")</f>
        <v>0.151424703598324</v>
      </c>
    </row>
    <row r="11" customFormat="false" ht="15" hidden="false" customHeight="false" outlineLevel="0" collapsed="false">
      <c r="A11" s="7" t="s">
        <v>97</v>
      </c>
      <c r="B11" s="7" t="s">
        <v>98</v>
      </c>
      <c r="C11" s="7" t="s">
        <v>99</v>
      </c>
      <c r="D11" s="8" t="n">
        <v>9</v>
      </c>
      <c r="E11" s="7" t="s">
        <v>100</v>
      </c>
      <c r="F11" s="9" t="n">
        <v>1.75227007036663</v>
      </c>
      <c r="G11" s="9" t="n">
        <v>1.8536781213773</v>
      </c>
      <c r="H11" s="7" t="s">
        <v>100</v>
      </c>
      <c r="I11" s="9" t="n">
        <v>1.8536781213773</v>
      </c>
      <c r="J11" s="7" t="str">
        <f aca="false">IF(E11=H11,"yes","no")</f>
        <v>yes</v>
      </c>
      <c r="K11" s="11" t="n">
        <f aca="false">IF(AND(ISNUMBER(F11),ISNUMBER(G11)),F11/G11-1,"")</f>
        <v>-0.0547063968880006</v>
      </c>
    </row>
    <row r="12" customFormat="false" ht="15" hidden="false" customHeight="false" outlineLevel="0" collapsed="false">
      <c r="A12" s="7" t="s">
        <v>104</v>
      </c>
      <c r="B12" s="7" t="s">
        <v>49</v>
      </c>
      <c r="C12" s="7" t="s">
        <v>105</v>
      </c>
      <c r="D12" s="8" t="n">
        <v>20</v>
      </c>
      <c r="E12" s="7" t="s">
        <v>106</v>
      </c>
      <c r="F12" s="9" t="n">
        <v>6.60039018203497</v>
      </c>
      <c r="G12" s="9" t="n">
        <v>6.59992146301175</v>
      </c>
      <c r="H12" s="7" t="s">
        <v>106</v>
      </c>
      <c r="I12" s="9" t="n">
        <v>6.59992146301175</v>
      </c>
      <c r="J12" s="7" t="str">
        <f aca="false">IF(E12=H12,"yes","no")</f>
        <v>yes</v>
      </c>
      <c r="K12" s="11" t="n">
        <f aca="false">IF(AND(ISNUMBER(F12),ISNUMBER(G12)),F12/G12-1,"")</f>
        <v>7.10188789141419E-005</v>
      </c>
    </row>
    <row r="13" customFormat="false" ht="15" hidden="false" customHeight="false" outlineLevel="0" collapsed="false">
      <c r="A13" s="7" t="s">
        <v>110</v>
      </c>
      <c r="B13" s="7" t="s">
        <v>56</v>
      </c>
      <c r="C13" s="7" t="s">
        <v>111</v>
      </c>
      <c r="D13" s="8" t="n">
        <v>9</v>
      </c>
      <c r="E13" s="7" t="s">
        <v>112</v>
      </c>
      <c r="F13" s="9" t="n">
        <v>2.52503190090427</v>
      </c>
      <c r="G13" s="9" t="n">
        <v>2.60923164120185</v>
      </c>
      <c r="H13" s="7" t="s">
        <v>112</v>
      </c>
      <c r="I13" s="9" t="n">
        <v>2.60923164120185</v>
      </c>
      <c r="J13" s="7" t="str">
        <f aca="false">IF(E13=H13,"yes","no")</f>
        <v>yes</v>
      </c>
      <c r="K13" s="11" t="n">
        <f aca="false">IF(AND(ISNUMBER(F13),ISNUMBER(G13)),F13/G13-1,"")</f>
        <v>-0.0322699368534406</v>
      </c>
    </row>
    <row r="14" customFormat="false" ht="15" hidden="false" customHeight="false" outlineLevel="0" collapsed="false">
      <c r="A14" s="7" t="s">
        <v>116</v>
      </c>
      <c r="B14" s="7" t="s">
        <v>117</v>
      </c>
      <c r="C14" s="7" t="s">
        <v>118</v>
      </c>
      <c r="D14" s="8" t="n">
        <v>12</v>
      </c>
      <c r="E14" s="7" t="s">
        <v>119</v>
      </c>
      <c r="F14" s="9" t="n">
        <v>1.63893926112457</v>
      </c>
      <c r="G14" s="9" t="n">
        <v>1.67620006711141</v>
      </c>
      <c r="H14" s="7" t="s">
        <v>119</v>
      </c>
      <c r="I14" s="9" t="n">
        <v>1.67620006711141</v>
      </c>
      <c r="J14" s="7" t="str">
        <f aca="false">IF(E14=H14,"yes","no")</f>
        <v>yes</v>
      </c>
      <c r="K14" s="11" t="n">
        <f aca="false">IF(AND(ISNUMBER(F14),ISNUMBER(G14)),F14/G14-1,"")</f>
        <v>-0.0222293309241094</v>
      </c>
    </row>
    <row r="15" customFormat="false" ht="15" hidden="false" customHeight="false" outlineLevel="0" collapsed="false">
      <c r="A15" s="7" t="s">
        <v>123</v>
      </c>
      <c r="B15" s="7" t="s">
        <v>63</v>
      </c>
      <c r="C15" s="7" t="s">
        <v>124</v>
      </c>
      <c r="D15" s="8" t="n">
        <v>14</v>
      </c>
      <c r="E15" s="7" t="s">
        <v>125</v>
      </c>
      <c r="F15" s="9" t="n">
        <v>6.41144031517265</v>
      </c>
      <c r="G15" s="9" t="n">
        <v>6.58679035618963</v>
      </c>
      <c r="H15" s="7" t="s">
        <v>125</v>
      </c>
      <c r="I15" s="9" t="n">
        <v>6.58679035618963</v>
      </c>
      <c r="J15" s="7" t="str">
        <f aca="false">IF(E15=H15,"yes","no")</f>
        <v>yes</v>
      </c>
      <c r="K15" s="11" t="n">
        <f aca="false">IF(AND(ISNUMBER(F15),ISNUMBER(G15)),F15/G15-1,"")</f>
        <v>-0.0266214698714685</v>
      </c>
    </row>
    <row r="16" customFormat="false" ht="15" hidden="false" customHeight="false" outlineLevel="0" collapsed="false">
      <c r="A16" s="7" t="s">
        <v>129</v>
      </c>
      <c r="B16" s="7" t="s">
        <v>42</v>
      </c>
      <c r="C16" s="7" t="s">
        <v>130</v>
      </c>
      <c r="D16" s="8" t="n">
        <v>7</v>
      </c>
      <c r="E16" s="7" t="s">
        <v>131</v>
      </c>
      <c r="F16" s="9" t="n">
        <v>2.80950963069644</v>
      </c>
      <c r="G16" s="9" t="n">
        <v>3.0606800590434</v>
      </c>
      <c r="H16" s="7" t="s">
        <v>134</v>
      </c>
      <c r="I16" s="9" t="n">
        <v>2.93024953067563</v>
      </c>
      <c r="J16" s="7" t="str">
        <f aca="false">IF(E16=H16,"yes","no")</f>
        <v>no</v>
      </c>
      <c r="K16" s="11" t="n">
        <f aca="false">IF(AND(ISNUMBER(F16),ISNUMBER(G16)),F16/G16-1,"")</f>
        <v>-0.0820636013897719</v>
      </c>
    </row>
    <row r="17" customFormat="false" ht="15" hidden="false" customHeight="false" outlineLevel="0" collapsed="false">
      <c r="A17" s="7" t="s">
        <v>135</v>
      </c>
      <c r="B17" s="7" t="s">
        <v>98</v>
      </c>
      <c r="C17" s="7" t="s">
        <v>136</v>
      </c>
      <c r="D17" s="8" t="n">
        <v>7</v>
      </c>
      <c r="E17" s="7" t="s">
        <v>137</v>
      </c>
      <c r="F17" s="9" t="n">
        <v>2.34186490265621</v>
      </c>
      <c r="G17" s="9" t="n">
        <v>2.20247837100944</v>
      </c>
      <c r="H17" s="7" t="s">
        <v>137</v>
      </c>
      <c r="I17" s="9" t="n">
        <v>2.20247837100944</v>
      </c>
      <c r="J17" s="7" t="str">
        <f aca="false">IF(E17=H17,"yes","no")</f>
        <v>yes</v>
      </c>
      <c r="K17" s="11" t="n">
        <f aca="false">IF(AND(ISNUMBER(F17),ISNUMBER(G17)),F17/G17-1,"")</f>
        <v>0.0632862204149081</v>
      </c>
    </row>
    <row r="18" customFormat="false" ht="15" hidden="false" customHeight="false" outlineLevel="0" collapsed="false">
      <c r="A18" s="7" t="s">
        <v>141</v>
      </c>
      <c r="B18" s="7" t="s">
        <v>49</v>
      </c>
      <c r="C18" s="7" t="s">
        <v>142</v>
      </c>
      <c r="D18" s="8" t="n">
        <v>6</v>
      </c>
      <c r="E18" s="7" t="s">
        <v>143</v>
      </c>
      <c r="F18" s="9" t="n">
        <v>2.43164762533301</v>
      </c>
      <c r="G18" s="9" t="n">
        <v>2.94981959948914</v>
      </c>
      <c r="H18" s="7" t="s">
        <v>145</v>
      </c>
      <c r="I18" s="9" t="n">
        <v>2.79298851872596</v>
      </c>
      <c r="J18" s="7" t="str">
        <f aca="false">IF(E18=H18,"yes","no")</f>
        <v>no</v>
      </c>
      <c r="K18" s="11" t="n">
        <f aca="false">IF(AND(ISNUMBER(F18),ISNUMBER(G18)),F18/G18-1,"")</f>
        <v>-0.175662258887243</v>
      </c>
    </row>
    <row r="19" customFormat="false" ht="15" hidden="false" customHeight="false" outlineLevel="0" collapsed="false">
      <c r="A19" s="7" t="s">
        <v>146</v>
      </c>
      <c r="B19" s="7" t="s">
        <v>56</v>
      </c>
      <c r="C19" s="7" t="s">
        <v>147</v>
      </c>
      <c r="D19" s="8" t="n">
        <v>11</v>
      </c>
      <c r="E19" s="7" t="s">
        <v>148</v>
      </c>
      <c r="F19" s="9" t="n">
        <v>6.40532918566609</v>
      </c>
      <c r="G19" s="9" t="n">
        <v>6.4761832420558</v>
      </c>
      <c r="H19" s="7" t="s">
        <v>148</v>
      </c>
      <c r="I19" s="9" t="n">
        <v>6.4761832420558</v>
      </c>
      <c r="J19" s="7" t="str">
        <f aca="false">IF(E19=H19,"yes","no")</f>
        <v>yes</v>
      </c>
      <c r="K19" s="11" t="n">
        <f aca="false">IF(AND(ISNUMBER(F19),ISNUMBER(G19)),F19/G19-1,"")</f>
        <v>-0.0109407121048681</v>
      </c>
    </row>
    <row r="20" customFormat="false" ht="15" hidden="false" customHeight="false" outlineLevel="0" collapsed="false">
      <c r="A20" s="7" t="s">
        <v>150</v>
      </c>
      <c r="B20" s="7" t="s">
        <v>117</v>
      </c>
      <c r="C20" s="7" t="s">
        <v>151</v>
      </c>
      <c r="D20" s="8" t="n">
        <v>6</v>
      </c>
      <c r="E20" s="7" t="s">
        <v>152</v>
      </c>
      <c r="F20" s="9" t="n">
        <v>1.72523602794721</v>
      </c>
      <c r="G20" s="9" t="n">
        <v>1.90711301470503</v>
      </c>
      <c r="H20" s="7" t="s">
        <v>152</v>
      </c>
      <c r="I20" s="9" t="n">
        <v>1.90711301470503</v>
      </c>
      <c r="J20" s="7" t="str">
        <f aca="false">IF(E20=H20,"yes","no")</f>
        <v>yes</v>
      </c>
      <c r="K20" s="11" t="n">
        <f aca="false">IF(AND(ISNUMBER(F20),ISNUMBER(G20)),F20/G20-1,"")</f>
        <v>-0.0953677025721255</v>
      </c>
    </row>
    <row r="21" customFormat="false" ht="15" hidden="false" customHeight="false" outlineLevel="0" collapsed="false">
      <c r="A21" s="7" t="s">
        <v>156</v>
      </c>
      <c r="B21" s="7" t="s">
        <v>63</v>
      </c>
      <c r="C21" s="7" t="s">
        <v>157</v>
      </c>
      <c r="D21" s="8" t="n">
        <v>12</v>
      </c>
      <c r="E21" s="7" t="s">
        <v>158</v>
      </c>
      <c r="F21" s="9" t="n">
        <v>7.33535194452838</v>
      </c>
      <c r="G21" s="9" t="n">
        <v>6.7574039499469</v>
      </c>
      <c r="H21" s="7" t="s">
        <v>158</v>
      </c>
      <c r="I21" s="9" t="n">
        <v>6.7574039499469</v>
      </c>
      <c r="J21" s="7" t="str">
        <f aca="false">IF(E21=H21,"yes","no")</f>
        <v>yes</v>
      </c>
      <c r="K21" s="11" t="n">
        <f aca="false">IF(AND(ISNUMBER(F21),ISNUMBER(G21)),F21/G21-1,"")</f>
        <v>0.0855281109228381</v>
      </c>
    </row>
    <row r="22" customFormat="false" ht="15" hidden="false" customHeight="false" outlineLevel="0" collapsed="false">
      <c r="A22" s="7" t="s">
        <v>162</v>
      </c>
      <c r="B22" s="7" t="s">
        <v>42</v>
      </c>
      <c r="C22" s="7" t="s">
        <v>163</v>
      </c>
      <c r="D22" s="8" t="n">
        <v>27</v>
      </c>
      <c r="E22" s="7" t="s">
        <v>164</v>
      </c>
      <c r="F22" s="9" t="n">
        <v>8.58236549340676</v>
      </c>
      <c r="G22" s="9" t="n">
        <v>8.43752128754404</v>
      </c>
      <c r="H22" s="7" t="s">
        <v>164</v>
      </c>
      <c r="I22" s="9" t="n">
        <v>8.43752128754404</v>
      </c>
      <c r="J22" s="7" t="str">
        <f aca="false">IF(E22=H22,"yes","no")</f>
        <v>yes</v>
      </c>
      <c r="K22" s="11" t="n">
        <f aca="false">IF(AND(ISNUMBER(F22),ISNUMBER(G22)),F22/G22-1,"")</f>
        <v>0.0171666773838601</v>
      </c>
    </row>
    <row r="23" customFormat="false" ht="15" hidden="false" customHeight="false" outlineLevel="0" collapsed="false">
      <c r="A23" s="7" t="s">
        <v>168</v>
      </c>
      <c r="B23" s="7" t="s">
        <v>49</v>
      </c>
      <c r="C23" s="7" t="s">
        <v>169</v>
      </c>
      <c r="D23" s="8" t="n">
        <v>11</v>
      </c>
      <c r="E23" s="7" t="s">
        <v>170</v>
      </c>
      <c r="F23" s="9" t="n">
        <v>4.16719240541826</v>
      </c>
      <c r="G23" s="9" t="n">
        <v>4.60865834384155</v>
      </c>
      <c r="H23" s="7" t="s">
        <v>170</v>
      </c>
      <c r="I23" s="9" t="n">
        <v>4.60865834384155</v>
      </c>
      <c r="J23" s="7" t="str">
        <f aca="false">IF(E23=H23,"yes","no")</f>
        <v>yes</v>
      </c>
      <c r="K23" s="11" t="n">
        <f aca="false">IF(AND(ISNUMBER(F23),ISNUMBER(G23)),F23/G23-1,"")</f>
        <v>-0.0957905545359445</v>
      </c>
    </row>
    <row r="24" customFormat="false" ht="15" hidden="false" customHeight="false" outlineLevel="0" collapsed="false">
      <c r="A24" s="7" t="s">
        <v>174</v>
      </c>
      <c r="B24" s="7" t="s">
        <v>98</v>
      </c>
      <c r="C24" s="7" t="s">
        <v>175</v>
      </c>
      <c r="D24" s="8" t="n">
        <v>4</v>
      </c>
      <c r="E24" s="7" t="s">
        <v>176</v>
      </c>
      <c r="F24" s="9" t="n">
        <v>3.03344045606776</v>
      </c>
      <c r="G24" s="9" t="n">
        <v>3.67364998881711</v>
      </c>
      <c r="H24" s="7" t="s">
        <v>179</v>
      </c>
      <c r="I24" s="9" t="n">
        <v>3.57454349834816</v>
      </c>
      <c r="J24" s="7" t="str">
        <f aca="false">IF(E24=H24,"yes","no")</f>
        <v>no</v>
      </c>
      <c r="K24" s="11" t="n">
        <f aca="false">IF(AND(ISNUMBER(F24),ISNUMBER(G24)),F24/G24-1,"")</f>
        <v>-0.174270693914281</v>
      </c>
    </row>
    <row r="25" customFormat="false" ht="15" hidden="false" customHeight="false" outlineLevel="0" collapsed="false">
      <c r="A25" s="7" t="s">
        <v>180</v>
      </c>
      <c r="B25" s="7" t="s">
        <v>117</v>
      </c>
      <c r="C25" s="7" t="s">
        <v>181</v>
      </c>
      <c r="D25" s="8" t="n">
        <v>14</v>
      </c>
      <c r="E25" s="7" t="s">
        <v>182</v>
      </c>
      <c r="F25" s="9" t="n">
        <v>3.4155192029252</v>
      </c>
      <c r="G25" s="9" t="n">
        <v>3.98341783217504</v>
      </c>
      <c r="H25" s="7" t="s">
        <v>182</v>
      </c>
      <c r="I25" s="9" t="n">
        <v>3.98341783217504</v>
      </c>
      <c r="J25" s="7" t="str">
        <f aca="false">IF(E25=H25,"yes","no")</f>
        <v>yes</v>
      </c>
      <c r="K25" s="11" t="n">
        <f aca="false">IF(AND(ISNUMBER(F25),ISNUMBER(G25)),F25/G25-1,"")</f>
        <v>-0.142565669275963</v>
      </c>
    </row>
    <row r="26" customFormat="false" ht="15" hidden="false" customHeight="false" outlineLevel="0" collapsed="false">
      <c r="A26" s="7" t="s">
        <v>184</v>
      </c>
      <c r="B26" s="7" t="s">
        <v>56</v>
      </c>
      <c r="C26" s="7" t="s">
        <v>185</v>
      </c>
      <c r="D26" s="8" t="n">
        <v>7</v>
      </c>
      <c r="E26" s="7" t="s">
        <v>186</v>
      </c>
      <c r="F26" s="9" t="n">
        <v>3.32408229304458</v>
      </c>
      <c r="G26" s="9" t="n">
        <v>4.0267656175133</v>
      </c>
      <c r="H26" s="7" t="s">
        <v>186</v>
      </c>
      <c r="I26" s="9" t="n">
        <v>4.0267656175133</v>
      </c>
      <c r="J26" s="7" t="str">
        <f aca="false">IF(E26=H26,"yes","no")</f>
        <v>yes</v>
      </c>
      <c r="K26" s="11" t="n">
        <f aca="false">IF(AND(ISNUMBER(F26),ISNUMBER(G26)),F26/G26-1,"")</f>
        <v>-0.174503159908936</v>
      </c>
    </row>
    <row r="27" customFormat="false" ht="15" hidden="false" customHeight="false" outlineLevel="0" collapsed="false">
      <c r="A27" s="7" t="s">
        <v>190</v>
      </c>
      <c r="B27" s="7" t="s">
        <v>63</v>
      </c>
      <c r="C27" s="7" t="s">
        <v>191</v>
      </c>
      <c r="D27" s="8" t="n">
        <v>11</v>
      </c>
      <c r="E27" s="7" t="s">
        <v>192</v>
      </c>
      <c r="F27" s="9" t="n">
        <v>5.35720501389036</v>
      </c>
      <c r="G27" s="9" t="n">
        <v>4.89801818125678</v>
      </c>
      <c r="H27" s="7" t="s">
        <v>192</v>
      </c>
      <c r="I27" s="9" t="n">
        <v>4.89801818125678</v>
      </c>
      <c r="J27" s="7" t="str">
        <f aca="false">IF(E27=H27,"yes","no")</f>
        <v>yes</v>
      </c>
      <c r="K27" s="11" t="n">
        <f aca="false">IF(AND(ISNUMBER(F27),ISNUMBER(G27)),F27/G27-1,"")</f>
        <v>0.0937495157512365</v>
      </c>
    </row>
    <row r="28" customFormat="false" ht="15" hidden="false" customHeight="false" outlineLevel="0" collapsed="false">
      <c r="A28" s="7" t="s">
        <v>196</v>
      </c>
      <c r="B28" s="7" t="s">
        <v>197</v>
      </c>
      <c r="C28" s="7" t="s">
        <v>198</v>
      </c>
      <c r="D28" s="8" t="n">
        <v>9</v>
      </c>
      <c r="E28" s="7" t="s">
        <v>199</v>
      </c>
      <c r="F28" s="9" t="n">
        <v>5.05173217737264</v>
      </c>
      <c r="G28" s="9" t="n">
        <v>5.5479080674641</v>
      </c>
      <c r="H28" s="7" t="s">
        <v>355</v>
      </c>
      <c r="I28" s="9" t="n">
        <v>5.19710420603495</v>
      </c>
      <c r="J28" s="7" t="str">
        <f aca="false">IF(E28=H28,"yes","no")</f>
        <v>no</v>
      </c>
      <c r="K28" s="11" t="n">
        <f aca="false">IF(AND(ISNUMBER(F28),ISNUMBER(G28)),F28/G28-1,"")</f>
        <v>-0.0894347714594088</v>
      </c>
    </row>
    <row r="29" customFormat="false" ht="15" hidden="false" customHeight="false" outlineLevel="0" collapsed="false">
      <c r="A29" s="7" t="s">
        <v>203</v>
      </c>
      <c r="B29" s="7" t="s">
        <v>42</v>
      </c>
      <c r="C29" s="7" t="s">
        <v>204</v>
      </c>
      <c r="D29" s="8" t="n">
        <v>11</v>
      </c>
      <c r="E29" s="7" t="s">
        <v>205</v>
      </c>
      <c r="F29" s="9" t="n">
        <v>4.71305867461102</v>
      </c>
      <c r="G29" s="9" t="n">
        <v>3.73295018460174</v>
      </c>
      <c r="H29" s="7" t="s">
        <v>205</v>
      </c>
      <c r="I29" s="9" t="n">
        <v>3.73295018460174</v>
      </c>
      <c r="J29" s="7" t="str">
        <f aca="false">IF(E29=H29,"yes","no")</f>
        <v>yes</v>
      </c>
      <c r="K29" s="11" t="n">
        <f aca="false">IF(AND(ISNUMBER(F29),ISNUMBER(G29)),F29/G29-1,"")</f>
        <v>0.262556005716922</v>
      </c>
    </row>
    <row r="30" customFormat="false" ht="15" hidden="false" customHeight="false" outlineLevel="0" collapsed="false">
      <c r="A30" s="7" t="s">
        <v>209</v>
      </c>
      <c r="B30" s="7" t="s">
        <v>49</v>
      </c>
      <c r="C30" s="7" t="s">
        <v>210</v>
      </c>
      <c r="D30" s="8" t="n">
        <v>19</v>
      </c>
      <c r="E30" s="7" t="s">
        <v>211</v>
      </c>
      <c r="F30" s="9" t="n">
        <v>4.71070076423076</v>
      </c>
      <c r="G30" s="9" t="n">
        <v>4.8483125382893</v>
      </c>
      <c r="H30" s="7" t="s">
        <v>211</v>
      </c>
      <c r="I30" s="9" t="n">
        <v>4.8483125382893</v>
      </c>
      <c r="J30" s="7" t="str">
        <f aca="false">IF(E30=H30,"yes","no")</f>
        <v>yes</v>
      </c>
      <c r="K30" s="11" t="n">
        <f aca="false">IF(AND(ISNUMBER(F30),ISNUMBER(G30)),F30/G30-1,"")</f>
        <v>-0.0283834371179152</v>
      </c>
    </row>
    <row r="31" customFormat="false" ht="15" hidden="false" customHeight="false" outlineLevel="0" collapsed="false">
      <c r="A31" s="7" t="s">
        <v>215</v>
      </c>
      <c r="B31" s="7" t="s">
        <v>98</v>
      </c>
      <c r="C31" s="7" t="s">
        <v>216</v>
      </c>
      <c r="D31" s="8" t="n">
        <v>8</v>
      </c>
      <c r="E31" s="7" t="s">
        <v>217</v>
      </c>
      <c r="F31" s="9" t="n">
        <v>2.97780434713153</v>
      </c>
      <c r="G31" s="9" t="n">
        <v>2.61230406890873</v>
      </c>
      <c r="H31" s="7" t="s">
        <v>217</v>
      </c>
      <c r="I31" s="9" t="n">
        <v>2.61230406890873</v>
      </c>
      <c r="J31" s="7" t="str">
        <f aca="false">IF(E31=H31,"yes","no")</f>
        <v>yes</v>
      </c>
      <c r="K31" s="11" t="n">
        <f aca="false">IF(AND(ISNUMBER(F31),ISNUMBER(G31)),F31/G31-1,"")</f>
        <v>0.139914905991585</v>
      </c>
    </row>
    <row r="32" customFormat="false" ht="15" hidden="false" customHeight="false" outlineLevel="0" collapsed="false">
      <c r="A32" s="7" t="s">
        <v>221</v>
      </c>
      <c r="B32" s="7" t="s">
        <v>117</v>
      </c>
      <c r="C32" s="7" t="s">
        <v>222</v>
      </c>
      <c r="D32" s="8" t="n">
        <v>19</v>
      </c>
      <c r="E32" s="7" t="s">
        <v>223</v>
      </c>
      <c r="F32" s="9" t="n">
        <v>5.3421039052785</v>
      </c>
      <c r="G32" s="9" t="n">
        <v>5.40929660573342</v>
      </c>
      <c r="H32" s="7" t="s">
        <v>223</v>
      </c>
      <c r="I32" s="9" t="n">
        <v>5.40929660573342</v>
      </c>
      <c r="J32" s="7" t="str">
        <f aca="false">IF(E32=H32,"yes","no")</f>
        <v>yes</v>
      </c>
      <c r="K32" s="11" t="n">
        <f aca="false">IF(AND(ISNUMBER(F32),ISNUMBER(G32)),F32/G32-1,"")</f>
        <v>-0.0124217075439537</v>
      </c>
    </row>
    <row r="33" customFormat="false" ht="15" hidden="false" customHeight="false" outlineLevel="0" collapsed="false">
      <c r="A33" s="7" t="s">
        <v>227</v>
      </c>
      <c r="B33" s="7" t="s">
        <v>56</v>
      </c>
      <c r="C33" s="7" t="s">
        <v>228</v>
      </c>
      <c r="D33" s="8" t="n">
        <v>6</v>
      </c>
      <c r="E33" s="7" t="s">
        <v>229</v>
      </c>
      <c r="F33" s="9" t="n">
        <v>2.88832779379757</v>
      </c>
      <c r="G33" s="9" t="n">
        <v>3.41414260231643</v>
      </c>
      <c r="H33" s="7" t="s">
        <v>229</v>
      </c>
      <c r="I33" s="9" t="n">
        <v>3.41414260231643</v>
      </c>
      <c r="J33" s="7" t="str">
        <f aca="false">IF(E33=H33,"yes","no")</f>
        <v>yes</v>
      </c>
      <c r="K33" s="11" t="n">
        <f aca="false">IF(AND(ISNUMBER(F33),ISNUMBER(G33)),F33/G33-1,"")</f>
        <v>-0.154010792683969</v>
      </c>
    </row>
    <row r="34" customFormat="false" ht="15" hidden="false" customHeight="false" outlineLevel="0" collapsed="false">
      <c r="A34" s="7" t="s">
        <v>232</v>
      </c>
      <c r="B34" s="7" t="s">
        <v>63</v>
      </c>
      <c r="C34" s="7" t="s">
        <v>233</v>
      </c>
      <c r="D34" s="8" t="n">
        <v>10</v>
      </c>
      <c r="E34" s="7" t="s">
        <v>234</v>
      </c>
      <c r="F34" s="9" t="n">
        <v>4.51066895635256</v>
      </c>
      <c r="G34" s="9" t="n">
        <v>4.35300470636855</v>
      </c>
      <c r="H34" s="7" t="s">
        <v>234</v>
      </c>
      <c r="I34" s="9" t="n">
        <v>4.35300470636855</v>
      </c>
      <c r="J34" s="7" t="str">
        <f aca="false">IF(E34=H34,"yes","no")</f>
        <v>yes</v>
      </c>
      <c r="K34" s="11" t="n">
        <f aca="false">IF(AND(ISNUMBER(F34),ISNUMBER(G34)),F34/G34-1,"")</f>
        <v>0.0362196369219041</v>
      </c>
    </row>
    <row r="35" customFormat="false" ht="15" hidden="false" customHeight="false" outlineLevel="0" collapsed="false">
      <c r="A35" s="7" t="s">
        <v>238</v>
      </c>
      <c r="B35" s="7" t="s">
        <v>197</v>
      </c>
      <c r="C35" s="7" t="s">
        <v>239</v>
      </c>
      <c r="D35" s="8" t="n">
        <v>10</v>
      </c>
      <c r="E35" s="7" t="s">
        <v>240</v>
      </c>
      <c r="F35" s="9" t="n">
        <v>2.31421543300291</v>
      </c>
      <c r="G35" s="9" t="n">
        <v>2.50587016893056</v>
      </c>
      <c r="H35" s="7" t="s">
        <v>240</v>
      </c>
      <c r="I35" s="9" t="n">
        <v>2.50587016893056</v>
      </c>
      <c r="J35" s="7" t="str">
        <f aca="false">IF(E35=H35,"yes","no")</f>
        <v>yes</v>
      </c>
      <c r="K35" s="11" t="n">
        <f aca="false">IF(AND(ISNUMBER(F35),ISNUMBER(G35)),F35/G35-1,"")</f>
        <v>-0.0764823087420516</v>
      </c>
    </row>
    <row r="36" customFormat="false" ht="15" hidden="false" customHeight="false" outlineLevel="0" collapsed="false">
      <c r="A36" s="7" t="s">
        <v>243</v>
      </c>
      <c r="B36" s="7" t="s">
        <v>42</v>
      </c>
      <c r="C36" s="7" t="s">
        <v>244</v>
      </c>
      <c r="D36" s="8" t="n">
        <v>12</v>
      </c>
      <c r="E36" s="7" t="s">
        <v>245</v>
      </c>
      <c r="F36" s="9" t="n">
        <v>5.13145321501293</v>
      </c>
      <c r="G36" s="9" t="n">
        <v>4.59457941697539</v>
      </c>
      <c r="H36" s="7" t="s">
        <v>245</v>
      </c>
      <c r="I36" s="9" t="n">
        <v>4.59457941697539</v>
      </c>
      <c r="J36" s="7" t="str">
        <f aca="false">IF(E36=H36,"yes","no")</f>
        <v>yes</v>
      </c>
      <c r="K36" s="11" t="n">
        <f aca="false">IF(AND(ISNUMBER(F36),ISNUMBER(G36)),F36/G36-1,"")</f>
        <v>0.116849389098377</v>
      </c>
    </row>
    <row r="37" customFormat="false" ht="15" hidden="false" customHeight="false" outlineLevel="0" collapsed="false">
      <c r="A37" s="7" t="s">
        <v>249</v>
      </c>
      <c r="B37" s="7" t="s">
        <v>49</v>
      </c>
      <c r="C37" s="7" t="s">
        <v>250</v>
      </c>
      <c r="D37" s="8" t="n">
        <v>18</v>
      </c>
      <c r="E37" s="7" t="s">
        <v>251</v>
      </c>
      <c r="F37" s="9" t="n">
        <v>4.21028083000194</v>
      </c>
      <c r="G37" s="9" t="n">
        <v>3.60862045588581</v>
      </c>
      <c r="H37" s="7" t="s">
        <v>251</v>
      </c>
      <c r="I37" s="9" t="n">
        <v>3.60862045588581</v>
      </c>
      <c r="J37" s="7" t="str">
        <f aca="false">IF(E37=H37,"yes","no")</f>
        <v>yes</v>
      </c>
      <c r="K37" s="11" t="n">
        <f aca="false">IF(AND(ISNUMBER(F37),ISNUMBER(G37)),F37/G37-1,"")</f>
        <v>0.166728638123968</v>
      </c>
    </row>
    <row r="38" customFormat="false" ht="15" hidden="false" customHeight="false" outlineLevel="0" collapsed="false">
      <c r="A38" s="7" t="s">
        <v>255</v>
      </c>
      <c r="B38" s="7" t="s">
        <v>98</v>
      </c>
      <c r="C38" s="7" t="s">
        <v>256</v>
      </c>
      <c r="D38" s="8" t="n">
        <v>11</v>
      </c>
      <c r="E38" s="7" t="s">
        <v>257</v>
      </c>
      <c r="F38" s="9" t="n">
        <v>4.82930999727491</v>
      </c>
      <c r="G38" s="9" t="n">
        <v>4.99899797954038</v>
      </c>
      <c r="H38" s="7" t="s">
        <v>258</v>
      </c>
      <c r="I38" s="9" t="n">
        <v>4.91439469751536</v>
      </c>
      <c r="J38" s="7" t="str">
        <f aca="false">IF(E38=H38,"yes","no")</f>
        <v>no</v>
      </c>
      <c r="K38" s="11" t="n">
        <f aca="false">IF(AND(ISNUMBER(F38),ISNUMBER(G38)),F38/G38-1,"")</f>
        <v>-0.0339443990495614</v>
      </c>
    </row>
    <row r="39" customFormat="false" ht="15" hidden="false" customHeight="false" outlineLevel="0" collapsed="false">
      <c r="A39" s="7" t="s">
        <v>259</v>
      </c>
      <c r="B39" s="7" t="s">
        <v>117</v>
      </c>
      <c r="C39" s="7" t="s">
        <v>260</v>
      </c>
      <c r="D39" s="8" t="n">
        <v>13</v>
      </c>
      <c r="E39" s="7" t="s">
        <v>261</v>
      </c>
      <c r="F39" s="9" t="n">
        <v>4.55620328242862</v>
      </c>
      <c r="G39" s="9" t="n">
        <v>4.89654071213057</v>
      </c>
      <c r="H39" s="7" t="s">
        <v>261</v>
      </c>
      <c r="I39" s="9" t="n">
        <v>4.89654071213057</v>
      </c>
      <c r="J39" s="7" t="str">
        <f aca="false">IF(E39=H39,"yes","no")</f>
        <v>yes</v>
      </c>
      <c r="K39" s="11" t="n">
        <f aca="false">IF(AND(ISNUMBER(F39),ISNUMBER(G39)),F39/G39-1,"")</f>
        <v>-0.0695056877315058</v>
      </c>
    </row>
    <row r="40" customFormat="false" ht="15" hidden="false" customHeight="false" outlineLevel="0" collapsed="false">
      <c r="A40" s="7" t="s">
        <v>263</v>
      </c>
      <c r="B40" s="7" t="s">
        <v>56</v>
      </c>
      <c r="C40" s="7" t="s">
        <v>264</v>
      </c>
      <c r="D40" s="8" t="n">
        <v>9</v>
      </c>
      <c r="E40" s="7" t="s">
        <v>265</v>
      </c>
      <c r="F40" s="9" t="n">
        <v>5.01631464656624</v>
      </c>
      <c r="G40" s="9" t="n">
        <v>4.87945605242088</v>
      </c>
      <c r="H40" s="7" t="s">
        <v>265</v>
      </c>
      <c r="I40" s="9" t="n">
        <v>4.87945605242088</v>
      </c>
      <c r="J40" s="7" t="str">
        <f aca="false">IF(E40=H40,"yes","no")</f>
        <v>yes</v>
      </c>
      <c r="K40" s="11" t="n">
        <f aca="false">IF(AND(ISNUMBER(F40),ISNUMBER(G40)),F40/G40-1,"")</f>
        <v>0.0280479202343575</v>
      </c>
    </row>
    <row r="41" customFormat="false" ht="15" hidden="false" customHeight="false" outlineLevel="0" collapsed="false">
      <c r="A41" s="7" t="s">
        <v>269</v>
      </c>
      <c r="B41" s="7" t="s">
        <v>63</v>
      </c>
      <c r="C41" s="7" t="s">
        <v>270</v>
      </c>
      <c r="D41" s="8" t="n">
        <v>10</v>
      </c>
      <c r="E41" s="7" t="s">
        <v>271</v>
      </c>
      <c r="F41" s="9" t="n">
        <v>2.71392874178648</v>
      </c>
      <c r="G41" s="9" t="n">
        <v>2.62314279846696</v>
      </c>
      <c r="H41" s="7" t="s">
        <v>271</v>
      </c>
      <c r="I41" s="9" t="n">
        <v>2.62314279846696</v>
      </c>
      <c r="J41" s="7" t="str">
        <f aca="false">IF(E41=H41,"yes","no")</f>
        <v>yes</v>
      </c>
      <c r="K41" s="11" t="n">
        <f aca="false">IF(AND(ISNUMBER(F41),ISNUMBER(G41)),F41/G41-1,"")</f>
        <v>0.0346096077470792</v>
      </c>
    </row>
    <row r="42" customFormat="false" ht="15" hidden="false" customHeight="false" outlineLevel="0" collapsed="false">
      <c r="A42" s="7" t="s">
        <v>275</v>
      </c>
      <c r="B42" s="7" t="s">
        <v>197</v>
      </c>
      <c r="C42" s="7" t="s">
        <v>276</v>
      </c>
      <c r="D42" s="8" t="n">
        <v>10</v>
      </c>
      <c r="E42" s="7" t="s">
        <v>277</v>
      </c>
      <c r="F42" s="9" t="n">
        <v>3.52310281748753</v>
      </c>
      <c r="G42" s="9" t="n">
        <v>3.46818567250968</v>
      </c>
      <c r="H42" s="7" t="s">
        <v>277</v>
      </c>
      <c r="I42" s="9" t="n">
        <v>3.46818567250968</v>
      </c>
      <c r="J42" s="7" t="str">
        <f aca="false">IF(E42=H42,"yes","no")</f>
        <v>yes</v>
      </c>
      <c r="K42" s="11" t="n">
        <f aca="false">IF(AND(ISNUMBER(F42),ISNUMBER(G42)),F42/G42-1,"")</f>
        <v>0.0158345458298688</v>
      </c>
    </row>
    <row r="43" customFormat="false" ht="15" hidden="false" customHeight="false" outlineLevel="0" collapsed="false">
      <c r="A43" s="7" t="s">
        <v>281</v>
      </c>
      <c r="B43" s="7" t="s">
        <v>49</v>
      </c>
      <c r="C43" s="7" t="s">
        <v>282</v>
      </c>
      <c r="D43" s="8" t="n">
        <v>17</v>
      </c>
      <c r="E43" s="7" t="s">
        <v>283</v>
      </c>
      <c r="F43" s="9" t="n">
        <v>5.50473801946738</v>
      </c>
      <c r="G43" s="9" t="n">
        <v>6.3822618101339</v>
      </c>
      <c r="H43" s="7" t="s">
        <v>284</v>
      </c>
      <c r="I43" s="9" t="n">
        <v>6.06401315441454</v>
      </c>
      <c r="J43" s="7" t="str">
        <f aca="false">IF(E43=H43,"yes","no")</f>
        <v>no</v>
      </c>
      <c r="K43" s="11" t="n">
        <f aca="false">IF(AND(ISNUMBER(F43),ISNUMBER(G43)),F43/G43-1,"")</f>
        <v>-0.137494170056322</v>
      </c>
    </row>
    <row r="44" customFormat="false" ht="15" hidden="false" customHeight="false" outlineLevel="0" collapsed="false">
      <c r="A44" s="7" t="s">
        <v>285</v>
      </c>
      <c r="B44" s="7" t="s">
        <v>98</v>
      </c>
      <c r="C44" s="7" t="s">
        <v>286</v>
      </c>
      <c r="D44" s="8" t="n">
        <v>12</v>
      </c>
      <c r="E44" s="7" t="s">
        <v>287</v>
      </c>
      <c r="F44" s="9" t="n">
        <v>4.92085280123625</v>
      </c>
      <c r="G44" s="9" t="n">
        <v>4.56001144951409</v>
      </c>
      <c r="H44" s="7" t="s">
        <v>287</v>
      </c>
      <c r="I44" s="9" t="n">
        <v>4.56001144951409</v>
      </c>
      <c r="J44" s="7" t="str">
        <f aca="false">IF(E44=H44,"yes","no")</f>
        <v>yes</v>
      </c>
      <c r="K44" s="11" t="n">
        <f aca="false">IF(AND(ISNUMBER(F44),ISNUMBER(G44)),F44/G44-1,"")</f>
        <v>0.0791316766892363</v>
      </c>
    </row>
    <row r="45" customFormat="false" ht="15" hidden="false" customHeight="false" outlineLevel="0" collapsed="false">
      <c r="A45" s="7" t="s">
        <v>291</v>
      </c>
      <c r="B45" s="7" t="s">
        <v>117</v>
      </c>
      <c r="C45" s="7" t="s">
        <v>292</v>
      </c>
      <c r="D45" s="8" t="n">
        <v>14</v>
      </c>
      <c r="E45" s="7" t="s">
        <v>293</v>
      </c>
      <c r="F45" s="9" t="n">
        <v>3.84992854605613</v>
      </c>
      <c r="G45" s="9" t="n">
        <v>4.07544500424935</v>
      </c>
      <c r="H45" s="7" t="s">
        <v>293</v>
      </c>
      <c r="I45" s="9" t="n">
        <v>4.07544500424935</v>
      </c>
      <c r="J45" s="7" t="str">
        <f aca="false">IF(E45=H45,"yes","no")</f>
        <v>yes</v>
      </c>
      <c r="K45" s="11" t="n">
        <f aca="false">IF(AND(ISNUMBER(F45),ISNUMBER(G45)),F45/G45-1,"")</f>
        <v>-0.0553354193120216</v>
      </c>
    </row>
    <row r="46" customFormat="false" ht="15" hidden="false" customHeight="false" outlineLevel="0" collapsed="false">
      <c r="A46" s="7" t="s">
        <v>297</v>
      </c>
      <c r="B46" s="7" t="s">
        <v>63</v>
      </c>
      <c r="C46" s="7" t="s">
        <v>298</v>
      </c>
      <c r="D46" s="8" t="n">
        <v>5</v>
      </c>
      <c r="E46" s="7" t="s">
        <v>299</v>
      </c>
      <c r="F46" s="9" t="n">
        <v>2.75538507394132</v>
      </c>
      <c r="G46" s="9" t="n">
        <v>3.14318861811781</v>
      </c>
      <c r="H46" s="7" t="s">
        <v>299</v>
      </c>
      <c r="I46" s="9" t="n">
        <v>3.14318861811781</v>
      </c>
      <c r="J46" s="7" t="str">
        <f aca="false">IF(E46=H46,"yes","no")</f>
        <v>yes</v>
      </c>
      <c r="K46" s="11" t="n">
        <f aca="false">IF(AND(ISNUMBER(F46),ISNUMBER(G46)),F46/G46-1,"")</f>
        <v>-0.12337902407165</v>
      </c>
    </row>
    <row r="47" customFormat="false" ht="15" hidden="false" customHeight="false" outlineLevel="0" collapsed="false">
      <c r="A47" s="7" t="s">
        <v>303</v>
      </c>
      <c r="B47" s="7" t="s">
        <v>197</v>
      </c>
      <c r="C47" s="7" t="s">
        <v>304</v>
      </c>
      <c r="D47" s="8" t="n">
        <v>9</v>
      </c>
      <c r="E47" s="7" t="s">
        <v>305</v>
      </c>
      <c r="F47" s="9" t="n">
        <v>3.31822413341024</v>
      </c>
      <c r="G47" s="9" t="n">
        <v>3.82606003714072</v>
      </c>
      <c r="H47" s="7" t="s">
        <v>305</v>
      </c>
      <c r="I47" s="9" t="n">
        <v>3.82606003714072</v>
      </c>
      <c r="J47" s="7" t="str">
        <f aca="false">IF(E47=H47,"yes","no")</f>
        <v>yes</v>
      </c>
      <c r="K47" s="11" t="n">
        <f aca="false">IF(AND(ISNUMBER(F47),ISNUMBER(G47)),F47/G47-1,"")</f>
        <v>-0.132730772335187</v>
      </c>
    </row>
    <row r="48" customFormat="false" ht="15" hidden="false" customHeight="false" outlineLevel="0" collapsed="false">
      <c r="A48" s="7" t="s">
        <v>309</v>
      </c>
      <c r="B48" s="7" t="s">
        <v>98</v>
      </c>
      <c r="C48" s="7" t="s">
        <v>310</v>
      </c>
      <c r="D48" s="8" t="n">
        <v>10</v>
      </c>
      <c r="E48" s="7" t="s">
        <v>311</v>
      </c>
      <c r="F48" s="9" t="n">
        <v>4.11203764040962</v>
      </c>
      <c r="G48" s="9" t="n">
        <v>3.67885190863032</v>
      </c>
      <c r="H48" s="7" t="s">
        <v>311</v>
      </c>
      <c r="I48" s="9" t="n">
        <v>3.67885190863032</v>
      </c>
      <c r="J48" s="7" t="str">
        <f aca="false">IF(E48=H48,"yes","no")</f>
        <v>yes</v>
      </c>
      <c r="K48" s="11" t="n">
        <f aca="false">IF(AND(ISNUMBER(F48),ISNUMBER(G48)),F48/G48-1,"")</f>
        <v>0.117750249952459</v>
      </c>
    </row>
    <row r="49" customFormat="false" ht="15" hidden="false" customHeight="false" outlineLevel="0" collapsed="false">
      <c r="A49" s="7" t="s">
        <v>313</v>
      </c>
      <c r="B49" s="7" t="s">
        <v>117</v>
      </c>
      <c r="C49" s="7" t="s">
        <v>314</v>
      </c>
      <c r="D49" s="8" t="n">
        <v>6</v>
      </c>
      <c r="E49" s="7" t="s">
        <v>315</v>
      </c>
      <c r="F49" s="9" t="n">
        <v>1.64822357562607</v>
      </c>
      <c r="G49" s="9" t="n">
        <v>4.7186438984411</v>
      </c>
      <c r="H49" s="7" t="s">
        <v>315</v>
      </c>
      <c r="I49" s="9" t="n">
        <v>4.7186438984411</v>
      </c>
      <c r="J49" s="7" t="str">
        <f aca="false">IF(E49=H49,"yes","no")</f>
        <v>yes</v>
      </c>
      <c r="K49" s="11" t="n">
        <f aca="false">IF(AND(ISNUMBER(F49),ISNUMBER(G49)),F49/G49-1,"")</f>
        <v>-0.650699732571345</v>
      </c>
    </row>
    <row r="50" customFormat="false" ht="15" hidden="false" customHeight="false" outlineLevel="0" collapsed="false">
      <c r="A50" s="7" t="s">
        <v>319</v>
      </c>
      <c r="B50" s="7" t="s">
        <v>197</v>
      </c>
      <c r="C50" s="7" t="s">
        <v>320</v>
      </c>
      <c r="D50" s="8" t="n">
        <v>8</v>
      </c>
      <c r="E50" s="7" t="s">
        <v>321</v>
      </c>
      <c r="F50" s="9" t="n">
        <v>3.3880756452045</v>
      </c>
      <c r="G50" s="9" t="n">
        <v>3.18610257003639</v>
      </c>
      <c r="H50" s="7" t="s">
        <v>321</v>
      </c>
      <c r="I50" s="9" t="n">
        <v>3.18610257003639</v>
      </c>
      <c r="J50" s="7" t="str">
        <f aca="false">IF(E50=H50,"yes","no")</f>
        <v>yes</v>
      </c>
      <c r="K50" s="11" t="n">
        <f aca="false">IF(AND(ISNUMBER(F50),ISNUMBER(G50)),F50/G50-1,"")</f>
        <v>0.0633918936155917</v>
      </c>
    </row>
    <row r="51" customFormat="false" ht="15" hidden="false" customHeight="false" outlineLevel="0" collapsed="false">
      <c r="A51" s="7" t="s">
        <v>323</v>
      </c>
      <c r="B51" s="7" t="s">
        <v>197</v>
      </c>
      <c r="C51" s="7" t="s">
        <v>324</v>
      </c>
      <c r="D51" s="8" t="n">
        <v>13</v>
      </c>
      <c r="E51" s="7" t="s">
        <v>325</v>
      </c>
      <c r="F51" s="9" t="n">
        <v>1.96240472965731</v>
      </c>
      <c r="G51" s="9" t="n">
        <v>2.05562537277794</v>
      </c>
      <c r="H51" s="7" t="s">
        <v>325</v>
      </c>
      <c r="I51" s="9" t="n">
        <v>2.05562537277794</v>
      </c>
      <c r="J51" s="7" t="str">
        <f aca="false">IF(E51=H51,"yes","no")</f>
        <v>yes</v>
      </c>
      <c r="K51" s="11" t="n">
        <f aca="false">IF(AND(ISNUMBER(F51),ISNUMBER(G51)),F51/G51-1,"")</f>
        <v>-0.0453490428533897</v>
      </c>
    </row>
    <row r="52" customFormat="false" ht="15" hidden="false" customHeight="false" outlineLevel="0" collapsed="false">
      <c r="A52" s="7" t="s">
        <v>328</v>
      </c>
      <c r="B52" s="7" t="s">
        <v>197</v>
      </c>
      <c r="C52" s="7" t="s">
        <v>329</v>
      </c>
      <c r="D52" s="8" t="n">
        <v>14</v>
      </c>
      <c r="E52" s="7" t="s">
        <v>330</v>
      </c>
      <c r="F52" s="9" t="n">
        <v>5.67757655969021</v>
      </c>
      <c r="G52" s="9" t="n">
        <v>5.59562802404704</v>
      </c>
      <c r="H52" s="7" t="s">
        <v>330</v>
      </c>
      <c r="I52" s="9" t="n">
        <v>5.59562802404704</v>
      </c>
      <c r="J52" s="7" t="str">
        <f aca="false">IF(E52=H52,"yes","no")</f>
        <v>yes</v>
      </c>
      <c r="K52" s="11" t="n">
        <f aca="false">IF(AND(ISNUMBER(F52),ISNUMBER(G52)),F52/G52-1,"")</f>
        <v>0.0146451006555479</v>
      </c>
    </row>
    <row r="53" customFormat="false" ht="15" hidden="false" customHeight="false" outlineLevel="0" collapsed="false">
      <c r="A53" s="7" t="s">
        <v>334</v>
      </c>
      <c r="B53" s="7" t="s">
        <v>197</v>
      </c>
      <c r="C53" s="7" t="s">
        <v>335</v>
      </c>
      <c r="D53" s="8" t="n">
        <v>12</v>
      </c>
      <c r="E53" s="7" t="s">
        <v>336</v>
      </c>
      <c r="F53" s="9" t="n">
        <v>6.60489098212704</v>
      </c>
      <c r="G53" s="9" t="n">
        <v>7.54948715800055</v>
      </c>
      <c r="H53" s="7" t="s">
        <v>339</v>
      </c>
      <c r="I53" s="9" t="n">
        <v>6.95330369023243</v>
      </c>
      <c r="J53" s="7" t="str">
        <f aca="false">IF(E53=H53,"yes","no")</f>
        <v>no</v>
      </c>
      <c r="K53" s="11" t="n">
        <f aca="false">IF(AND(ISNUMBER(F53),ISNUMBER(G53)),F53/G53-1,"")</f>
        <v>-0.125120575226422</v>
      </c>
    </row>
    <row r="54" customFormat="false" ht="15" hidden="false" customHeight="false" outlineLevel="0" collapsed="false">
      <c r="A54" s="7" t="s">
        <v>340</v>
      </c>
      <c r="B54" s="7" t="s">
        <v>197</v>
      </c>
      <c r="C54" s="7" t="s">
        <v>341</v>
      </c>
      <c r="D54" s="8" t="n">
        <v>13</v>
      </c>
      <c r="E54" s="7" t="s">
        <v>342</v>
      </c>
      <c r="F54" s="9" t="n">
        <v>4.35247403174201</v>
      </c>
      <c r="G54" s="9" t="n">
        <v>4.51147188728834</v>
      </c>
      <c r="H54" s="7" t="s">
        <v>342</v>
      </c>
      <c r="I54" s="9" t="n">
        <v>4.51147188728834</v>
      </c>
      <c r="J54" s="7" t="str">
        <f aca="false">IF(E54=H54,"yes","no")</f>
        <v>yes</v>
      </c>
      <c r="K54" s="11" t="n">
        <f aca="false">IF(AND(ISNUMBER(F54),ISNUMBER(G54)),F54/G54-1,"")</f>
        <v>-0.0352430114868558</v>
      </c>
    </row>
    <row r="56" customFormat="false" ht="15" hidden="false" customHeight="false" outlineLevel="0" collapsed="false">
      <c r="A56" s="12" t="s">
        <v>356</v>
      </c>
      <c r="E56" s="7" t="str">
        <f aca="false">COUNTIF(J2:J54,"yes")&amp;" of "&amp;COUNTA(J2:J54)</f>
        <v>44 of 53</v>
      </c>
    </row>
    <row r="57" customFormat="false" ht="15" hidden="false" customHeight="false" outlineLevel="0" collapsed="false">
      <c r="A57" s="13" t="s">
        <v>357</v>
      </c>
    </row>
  </sheetData>
  <autoFilter ref="A1:K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358</v>
      </c>
      <c r="E1" s="6" t="s">
        <v>359</v>
      </c>
      <c r="F1" s="6" t="s">
        <v>360</v>
      </c>
      <c r="G1" s="6" t="s">
        <v>1</v>
      </c>
      <c r="H1" s="6" t="s">
        <v>361</v>
      </c>
      <c r="I1" s="6" t="s">
        <v>35</v>
      </c>
      <c r="J1" s="6" t="s">
        <v>36</v>
      </c>
      <c r="K1" s="6" t="s">
        <v>362</v>
      </c>
      <c r="L1" s="6" t="s">
        <v>363</v>
      </c>
      <c r="M1" s="6" t="s">
        <v>364</v>
      </c>
      <c r="N1" s="6" t="s">
        <v>365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4" t="s">
        <v>41</v>
      </c>
      <c r="B2" s="14" t="s">
        <v>42</v>
      </c>
      <c r="C2" s="14" t="s">
        <v>43</v>
      </c>
      <c r="D2" s="14" t="s">
        <v>366</v>
      </c>
      <c r="E2" s="15" t="n">
        <v>7</v>
      </c>
      <c r="F2" s="14" t="s">
        <v>367</v>
      </c>
      <c r="G2" s="8" t="n">
        <v>10</v>
      </c>
      <c r="H2" s="14" t="s">
        <v>44</v>
      </c>
      <c r="I2" s="14" t="s">
        <v>45</v>
      </c>
      <c r="J2" s="14" t="s">
        <v>46</v>
      </c>
      <c r="K2" s="8" t="n">
        <v>2</v>
      </c>
      <c r="L2" s="8" t="n">
        <v>85</v>
      </c>
      <c r="M2" s="8" t="n">
        <v>2</v>
      </c>
      <c r="N2" s="8" t="n">
        <v>18</v>
      </c>
      <c r="O2" s="8" t="n">
        <v>1</v>
      </c>
      <c r="P2" s="9" t="n">
        <v>5.42239116953925</v>
      </c>
      <c r="Q2" s="10" t="n">
        <v>0.184420483276379</v>
      </c>
      <c r="R2" s="9" t="n">
        <v>7.5</v>
      </c>
      <c r="S2" s="11" t="n">
        <f aca="false">IF(AND(ISNUMBER(R2),R2&gt;1,P2&gt;0),R2/P2-1,"")</f>
        <v>0.383153624572846</v>
      </c>
      <c r="T2" s="9" t="n">
        <f aca="false">IF(AND(ISNUMBER(P2),P2&gt;0),P2*EXP('Read me'!$B$22),"")</f>
        <v>6.62292353029858</v>
      </c>
    </row>
    <row r="3" customFormat="false" ht="15" hidden="false" customHeight="false" outlineLevel="0" collapsed="false">
      <c r="A3" s="14" t="s">
        <v>41</v>
      </c>
      <c r="B3" s="14" t="s">
        <v>42</v>
      </c>
      <c r="C3" s="14" t="s">
        <v>43</v>
      </c>
      <c r="D3" s="14" t="s">
        <v>366</v>
      </c>
      <c r="E3" s="15" t="n">
        <v>7</v>
      </c>
      <c r="F3" s="14" t="s">
        <v>367</v>
      </c>
      <c r="G3" s="8" t="n">
        <v>10</v>
      </c>
      <c r="H3" s="14" t="s">
        <v>47</v>
      </c>
      <c r="I3" s="14" t="s">
        <v>206</v>
      </c>
      <c r="J3" s="14" t="s">
        <v>60</v>
      </c>
      <c r="K3" s="8" t="n">
        <v>3</v>
      </c>
      <c r="L3" s="8" t="n">
        <v>76</v>
      </c>
      <c r="M3" s="8" t="n">
        <v>2</v>
      </c>
      <c r="N3" s="8" t="n">
        <v>8</v>
      </c>
      <c r="O3" s="8" t="n">
        <v>2</v>
      </c>
      <c r="P3" s="9" t="n">
        <v>7.36937350500186</v>
      </c>
      <c r="Q3" s="10" t="n">
        <v>0.13569674536394</v>
      </c>
      <c r="R3" s="9" t="n">
        <v>8.5</v>
      </c>
      <c r="S3" s="11" t="n">
        <f aca="false">IF(AND(ISNUMBER(R3),R3&gt;1,P3&gt;0),R3/P3-1,"")</f>
        <v>0.153422335593486</v>
      </c>
      <c r="T3" s="9" t="n">
        <f aca="false">IF(AND(ISNUMBER(P3),P3&gt;0),P3*EXP('Read me'!$B$22),"")</f>
        <v>9.00097312492175</v>
      </c>
    </row>
    <row r="4" customFormat="false" ht="15" hidden="false" customHeight="false" outlineLevel="0" collapsed="false">
      <c r="A4" s="14" t="s">
        <v>41</v>
      </c>
      <c r="B4" s="14" t="s">
        <v>42</v>
      </c>
      <c r="C4" s="14" t="s">
        <v>43</v>
      </c>
      <c r="D4" s="14" t="s">
        <v>366</v>
      </c>
      <c r="E4" s="15" t="n">
        <v>7</v>
      </c>
      <c r="F4" s="14" t="s">
        <v>367</v>
      </c>
      <c r="G4" s="8" t="n">
        <v>10</v>
      </c>
      <c r="H4" s="14" t="s">
        <v>368</v>
      </c>
      <c r="I4" s="14" t="s">
        <v>369</v>
      </c>
      <c r="J4" s="14" t="s">
        <v>370</v>
      </c>
      <c r="K4" s="8" t="n">
        <v>4</v>
      </c>
      <c r="L4" s="8" t="n">
        <v>77</v>
      </c>
      <c r="M4" s="8" t="n">
        <v>2</v>
      </c>
      <c r="N4" s="8" t="n">
        <v>10</v>
      </c>
      <c r="O4" s="8" t="n">
        <v>3</v>
      </c>
      <c r="P4" s="9" t="n">
        <v>7.87958832826131</v>
      </c>
      <c r="Q4" s="10" t="n">
        <v>0.126910183418257</v>
      </c>
      <c r="R4" s="9" t="n">
        <v>10</v>
      </c>
      <c r="S4" s="11" t="n">
        <f aca="false">IF(AND(ISNUMBER(R4),R4&gt;1,P4&gt;0),R4/P4-1,"")</f>
        <v>0.26910183418257</v>
      </c>
      <c r="T4" s="9" t="n">
        <f aca="false">IF(AND(ISNUMBER(P4),P4&gt;0),P4*EXP('Read me'!$B$22),"")</f>
        <v>9.62415091730505</v>
      </c>
    </row>
    <row r="5" customFormat="false" ht="15" hidden="false" customHeight="false" outlineLevel="0" collapsed="false">
      <c r="A5" s="14" t="s">
        <v>41</v>
      </c>
      <c r="B5" s="14" t="s">
        <v>42</v>
      </c>
      <c r="C5" s="14" t="s">
        <v>43</v>
      </c>
      <c r="D5" s="14" t="s">
        <v>366</v>
      </c>
      <c r="E5" s="15" t="n">
        <v>7</v>
      </c>
      <c r="F5" s="14" t="s">
        <v>367</v>
      </c>
      <c r="G5" s="8" t="n">
        <v>10</v>
      </c>
      <c r="H5" s="14" t="s">
        <v>371</v>
      </c>
      <c r="I5" s="14" t="s">
        <v>246</v>
      </c>
      <c r="J5" s="14" t="s">
        <v>91</v>
      </c>
      <c r="K5" s="8" t="n">
        <v>6</v>
      </c>
      <c r="L5" s="8" t="n">
        <v>74</v>
      </c>
      <c r="M5" s="8" t="n">
        <v>2</v>
      </c>
      <c r="N5" s="8" t="n">
        <v>22</v>
      </c>
      <c r="O5" s="8" t="n">
        <v>4</v>
      </c>
      <c r="P5" s="9" t="n">
        <v>8.39927337116033</v>
      </c>
      <c r="Q5" s="10" t="n">
        <v>0.119057917966284</v>
      </c>
      <c r="R5" s="9" t="n">
        <v>7</v>
      </c>
      <c r="S5" s="11" t="n">
        <f aca="false">IF(AND(ISNUMBER(R5),R5&gt;1,P5&gt;0),R5/P5-1,"")</f>
        <v>-0.166594574236012</v>
      </c>
      <c r="T5" s="9" t="n">
        <f aca="false">IF(AND(ISNUMBER(P5),P5&gt;0),P5*EXP('Read me'!$B$22),"")</f>
        <v>10.2588956620765</v>
      </c>
    </row>
    <row r="6" customFormat="false" ht="15" hidden="false" customHeight="false" outlineLevel="0" collapsed="false">
      <c r="A6" s="14" t="s">
        <v>41</v>
      </c>
      <c r="B6" s="14" t="s">
        <v>42</v>
      </c>
      <c r="C6" s="14" t="s">
        <v>43</v>
      </c>
      <c r="D6" s="14" t="s">
        <v>366</v>
      </c>
      <c r="E6" s="15" t="n">
        <v>7</v>
      </c>
      <c r="F6" s="14" t="s">
        <v>367</v>
      </c>
      <c r="G6" s="8" t="n">
        <v>10</v>
      </c>
      <c r="H6" s="14" t="s">
        <v>372</v>
      </c>
      <c r="I6" s="14" t="s">
        <v>373</v>
      </c>
      <c r="J6" s="14" t="s">
        <v>370</v>
      </c>
      <c r="K6" s="8" t="n">
        <v>8</v>
      </c>
      <c r="L6" s="8" t="n">
        <v>70</v>
      </c>
      <c r="M6" s="8" t="n">
        <v>2</v>
      </c>
      <c r="N6" s="8" t="n">
        <v>42</v>
      </c>
      <c r="O6" s="8" t="n">
        <v>5</v>
      </c>
      <c r="P6" s="9" t="n">
        <v>9.24698024514735</v>
      </c>
      <c r="Q6" s="10" t="n">
        <v>0.108143412604864</v>
      </c>
      <c r="R6" s="9" t="n">
        <v>4.5</v>
      </c>
      <c r="S6" s="11" t="n">
        <f aca="false">IF(AND(ISNUMBER(R6),R6&gt;1,P6&gt;0),R6/P6-1,"")</f>
        <v>-0.51335464327811</v>
      </c>
      <c r="T6" s="9" t="n">
        <f aca="false">IF(AND(ISNUMBER(P6),P6&gt;0),P6*EXP('Read me'!$B$22),"")</f>
        <v>11.2942871760756</v>
      </c>
    </row>
    <row r="7" customFormat="false" ht="15" hidden="false" customHeight="false" outlineLevel="0" collapsed="false">
      <c r="A7" s="14" t="s">
        <v>41</v>
      </c>
      <c r="B7" s="14" t="s">
        <v>42</v>
      </c>
      <c r="C7" s="14" t="s">
        <v>43</v>
      </c>
      <c r="D7" s="14" t="s">
        <v>366</v>
      </c>
      <c r="E7" s="15" t="n">
        <v>7</v>
      </c>
      <c r="F7" s="14" t="s">
        <v>367</v>
      </c>
      <c r="G7" s="8" t="n">
        <v>10</v>
      </c>
      <c r="H7" s="14" t="s">
        <v>374</v>
      </c>
      <c r="I7" s="14" t="s">
        <v>375</v>
      </c>
      <c r="J7" s="14" t="s">
        <v>376</v>
      </c>
      <c r="K7" s="8" t="n">
        <v>9</v>
      </c>
      <c r="L7" s="8" t="n">
        <v>82</v>
      </c>
      <c r="M7" s="8" t="n">
        <v>2</v>
      </c>
      <c r="N7" s="8" t="n">
        <v>16</v>
      </c>
      <c r="O7" s="8" t="n">
        <v>6</v>
      </c>
      <c r="P7" s="9" t="n">
        <v>10.3749045257683</v>
      </c>
      <c r="Q7" s="10" t="n">
        <v>0.0963864291489419</v>
      </c>
      <c r="R7" s="9" t="n">
        <v>9.5</v>
      </c>
      <c r="S7" s="11" t="n">
        <f aca="false">IF(AND(ISNUMBER(R7),R7&gt;1,P7&gt;0),R7/P7-1,"")</f>
        <v>-0.0843289230850511</v>
      </c>
      <c r="T7" s="9" t="n">
        <f aca="false">IF(AND(ISNUMBER(P7),P7&gt;0),P7*EXP('Read me'!$B$22),"")</f>
        <v>12.6719370034218</v>
      </c>
    </row>
    <row r="8" customFormat="false" ht="15" hidden="false" customHeight="false" outlineLevel="0" collapsed="false">
      <c r="A8" s="14" t="s">
        <v>41</v>
      </c>
      <c r="B8" s="14" t="s">
        <v>42</v>
      </c>
      <c r="C8" s="14" t="s">
        <v>43</v>
      </c>
      <c r="D8" s="14" t="s">
        <v>366</v>
      </c>
      <c r="E8" s="15" t="n">
        <v>7</v>
      </c>
      <c r="F8" s="14" t="s">
        <v>367</v>
      </c>
      <c r="G8" s="8" t="n">
        <v>10</v>
      </c>
      <c r="H8" s="14" t="s">
        <v>377</v>
      </c>
      <c r="I8" s="14" t="s">
        <v>378</v>
      </c>
      <c r="J8" s="14" t="s">
        <v>379</v>
      </c>
      <c r="K8" s="8" t="n">
        <v>1</v>
      </c>
      <c r="L8" s="8" t="n">
        <v>82</v>
      </c>
      <c r="M8" s="8" t="n">
        <v>2</v>
      </c>
      <c r="N8" s="8" t="n">
        <v>19</v>
      </c>
      <c r="O8" s="8" t="n">
        <v>7</v>
      </c>
      <c r="P8" s="9" t="n">
        <v>11.2155501685652</v>
      </c>
      <c r="Q8" s="10" t="n">
        <v>0.0891619211693054</v>
      </c>
      <c r="R8" s="9" t="n">
        <v>7</v>
      </c>
      <c r="S8" s="11" t="n">
        <f aca="false">IF(AND(ISNUMBER(R8),R8&gt;1,P8&gt;0),R8/P8-1,"")</f>
        <v>-0.375866551814862</v>
      </c>
      <c r="T8" s="9" t="n">
        <f aca="false">IF(AND(ISNUMBER(P8),P8&gt;0),P8*EXP('Read me'!$B$22),"")</f>
        <v>13.6987039101693</v>
      </c>
    </row>
    <row r="9" customFormat="false" ht="15" hidden="false" customHeight="false" outlineLevel="0" collapsed="false">
      <c r="A9" s="14" t="s">
        <v>41</v>
      </c>
      <c r="B9" s="14" t="s">
        <v>42</v>
      </c>
      <c r="C9" s="14" t="s">
        <v>43</v>
      </c>
      <c r="D9" s="14" t="s">
        <v>366</v>
      </c>
      <c r="E9" s="15" t="n">
        <v>7</v>
      </c>
      <c r="F9" s="14" t="s">
        <v>367</v>
      </c>
      <c r="G9" s="8" t="n">
        <v>10</v>
      </c>
      <c r="H9" s="14" t="s">
        <v>380</v>
      </c>
      <c r="I9" s="14" t="s">
        <v>165</v>
      </c>
      <c r="J9" s="14" t="s">
        <v>381</v>
      </c>
      <c r="K9" s="8" t="n">
        <v>7</v>
      </c>
      <c r="L9" s="8" t="n">
        <v>74</v>
      </c>
      <c r="M9" s="8" t="n">
        <v>2</v>
      </c>
      <c r="N9" s="8" t="n">
        <v>43</v>
      </c>
      <c r="O9" s="8" t="n">
        <v>8</v>
      </c>
      <c r="P9" s="9" t="n">
        <v>11.8663809772577</v>
      </c>
      <c r="Q9" s="10" t="n">
        <v>0.0842716917581298</v>
      </c>
      <c r="R9" s="9" t="n">
        <v>13</v>
      </c>
      <c r="S9" s="11" t="n">
        <f aca="false">IF(AND(ISNUMBER(R9),R9&gt;1,P9&gt;0),R9/P9-1,"")</f>
        <v>0.0955319928556881</v>
      </c>
      <c r="T9" s="9" t="n">
        <f aca="false">IF(AND(ISNUMBER(P9),P9&gt;0),P9*EXP('Read me'!$B$22),"")</f>
        <v>14.493630455002</v>
      </c>
    </row>
    <row r="10" customFormat="false" ht="15" hidden="false" customHeight="false" outlineLevel="0" collapsed="false">
      <c r="A10" s="14" t="s">
        <v>41</v>
      </c>
      <c r="B10" s="14" t="s">
        <v>42</v>
      </c>
      <c r="C10" s="14" t="s">
        <v>43</v>
      </c>
      <c r="D10" s="14" t="s">
        <v>366</v>
      </c>
      <c r="E10" s="15" t="n">
        <v>7</v>
      </c>
      <c r="F10" s="14" t="s">
        <v>367</v>
      </c>
      <c r="G10" s="8" t="n">
        <v>10</v>
      </c>
      <c r="H10" s="14" t="s">
        <v>382</v>
      </c>
      <c r="I10" s="14" t="s">
        <v>383</v>
      </c>
      <c r="J10" s="14" t="s">
        <v>384</v>
      </c>
      <c r="K10" s="8" t="n">
        <v>5</v>
      </c>
      <c r="L10" s="8" t="n">
        <v>76</v>
      </c>
      <c r="M10" s="8" t="n">
        <v>2</v>
      </c>
      <c r="N10" s="8" t="n">
        <v>30</v>
      </c>
      <c r="O10" s="8" t="n">
        <v>9</v>
      </c>
      <c r="P10" s="9" t="n">
        <v>34.2510460560397</v>
      </c>
      <c r="Q10" s="10" t="n">
        <v>0.0291961885883384</v>
      </c>
      <c r="R10" s="9" t="n">
        <v>13</v>
      </c>
      <c r="S10" s="11" t="n">
        <f aca="false">IF(AND(ISNUMBER(R10),R10&gt;1,P10&gt;0),R10/P10-1,"")</f>
        <v>-0.620449548351601</v>
      </c>
      <c r="T10" s="9" t="n">
        <f aca="false">IF(AND(ISNUMBER(P10),P10&gt;0),P10*EXP('Read me'!$B$22),"")</f>
        <v>41.8343221227179</v>
      </c>
    </row>
    <row r="11" customFormat="false" ht="15" hidden="false" customHeight="false" outlineLevel="0" collapsed="false">
      <c r="A11" s="14" t="s">
        <v>41</v>
      </c>
      <c r="B11" s="14" t="s">
        <v>42</v>
      </c>
      <c r="C11" s="14" t="s">
        <v>43</v>
      </c>
      <c r="D11" s="14" t="s">
        <v>366</v>
      </c>
      <c r="E11" s="15" t="n">
        <v>7</v>
      </c>
      <c r="F11" s="14" t="s">
        <v>367</v>
      </c>
      <c r="G11" s="8" t="n">
        <v>10</v>
      </c>
      <c r="H11" s="14" t="s">
        <v>385</v>
      </c>
      <c r="I11" s="14" t="s">
        <v>386</v>
      </c>
      <c r="J11" s="14" t="s">
        <v>387</v>
      </c>
      <c r="K11" s="8" t="n">
        <v>10</v>
      </c>
      <c r="L11" s="8" t="n">
        <v>80</v>
      </c>
      <c r="M11" s="8" t="n">
        <v>2</v>
      </c>
      <c r="N11" s="8" t="n">
        <v>16</v>
      </c>
      <c r="O11" s="8" t="n">
        <v>10</v>
      </c>
      <c r="P11" s="9" t="n">
        <v>37.3761540590125</v>
      </c>
      <c r="Q11" s="10" t="n">
        <v>0.0267550267055599</v>
      </c>
      <c r="R11" s="9" t="n">
        <v>29</v>
      </c>
      <c r="S11" s="11" t="n">
        <f aca="false">IF(AND(ISNUMBER(R11),R11&gt;1,P11&gt;0),R11/P11-1,"")</f>
        <v>-0.224104225538762</v>
      </c>
      <c r="T11" s="9" t="n">
        <f aca="false">IF(AND(ISNUMBER(P11),P11&gt;0),P11*EXP('Read me'!$B$22),"")</f>
        <v>45.6513376570972</v>
      </c>
    </row>
    <row r="12" customFormat="false" ht="15" hidden="false" customHeight="false" outlineLevel="0" collapsed="false">
      <c r="A12" s="14" t="s">
        <v>48</v>
      </c>
      <c r="B12" s="14" t="s">
        <v>49</v>
      </c>
      <c r="C12" s="14" t="s">
        <v>50</v>
      </c>
      <c r="D12" s="14"/>
      <c r="E12" s="15" t="n">
        <v>6</v>
      </c>
      <c r="F12" s="14" t="s">
        <v>388</v>
      </c>
      <c r="G12" s="8" t="n">
        <v>13</v>
      </c>
      <c r="H12" s="14" t="s">
        <v>51</v>
      </c>
      <c r="I12" s="14" t="s">
        <v>52</v>
      </c>
      <c r="J12" s="14" t="s">
        <v>53</v>
      </c>
      <c r="K12" s="8" t="n">
        <v>14</v>
      </c>
      <c r="L12" s="8" t="n">
        <v>0</v>
      </c>
      <c r="M12" s="8" t="n">
        <v>2</v>
      </c>
      <c r="N12" s="8" t="n">
        <v>48</v>
      </c>
      <c r="O12" s="8" t="n">
        <v>1</v>
      </c>
      <c r="P12" s="9" t="n">
        <v>1.90226073730023</v>
      </c>
      <c r="Q12" s="10" t="n">
        <v>0.525690290711273</v>
      </c>
      <c r="R12" s="9" t="n">
        <v>1.72727272727273</v>
      </c>
      <c r="S12" s="11" t="n">
        <f aca="false">IF(AND(ISNUMBER(R12),R12&gt;1,P12&gt;0),R12/P12-1,"")</f>
        <v>-0.0919894978623472</v>
      </c>
      <c r="T12" s="9" t="n">
        <f aca="false">IF(AND(ISNUMBER(P12),P12&gt;0),P12*EXP('Read me'!$B$22),"")</f>
        <v>2.3234265112783</v>
      </c>
    </row>
    <row r="13" customFormat="false" ht="15" hidden="false" customHeight="false" outlineLevel="0" collapsed="false">
      <c r="A13" s="14" t="s">
        <v>48</v>
      </c>
      <c r="B13" s="14" t="s">
        <v>49</v>
      </c>
      <c r="C13" s="14" t="s">
        <v>50</v>
      </c>
      <c r="D13" s="14"/>
      <c r="E13" s="15" t="n">
        <v>6</v>
      </c>
      <c r="F13" s="14" t="s">
        <v>388</v>
      </c>
      <c r="G13" s="8" t="n">
        <v>13</v>
      </c>
      <c r="H13" s="14" t="s">
        <v>54</v>
      </c>
      <c r="I13" s="14" t="s">
        <v>171</v>
      </c>
      <c r="J13" s="14" t="s">
        <v>389</v>
      </c>
      <c r="K13" s="8" t="n">
        <v>12</v>
      </c>
      <c r="L13" s="8" t="n">
        <v>0</v>
      </c>
      <c r="M13" s="8" t="n">
        <v>2</v>
      </c>
      <c r="N13" s="8" t="n">
        <v>35</v>
      </c>
      <c r="O13" s="8" t="n">
        <v>2</v>
      </c>
      <c r="P13" s="9" t="n">
        <v>5.32346888083586</v>
      </c>
      <c r="Q13" s="10" t="n">
        <v>0.187847439777461</v>
      </c>
      <c r="R13" s="9" t="n">
        <v>5.5</v>
      </c>
      <c r="S13" s="11" t="n">
        <f aca="false">IF(AND(ISNUMBER(R13),R13&gt;1,P13&gt;0),R13/P13-1,"")</f>
        <v>0.0331609187760336</v>
      </c>
      <c r="T13" s="9" t="n">
        <f aca="false">IF(AND(ISNUMBER(P13),P13&gt;0),P13*EXP('Read me'!$B$22),"")</f>
        <v>6.50209957403275</v>
      </c>
    </row>
    <row r="14" customFormat="false" ht="15" hidden="false" customHeight="false" outlineLevel="0" collapsed="false">
      <c r="A14" s="14" t="s">
        <v>48</v>
      </c>
      <c r="B14" s="14" t="s">
        <v>49</v>
      </c>
      <c r="C14" s="14" t="s">
        <v>50</v>
      </c>
      <c r="D14" s="14"/>
      <c r="E14" s="15" t="n">
        <v>6</v>
      </c>
      <c r="F14" s="14" t="s">
        <v>388</v>
      </c>
      <c r="G14" s="8" t="n">
        <v>13</v>
      </c>
      <c r="H14" s="14" t="s">
        <v>390</v>
      </c>
      <c r="I14" s="14" t="s">
        <v>391</v>
      </c>
      <c r="J14" s="14" t="s">
        <v>392</v>
      </c>
      <c r="K14" s="8" t="n">
        <v>11</v>
      </c>
      <c r="L14" s="8" t="n">
        <v>96</v>
      </c>
      <c r="M14" s="8" t="n">
        <v>2</v>
      </c>
      <c r="N14" s="8" t="n">
        <v>13</v>
      </c>
      <c r="O14" s="8" t="n">
        <v>3</v>
      </c>
      <c r="P14" s="9" t="n">
        <v>8.46728937539705</v>
      </c>
      <c r="Q14" s="10" t="n">
        <v>0.118101550055163</v>
      </c>
      <c r="R14" s="9" t="n">
        <v>3.25</v>
      </c>
      <c r="S14" s="11" t="n">
        <f aca="false">IF(AND(ISNUMBER(R14),R14&gt;1,P14&gt;0),R14/P14-1,"")</f>
        <v>-0.616169962320722</v>
      </c>
      <c r="T14" s="9" t="n">
        <f aca="false">IF(AND(ISNUMBER(P14),P14&gt;0),P14*EXP('Read me'!$B$22),"")</f>
        <v>10.3419705972503</v>
      </c>
    </row>
    <row r="15" customFormat="false" ht="15" hidden="false" customHeight="false" outlineLevel="0" collapsed="false">
      <c r="A15" s="14" t="s">
        <v>48</v>
      </c>
      <c r="B15" s="14" t="s">
        <v>49</v>
      </c>
      <c r="C15" s="14" t="s">
        <v>50</v>
      </c>
      <c r="D15" s="14"/>
      <c r="E15" s="15" t="n">
        <v>6</v>
      </c>
      <c r="F15" s="14" t="s">
        <v>388</v>
      </c>
      <c r="G15" s="8" t="n">
        <v>13</v>
      </c>
      <c r="H15" s="14" t="s">
        <v>393</v>
      </c>
      <c r="I15" s="14" t="s">
        <v>394</v>
      </c>
      <c r="J15" s="14" t="s">
        <v>395</v>
      </c>
      <c r="K15" s="8" t="n">
        <v>8</v>
      </c>
      <c r="L15" s="8" t="n">
        <v>0</v>
      </c>
      <c r="M15" s="8" t="n">
        <v>2</v>
      </c>
      <c r="N15" s="8" t="n">
        <v>17</v>
      </c>
      <c r="O15" s="8" t="n">
        <v>4</v>
      </c>
      <c r="P15" s="9" t="n">
        <v>11.6925259881804</v>
      </c>
      <c r="Q15" s="10" t="n">
        <v>0.0855247190393992</v>
      </c>
      <c r="R15" s="9" t="n">
        <v>11</v>
      </c>
      <c r="S15" s="11" t="n">
        <f aca="false">IF(AND(ISNUMBER(R15),R15&gt;1,P15&gt;0),R15/P15-1,"")</f>
        <v>-0.0592280905666084</v>
      </c>
      <c r="T15" s="9" t="n">
        <f aca="false">IF(AND(ISNUMBER(P15),P15&gt;0),P15*EXP('Read me'!$B$22),"")</f>
        <v>14.281283491823</v>
      </c>
    </row>
    <row r="16" customFormat="false" ht="15" hidden="false" customHeight="false" outlineLevel="0" collapsed="false">
      <c r="A16" s="14" t="s">
        <v>48</v>
      </c>
      <c r="B16" s="14" t="s">
        <v>49</v>
      </c>
      <c r="C16" s="14" t="s">
        <v>50</v>
      </c>
      <c r="D16" s="14"/>
      <c r="E16" s="15" t="n">
        <v>6</v>
      </c>
      <c r="F16" s="14" t="s">
        <v>388</v>
      </c>
      <c r="G16" s="8" t="n">
        <v>13</v>
      </c>
      <c r="H16" s="14" t="s">
        <v>396</v>
      </c>
      <c r="I16" s="14" t="s">
        <v>397</v>
      </c>
      <c r="J16" s="14" t="s">
        <v>398</v>
      </c>
      <c r="K16" s="8" t="n">
        <v>10</v>
      </c>
      <c r="L16" s="8" t="n">
        <v>0</v>
      </c>
      <c r="M16" s="8" t="n">
        <v>2</v>
      </c>
      <c r="N16" s="8"/>
      <c r="O16" s="8" t="n">
        <v>5</v>
      </c>
      <c r="P16" s="9" t="n">
        <v>53.3385615410121</v>
      </c>
      <c r="Q16" s="10" t="n">
        <v>0.0187481621384014</v>
      </c>
      <c r="R16" s="9" t="n">
        <v>51</v>
      </c>
      <c r="S16" s="11" t="n">
        <f aca="false">IF(AND(ISNUMBER(R16),R16&gt;1,P16&gt;0),R16/P16-1,"")</f>
        <v>-0.0438437309415242</v>
      </c>
      <c r="T16" s="9" t="n">
        <f aca="false">IF(AND(ISNUMBER(P16),P16&gt;0),P16*EXP('Read me'!$B$22),"")</f>
        <v>65.1478661824881</v>
      </c>
    </row>
    <row r="17" customFormat="false" ht="15" hidden="false" customHeight="false" outlineLevel="0" collapsed="false">
      <c r="A17" s="14" t="s">
        <v>48</v>
      </c>
      <c r="B17" s="14" t="s">
        <v>49</v>
      </c>
      <c r="C17" s="14" t="s">
        <v>50</v>
      </c>
      <c r="D17" s="14"/>
      <c r="E17" s="15" t="n">
        <v>6</v>
      </c>
      <c r="F17" s="14" t="s">
        <v>388</v>
      </c>
      <c r="G17" s="8" t="n">
        <v>13</v>
      </c>
      <c r="H17" s="14" t="s">
        <v>399</v>
      </c>
      <c r="I17" s="14" t="s">
        <v>400</v>
      </c>
      <c r="J17" s="14" t="s">
        <v>401</v>
      </c>
      <c r="K17" s="8" t="n">
        <v>9</v>
      </c>
      <c r="L17" s="8" t="n">
        <v>0</v>
      </c>
      <c r="M17" s="8" t="n">
        <v>2</v>
      </c>
      <c r="N17" s="8"/>
      <c r="O17" s="8" t="n">
        <v>6</v>
      </c>
      <c r="P17" s="9" t="n">
        <v>59.5752754127823</v>
      </c>
      <c r="Q17" s="10" t="n">
        <v>0.0167854868159861</v>
      </c>
      <c r="R17" s="9" t="n">
        <v>201</v>
      </c>
      <c r="S17" s="11" t="n">
        <f aca="false">IF(AND(ISNUMBER(R17),R17&gt;1,P17&gt;0),R17/P17-1,"")</f>
        <v>2.37388285001321</v>
      </c>
      <c r="T17" s="9" t="n">
        <f aca="false">IF(AND(ISNUMBER(P17),P17&gt;0),P17*EXP('Read me'!$B$22),"")</f>
        <v>72.7654057073241</v>
      </c>
    </row>
    <row r="18" customFormat="false" ht="15" hidden="false" customHeight="false" outlineLevel="0" collapsed="false">
      <c r="A18" s="14" t="s">
        <v>48</v>
      </c>
      <c r="B18" s="14" t="s">
        <v>49</v>
      </c>
      <c r="C18" s="14" t="s">
        <v>50</v>
      </c>
      <c r="D18" s="14"/>
      <c r="E18" s="15" t="n">
        <v>6</v>
      </c>
      <c r="F18" s="14" t="s">
        <v>388</v>
      </c>
      <c r="G18" s="8" t="n">
        <v>13</v>
      </c>
      <c r="H18" s="14" t="s">
        <v>402</v>
      </c>
      <c r="I18" s="14" t="s">
        <v>403</v>
      </c>
      <c r="J18" s="14" t="s">
        <v>404</v>
      </c>
      <c r="K18" s="8" t="n">
        <v>5</v>
      </c>
      <c r="L18" s="8" t="n">
        <v>0</v>
      </c>
      <c r="M18" s="8" t="n">
        <v>2</v>
      </c>
      <c r="N18" s="8" t="n">
        <v>37</v>
      </c>
      <c r="O18" s="8" t="n">
        <v>7</v>
      </c>
      <c r="P18" s="9" t="n">
        <v>62.0593969197191</v>
      </c>
      <c r="Q18" s="10" t="n">
        <v>0.0161135951948359</v>
      </c>
      <c r="R18" s="9" t="n">
        <v>29</v>
      </c>
      <c r="S18" s="11" t="n">
        <f aca="false">IF(AND(ISNUMBER(R18),R18&gt;1,P18&gt;0),R18/P18-1,"")</f>
        <v>-0.532705739349759</v>
      </c>
      <c r="T18" s="9" t="n">
        <f aca="false">IF(AND(ISNUMBER(P18),P18&gt;0),P18*EXP('Read me'!$B$22),"")</f>
        <v>75.7995185675017</v>
      </c>
    </row>
    <row r="19" customFormat="false" ht="15" hidden="false" customHeight="false" outlineLevel="0" collapsed="false">
      <c r="A19" s="14" t="s">
        <v>48</v>
      </c>
      <c r="B19" s="14" t="s">
        <v>49</v>
      </c>
      <c r="C19" s="14" t="s">
        <v>50</v>
      </c>
      <c r="D19" s="14"/>
      <c r="E19" s="15" t="n">
        <v>6</v>
      </c>
      <c r="F19" s="14" t="s">
        <v>388</v>
      </c>
      <c r="G19" s="8" t="n">
        <v>13</v>
      </c>
      <c r="H19" s="14" t="s">
        <v>405</v>
      </c>
      <c r="I19" s="14" t="s">
        <v>406</v>
      </c>
      <c r="J19" s="14" t="s">
        <v>407</v>
      </c>
      <c r="K19" s="8" t="n">
        <v>3</v>
      </c>
      <c r="L19" s="8" t="n">
        <v>0</v>
      </c>
      <c r="M19" s="8" t="n">
        <v>2</v>
      </c>
      <c r="N19" s="8"/>
      <c r="O19" s="8" t="n">
        <v>8</v>
      </c>
      <c r="P19" s="9" t="n">
        <v>91.5388234623154</v>
      </c>
      <c r="Q19" s="10" t="n">
        <v>0.010924326555406</v>
      </c>
      <c r="R19" s="9" t="n">
        <v>51</v>
      </c>
      <c r="S19" s="11" t="n">
        <f aca="false">IF(AND(ISNUMBER(R19),R19&gt;1,P19&gt;0),R19/P19-1,"")</f>
        <v>-0.442859345674291</v>
      </c>
      <c r="T19" s="9" t="n">
        <f aca="false">IF(AND(ISNUMBER(P19),P19&gt;0),P19*EXP('Read me'!$B$22),"")</f>
        <v>111.805771455609</v>
      </c>
    </row>
    <row r="20" customFormat="false" ht="15" hidden="false" customHeight="false" outlineLevel="0" collapsed="false">
      <c r="A20" s="14" t="s">
        <v>48</v>
      </c>
      <c r="B20" s="14" t="s">
        <v>49</v>
      </c>
      <c r="C20" s="14" t="s">
        <v>50</v>
      </c>
      <c r="D20" s="14"/>
      <c r="E20" s="15" t="n">
        <v>6</v>
      </c>
      <c r="F20" s="14" t="s">
        <v>388</v>
      </c>
      <c r="G20" s="8" t="n">
        <v>13</v>
      </c>
      <c r="H20" s="14" t="s">
        <v>408</v>
      </c>
      <c r="I20" s="14" t="s">
        <v>78</v>
      </c>
      <c r="J20" s="14" t="s">
        <v>79</v>
      </c>
      <c r="K20" s="8" t="n">
        <v>7</v>
      </c>
      <c r="L20" s="8" t="n">
        <v>0</v>
      </c>
      <c r="M20" s="8" t="n">
        <v>2</v>
      </c>
      <c r="N20" s="8" t="n">
        <v>42</v>
      </c>
      <c r="O20" s="8" t="n">
        <v>9</v>
      </c>
      <c r="P20" s="9" t="n">
        <v>105.08302539025</v>
      </c>
      <c r="Q20" s="10" t="n">
        <v>0.0095162848260817</v>
      </c>
      <c r="R20" s="9" t="n">
        <v>26</v>
      </c>
      <c r="S20" s="11" t="n">
        <f aca="false">IF(AND(ISNUMBER(R20),R20&gt;1,P20&gt;0),R20/P20-1,"")</f>
        <v>-0.752576594521875</v>
      </c>
      <c r="T20" s="9" t="n">
        <f aca="false">IF(AND(ISNUMBER(P20),P20&gt;0),P20*EXP('Read me'!$B$22),"")</f>
        <v>128.348697047467</v>
      </c>
    </row>
    <row r="21" customFormat="false" ht="15" hidden="false" customHeight="false" outlineLevel="0" collapsed="false">
      <c r="A21" s="14" t="s">
        <v>48</v>
      </c>
      <c r="B21" s="14" t="s">
        <v>49</v>
      </c>
      <c r="C21" s="14" t="s">
        <v>50</v>
      </c>
      <c r="D21" s="14"/>
      <c r="E21" s="15" t="n">
        <v>6</v>
      </c>
      <c r="F21" s="14" t="s">
        <v>388</v>
      </c>
      <c r="G21" s="8" t="n">
        <v>13</v>
      </c>
      <c r="H21" s="14" t="s">
        <v>409</v>
      </c>
      <c r="I21" s="14" t="s">
        <v>252</v>
      </c>
      <c r="J21" s="14" t="s">
        <v>410</v>
      </c>
      <c r="K21" s="8" t="n">
        <v>2</v>
      </c>
      <c r="L21" s="8" t="n">
        <v>0</v>
      </c>
      <c r="M21" s="8" t="n">
        <v>2</v>
      </c>
      <c r="N21" s="8" t="n">
        <v>9</v>
      </c>
      <c r="O21" s="8" t="n">
        <v>10</v>
      </c>
      <c r="P21" s="9" t="n">
        <v>213.7724536141</v>
      </c>
      <c r="Q21" s="10" t="n">
        <v>0.0046778711807518</v>
      </c>
      <c r="R21" s="9" t="n">
        <v>67</v>
      </c>
      <c r="S21" s="11" t="n">
        <f aca="false">IF(AND(ISNUMBER(R21),R21&gt;1,P21&gt;0),R21/P21-1,"")</f>
        <v>-0.686582630889629</v>
      </c>
      <c r="T21" s="9" t="n">
        <f aca="false">IF(AND(ISNUMBER(P21),P21&gt;0),P21*EXP('Read me'!$B$22),"")</f>
        <v>261.102264462929</v>
      </c>
    </row>
    <row r="22" customFormat="false" ht="15" hidden="false" customHeight="false" outlineLevel="0" collapsed="false">
      <c r="A22" s="14" t="s">
        <v>48</v>
      </c>
      <c r="B22" s="14" t="s">
        <v>49</v>
      </c>
      <c r="C22" s="14" t="s">
        <v>50</v>
      </c>
      <c r="D22" s="14"/>
      <c r="E22" s="15" t="n">
        <v>6</v>
      </c>
      <c r="F22" s="14" t="s">
        <v>388</v>
      </c>
      <c r="G22" s="8" t="n">
        <v>13</v>
      </c>
      <c r="H22" s="14" t="s">
        <v>411</v>
      </c>
      <c r="I22" s="14" t="s">
        <v>412</v>
      </c>
      <c r="J22" s="14" t="s">
        <v>413</v>
      </c>
      <c r="K22" s="8" t="n">
        <v>4</v>
      </c>
      <c r="L22" s="8" t="n">
        <v>0</v>
      </c>
      <c r="M22" s="8" t="n">
        <v>2</v>
      </c>
      <c r="N22" s="8"/>
      <c r="O22" s="8" t="n">
        <v>11</v>
      </c>
      <c r="P22" s="9" t="n">
        <v>393.518749102188</v>
      </c>
      <c r="Q22" s="10" t="n">
        <v>0.0025411749815771</v>
      </c>
      <c r="R22" s="9" t="n">
        <v>126</v>
      </c>
      <c r="S22" s="11" t="n">
        <f aca="false">IF(AND(ISNUMBER(R22),R22&gt;1,P22&gt;0),R22/P22-1,"")</f>
        <v>-0.679811952321284</v>
      </c>
      <c r="T22" s="9" t="n">
        <f aca="false">IF(AND(ISNUMBER(P22),P22&gt;0),P22*EXP('Read me'!$B$22),"")</f>
        <v>480.644885541153</v>
      </c>
    </row>
    <row r="23" customFormat="false" ht="15" hidden="false" customHeight="false" outlineLevel="0" collapsed="false">
      <c r="A23" s="14" t="s">
        <v>48</v>
      </c>
      <c r="B23" s="14" t="s">
        <v>49</v>
      </c>
      <c r="C23" s="14" t="s">
        <v>50</v>
      </c>
      <c r="D23" s="14"/>
      <c r="E23" s="15" t="n">
        <v>6</v>
      </c>
      <c r="F23" s="14" t="s">
        <v>388</v>
      </c>
      <c r="G23" s="8" t="n">
        <v>13</v>
      </c>
      <c r="H23" s="14" t="s">
        <v>414</v>
      </c>
      <c r="I23" s="14" t="s">
        <v>415</v>
      </c>
      <c r="J23" s="14" t="s">
        <v>53</v>
      </c>
      <c r="K23" s="8" t="n">
        <v>13</v>
      </c>
      <c r="L23" s="8" t="n">
        <v>0</v>
      </c>
      <c r="M23" s="8" t="n">
        <v>2</v>
      </c>
      <c r="N23" s="8" t="n">
        <v>17</v>
      </c>
      <c r="O23" s="8" t="n">
        <v>12</v>
      </c>
      <c r="P23" s="9" t="n">
        <v>402.272019758345</v>
      </c>
      <c r="Q23" s="10" t="n">
        <v>0.0024858800783627</v>
      </c>
      <c r="R23" s="9" t="n">
        <v>101</v>
      </c>
      <c r="S23" s="11" t="n">
        <f aca="false">IF(AND(ISNUMBER(R23),R23&gt;1,P23&gt;0),R23/P23-1,"")</f>
        <v>-0.748926112085366</v>
      </c>
      <c r="T23" s="9" t="n">
        <f aca="false">IF(AND(ISNUMBER(P23),P23&gt;0),P23*EXP('Read me'!$B$22),"")</f>
        <v>491.336154463505</v>
      </c>
    </row>
    <row r="24" customFormat="false" ht="15" hidden="false" customHeight="false" outlineLevel="0" collapsed="false">
      <c r="A24" s="14" t="s">
        <v>48</v>
      </c>
      <c r="B24" s="14" t="s">
        <v>49</v>
      </c>
      <c r="C24" s="14" t="s">
        <v>50</v>
      </c>
      <c r="D24" s="14"/>
      <c r="E24" s="15" t="n">
        <v>6</v>
      </c>
      <c r="F24" s="14" t="s">
        <v>388</v>
      </c>
      <c r="G24" s="8" t="n">
        <v>13</v>
      </c>
      <c r="H24" s="14" t="s">
        <v>416</v>
      </c>
      <c r="I24" s="14" t="s">
        <v>417</v>
      </c>
      <c r="J24" s="14" t="s">
        <v>418</v>
      </c>
      <c r="K24" s="8" t="n">
        <v>1</v>
      </c>
      <c r="L24" s="8" t="n">
        <v>0</v>
      </c>
      <c r="M24" s="8" t="n">
        <v>2</v>
      </c>
      <c r="N24" s="8" t="n">
        <v>9</v>
      </c>
      <c r="O24" s="8" t="n">
        <v>13</v>
      </c>
      <c r="P24" s="9" t="n">
        <v>958.57182432789</v>
      </c>
      <c r="Q24" s="10" t="n">
        <v>0.0010432186453019</v>
      </c>
      <c r="R24" s="9" t="n">
        <v>201</v>
      </c>
      <c r="S24" s="11" t="n">
        <f aca="false">IF(AND(ISNUMBER(R24),R24&gt;1,P24&gt;0),R24/P24-1,"")</f>
        <v>-0.7903130522943</v>
      </c>
      <c r="T24" s="9" t="n">
        <f aca="false">IF(AND(ISNUMBER(P24),P24&gt;0),P24*EXP('Read me'!$B$22),"")</f>
        <v>1170.80227012871</v>
      </c>
    </row>
    <row r="25" customFormat="false" ht="15" hidden="false" customHeight="false" outlineLevel="0" collapsed="false">
      <c r="A25" s="14" t="s">
        <v>55</v>
      </c>
      <c r="B25" s="14" t="s">
        <v>56</v>
      </c>
      <c r="C25" s="14" t="s">
        <v>57</v>
      </c>
      <c r="D25" s="14" t="s">
        <v>366</v>
      </c>
      <c r="E25" s="15" t="n">
        <v>8</v>
      </c>
      <c r="F25" s="14" t="s">
        <v>419</v>
      </c>
      <c r="G25" s="8" t="n">
        <v>10</v>
      </c>
      <c r="H25" s="14" t="s">
        <v>58</v>
      </c>
      <c r="I25" s="14" t="s">
        <v>59</v>
      </c>
      <c r="J25" s="14" t="s">
        <v>60</v>
      </c>
      <c r="K25" s="8" t="n">
        <v>4</v>
      </c>
      <c r="L25" s="8" t="n">
        <v>96</v>
      </c>
      <c r="M25" s="8" t="n">
        <v>4</v>
      </c>
      <c r="N25" s="8" t="n">
        <v>37</v>
      </c>
      <c r="O25" s="8" t="n">
        <v>1</v>
      </c>
      <c r="P25" s="9" t="n">
        <v>5.26836015612941</v>
      </c>
      <c r="Q25" s="10" t="n">
        <v>0.189812383809137</v>
      </c>
      <c r="R25" s="9" t="n">
        <v>4.5</v>
      </c>
      <c r="S25" s="11" t="n">
        <f aca="false">IF(AND(ISNUMBER(R25),R25&gt;1,P25&gt;0),R25/P25-1,"")</f>
        <v>-0.145844272858884</v>
      </c>
      <c r="T25" s="9" t="n">
        <f aca="false">IF(AND(ISNUMBER(P25),P25&gt;0),P25*EXP('Read me'!$B$22),"")</f>
        <v>6.4347896256776</v>
      </c>
    </row>
    <row r="26" customFormat="false" ht="15" hidden="false" customHeight="false" outlineLevel="0" collapsed="false">
      <c r="A26" s="14" t="s">
        <v>55</v>
      </c>
      <c r="B26" s="14" t="s">
        <v>56</v>
      </c>
      <c r="C26" s="14" t="s">
        <v>57</v>
      </c>
      <c r="D26" s="14" t="s">
        <v>366</v>
      </c>
      <c r="E26" s="15" t="n">
        <v>8</v>
      </c>
      <c r="F26" s="14" t="s">
        <v>419</v>
      </c>
      <c r="G26" s="8" t="n">
        <v>10</v>
      </c>
      <c r="H26" s="14" t="s">
        <v>61</v>
      </c>
      <c r="I26" s="14" t="s">
        <v>420</v>
      </c>
      <c r="J26" s="14" t="s">
        <v>91</v>
      </c>
      <c r="K26" s="8" t="n">
        <v>9</v>
      </c>
      <c r="L26" s="8" t="n">
        <v>100</v>
      </c>
      <c r="M26" s="8" t="n">
        <v>4</v>
      </c>
      <c r="N26" s="8" t="n">
        <v>10</v>
      </c>
      <c r="O26" s="8" t="n">
        <v>2</v>
      </c>
      <c r="P26" s="9" t="n">
        <v>5.84340442926075</v>
      </c>
      <c r="Q26" s="10" t="n">
        <v>0.171133114626213</v>
      </c>
      <c r="R26" s="9" t="n">
        <v>6.5</v>
      </c>
      <c r="S26" s="11" t="n">
        <f aca="false">IF(AND(ISNUMBER(R26),R26&gt;1,P26&gt;0),R26/P26-1,"")</f>
        <v>0.112365245070383</v>
      </c>
      <c r="T26" s="9" t="n">
        <f aca="false">IF(AND(ISNUMBER(P26),P26&gt;0),P26*EXP('Read me'!$B$22),"")</f>
        <v>7.13715028694444</v>
      </c>
    </row>
    <row r="27" customFormat="false" ht="15" hidden="false" customHeight="false" outlineLevel="0" collapsed="false">
      <c r="A27" s="14" t="s">
        <v>55</v>
      </c>
      <c r="B27" s="14" t="s">
        <v>56</v>
      </c>
      <c r="C27" s="14" t="s">
        <v>57</v>
      </c>
      <c r="D27" s="14" t="s">
        <v>366</v>
      </c>
      <c r="E27" s="15" t="n">
        <v>8</v>
      </c>
      <c r="F27" s="14" t="s">
        <v>419</v>
      </c>
      <c r="G27" s="8" t="n">
        <v>10</v>
      </c>
      <c r="H27" s="14" t="s">
        <v>421</v>
      </c>
      <c r="I27" s="14" t="s">
        <v>187</v>
      </c>
      <c r="J27" s="14" t="s">
        <v>370</v>
      </c>
      <c r="K27" s="8" t="n">
        <v>3</v>
      </c>
      <c r="L27" s="8" t="n">
        <v>93</v>
      </c>
      <c r="M27" s="8" t="n">
        <v>3</v>
      </c>
      <c r="N27" s="8" t="n">
        <v>23</v>
      </c>
      <c r="O27" s="8" t="n">
        <v>3</v>
      </c>
      <c r="P27" s="9" t="n">
        <v>7.43003093437414</v>
      </c>
      <c r="Q27" s="10" t="n">
        <v>0.134588941665589</v>
      </c>
      <c r="R27" s="9" t="n">
        <v>7</v>
      </c>
      <c r="S27" s="11" t="n">
        <f aca="false">IF(AND(ISNUMBER(R27),R27&gt;1,P27&gt;0),R27/P27-1,"")</f>
        <v>-0.0578774083408796</v>
      </c>
      <c r="T27" s="9" t="n">
        <f aca="false">IF(AND(ISNUMBER(P27),P27&gt;0),P27*EXP('Read me'!$B$22),"")</f>
        <v>9.07506027645996</v>
      </c>
    </row>
    <row r="28" customFormat="false" ht="15" hidden="false" customHeight="false" outlineLevel="0" collapsed="false">
      <c r="A28" s="14" t="s">
        <v>55</v>
      </c>
      <c r="B28" s="14" t="s">
        <v>56</v>
      </c>
      <c r="C28" s="14" t="s">
        <v>57</v>
      </c>
      <c r="D28" s="14" t="s">
        <v>366</v>
      </c>
      <c r="E28" s="15" t="n">
        <v>8</v>
      </c>
      <c r="F28" s="14" t="s">
        <v>419</v>
      </c>
      <c r="G28" s="8" t="n">
        <v>10</v>
      </c>
      <c r="H28" s="14" t="s">
        <v>422</v>
      </c>
      <c r="I28" s="14" t="s">
        <v>423</v>
      </c>
      <c r="J28" s="14" t="s">
        <v>127</v>
      </c>
      <c r="K28" s="8" t="n">
        <v>1</v>
      </c>
      <c r="L28" s="8" t="n">
        <v>104</v>
      </c>
      <c r="M28" s="8" t="n">
        <v>5</v>
      </c>
      <c r="N28" s="8" t="n">
        <v>37</v>
      </c>
      <c r="O28" s="8" t="n">
        <v>4</v>
      </c>
      <c r="P28" s="9" t="n">
        <v>7.6360690600436</v>
      </c>
      <c r="Q28" s="10" t="n">
        <v>0.13095743269696</v>
      </c>
      <c r="R28" s="9" t="n">
        <v>7.5</v>
      </c>
      <c r="S28" s="11" t="n">
        <f aca="false">IF(AND(ISNUMBER(R28),R28&gt;1,P28&gt;0),R28/P28-1,"")</f>
        <v>-0.0178192547727983</v>
      </c>
      <c r="T28" s="9" t="n">
        <f aca="false">IF(AND(ISNUMBER(P28),P28&gt;0),P28*EXP('Read me'!$B$22),"")</f>
        <v>9.32671581143879</v>
      </c>
    </row>
    <row r="29" customFormat="false" ht="15" hidden="false" customHeight="false" outlineLevel="0" collapsed="false">
      <c r="A29" s="14" t="s">
        <v>55</v>
      </c>
      <c r="B29" s="14" t="s">
        <v>56</v>
      </c>
      <c r="C29" s="14" t="s">
        <v>57</v>
      </c>
      <c r="D29" s="14" t="s">
        <v>366</v>
      </c>
      <c r="E29" s="15" t="n">
        <v>8</v>
      </c>
      <c r="F29" s="14" t="s">
        <v>419</v>
      </c>
      <c r="G29" s="8" t="n">
        <v>10</v>
      </c>
      <c r="H29" s="14" t="s">
        <v>424</v>
      </c>
      <c r="I29" s="14" t="s">
        <v>425</v>
      </c>
      <c r="J29" s="14" t="s">
        <v>376</v>
      </c>
      <c r="K29" s="8" t="n">
        <v>10</v>
      </c>
      <c r="L29" s="8" t="n">
        <v>96</v>
      </c>
      <c r="M29" s="8" t="n">
        <v>5</v>
      </c>
      <c r="N29" s="8" t="n">
        <v>22</v>
      </c>
      <c r="O29" s="8" t="n">
        <v>5</v>
      </c>
      <c r="P29" s="9" t="n">
        <v>12.1677600162518</v>
      </c>
      <c r="Q29" s="10" t="n">
        <v>0.0821843953746912</v>
      </c>
      <c r="R29" s="9" t="n">
        <v>11</v>
      </c>
      <c r="S29" s="11" t="n">
        <f aca="false">IF(AND(ISNUMBER(R29),R29&gt;1,P29&gt;0),R29/P29-1,"")</f>
        <v>-0.0959716508783962</v>
      </c>
      <c r="T29" s="9" t="n">
        <f aca="false">IF(AND(ISNUMBER(P29),P29&gt;0),P29*EXP('Read me'!$B$22),"")</f>
        <v>14.861735644481</v>
      </c>
    </row>
    <row r="30" customFormat="false" ht="15" hidden="false" customHeight="false" outlineLevel="0" collapsed="false">
      <c r="A30" s="14" t="s">
        <v>55</v>
      </c>
      <c r="B30" s="14" t="s">
        <v>56</v>
      </c>
      <c r="C30" s="14" t="s">
        <v>57</v>
      </c>
      <c r="D30" s="14" t="s">
        <v>366</v>
      </c>
      <c r="E30" s="15" t="n">
        <v>8</v>
      </c>
      <c r="F30" s="14" t="s">
        <v>419</v>
      </c>
      <c r="G30" s="8" t="n">
        <v>10</v>
      </c>
      <c r="H30" s="14" t="s">
        <v>426</v>
      </c>
      <c r="I30" s="14" t="s">
        <v>427</v>
      </c>
      <c r="J30" s="14" t="s">
        <v>428</v>
      </c>
      <c r="K30" s="8" t="n">
        <v>5</v>
      </c>
      <c r="L30" s="8" t="n">
        <v>96</v>
      </c>
      <c r="M30" s="8" t="n">
        <v>6</v>
      </c>
      <c r="N30" s="8" t="n">
        <v>57</v>
      </c>
      <c r="O30" s="8" t="n">
        <v>6</v>
      </c>
      <c r="P30" s="9" t="n">
        <v>14.6998776569961</v>
      </c>
      <c r="Q30" s="10" t="n">
        <v>0.0680277770559587</v>
      </c>
      <c r="R30" s="9" t="n">
        <v>10</v>
      </c>
      <c r="S30" s="11" t="n">
        <f aca="false">IF(AND(ISNUMBER(R30),R30&gt;1,P30&gt;0),R30/P30-1,"")</f>
        <v>-0.319722229440412</v>
      </c>
      <c r="T30" s="9" t="n">
        <f aca="false">IF(AND(ISNUMBER(P30),P30&gt;0),P30*EXP('Read me'!$B$22),"")</f>
        <v>17.9544711148721</v>
      </c>
    </row>
    <row r="31" customFormat="false" ht="15" hidden="false" customHeight="false" outlineLevel="0" collapsed="false">
      <c r="A31" s="14" t="s">
        <v>55</v>
      </c>
      <c r="B31" s="14" t="s">
        <v>56</v>
      </c>
      <c r="C31" s="14" t="s">
        <v>57</v>
      </c>
      <c r="D31" s="14" t="s">
        <v>366</v>
      </c>
      <c r="E31" s="15" t="n">
        <v>8</v>
      </c>
      <c r="F31" s="14" t="s">
        <v>419</v>
      </c>
      <c r="G31" s="8" t="n">
        <v>10</v>
      </c>
      <c r="H31" s="14" t="s">
        <v>429</v>
      </c>
      <c r="I31" s="14" t="s">
        <v>84</v>
      </c>
      <c r="J31" s="14" t="s">
        <v>230</v>
      </c>
      <c r="K31" s="8" t="n">
        <v>6</v>
      </c>
      <c r="L31" s="8" t="n">
        <v>100</v>
      </c>
      <c r="M31" s="8" t="n">
        <v>4</v>
      </c>
      <c r="N31" s="8" t="n">
        <v>14</v>
      </c>
      <c r="O31" s="8" t="n">
        <v>7</v>
      </c>
      <c r="P31" s="9" t="n">
        <v>14.9545569154404</v>
      </c>
      <c r="Q31" s="10" t="n">
        <v>0.0668692496644626</v>
      </c>
      <c r="R31" s="9" t="n">
        <v>10</v>
      </c>
      <c r="S31" s="11" t="n">
        <f aca="false">IF(AND(ISNUMBER(R31),R31&gt;1,P31&gt;0),R31/P31-1,"")</f>
        <v>-0.331307503355373</v>
      </c>
      <c r="T31" s="9" t="n">
        <f aca="false">IF(AND(ISNUMBER(P31),P31&gt;0),P31*EXP('Read me'!$B$22),"")</f>
        <v>18.2655370635821</v>
      </c>
    </row>
    <row r="32" customFormat="false" ht="15" hidden="false" customHeight="false" outlineLevel="0" collapsed="false">
      <c r="A32" s="14" t="s">
        <v>55</v>
      </c>
      <c r="B32" s="14" t="s">
        <v>56</v>
      </c>
      <c r="C32" s="14" t="s">
        <v>57</v>
      </c>
      <c r="D32" s="14" t="s">
        <v>366</v>
      </c>
      <c r="E32" s="15" t="n">
        <v>8</v>
      </c>
      <c r="F32" s="14" t="s">
        <v>419</v>
      </c>
      <c r="G32" s="8" t="n">
        <v>10</v>
      </c>
      <c r="H32" s="14" t="s">
        <v>430</v>
      </c>
      <c r="I32" s="14" t="s">
        <v>266</v>
      </c>
      <c r="J32" s="14" t="s">
        <v>267</v>
      </c>
      <c r="K32" s="8" t="n">
        <v>2</v>
      </c>
      <c r="L32" s="8" t="n">
        <v>100</v>
      </c>
      <c r="M32" s="8" t="n">
        <v>3</v>
      </c>
      <c r="N32" s="8" t="n">
        <v>163</v>
      </c>
      <c r="O32" s="8" t="n">
        <v>8</v>
      </c>
      <c r="P32" s="9" t="n">
        <v>17.4827904999994</v>
      </c>
      <c r="Q32" s="10" t="n">
        <v>0.0571991067444315</v>
      </c>
      <c r="R32" s="9" t="n">
        <v>10</v>
      </c>
      <c r="S32" s="11" t="n">
        <f aca="false">IF(AND(ISNUMBER(R32),R32&gt;1,P32&gt;0),R32/P32-1,"")</f>
        <v>-0.428008932555685</v>
      </c>
      <c r="T32" s="9" t="n">
        <f aca="false">IF(AND(ISNUMBER(P32),P32&gt;0),P32*EXP('Read me'!$B$22),"")</f>
        <v>21.3535285370357</v>
      </c>
    </row>
    <row r="33" customFormat="false" ht="15" hidden="false" customHeight="false" outlineLevel="0" collapsed="false">
      <c r="A33" s="14" t="s">
        <v>55</v>
      </c>
      <c r="B33" s="14" t="s">
        <v>56</v>
      </c>
      <c r="C33" s="14" t="s">
        <v>57</v>
      </c>
      <c r="D33" s="14" t="s">
        <v>366</v>
      </c>
      <c r="E33" s="15" t="n">
        <v>8</v>
      </c>
      <c r="F33" s="14" t="s">
        <v>419</v>
      </c>
      <c r="G33" s="8" t="n">
        <v>10</v>
      </c>
      <c r="H33" s="14" t="s">
        <v>431</v>
      </c>
      <c r="I33" s="14" t="s">
        <v>432</v>
      </c>
      <c r="J33" s="14" t="s">
        <v>433</v>
      </c>
      <c r="K33" s="8" t="n">
        <v>7</v>
      </c>
      <c r="L33" s="8" t="n">
        <v>85</v>
      </c>
      <c r="M33" s="8" t="n">
        <v>5</v>
      </c>
      <c r="N33" s="8" t="n">
        <v>106</v>
      </c>
      <c r="O33" s="8" t="n">
        <v>9</v>
      </c>
      <c r="P33" s="9" t="n">
        <v>18.9296470308637</v>
      </c>
      <c r="Q33" s="10" t="n">
        <v>0.0528271868128105</v>
      </c>
      <c r="R33" s="9" t="n">
        <v>23</v>
      </c>
      <c r="S33" s="11" t="n">
        <f aca="false">IF(AND(ISNUMBER(R33),R33&gt;1,P33&gt;0),R33/P33-1,"")</f>
        <v>0.215025296694642</v>
      </c>
      <c r="T33" s="9" t="n">
        <f aca="false">IF(AND(ISNUMBER(P33),P33&gt;0),P33*EXP('Read me'!$B$22),"")</f>
        <v>23.1207230944954</v>
      </c>
    </row>
    <row r="34" customFormat="false" ht="15" hidden="false" customHeight="false" outlineLevel="0" collapsed="false">
      <c r="A34" s="14" t="s">
        <v>55</v>
      </c>
      <c r="B34" s="14" t="s">
        <v>56</v>
      </c>
      <c r="C34" s="14" t="s">
        <v>57</v>
      </c>
      <c r="D34" s="14" t="s">
        <v>366</v>
      </c>
      <c r="E34" s="15" t="n">
        <v>8</v>
      </c>
      <c r="F34" s="14" t="s">
        <v>419</v>
      </c>
      <c r="G34" s="8" t="n">
        <v>10</v>
      </c>
      <c r="H34" s="14" t="s">
        <v>434</v>
      </c>
      <c r="I34" s="14" t="s">
        <v>435</v>
      </c>
      <c r="J34" s="14" t="s">
        <v>241</v>
      </c>
      <c r="K34" s="8" t="n">
        <v>8</v>
      </c>
      <c r="L34" s="8" t="n">
        <v>96</v>
      </c>
      <c r="M34" s="8" t="n">
        <v>7</v>
      </c>
      <c r="N34" s="8" t="n">
        <v>14</v>
      </c>
      <c r="O34" s="8" t="n">
        <v>10</v>
      </c>
      <c r="P34" s="9" t="n">
        <v>21.5515329843117</v>
      </c>
      <c r="Q34" s="10" t="n">
        <v>0.0464004115497466</v>
      </c>
      <c r="R34" s="9" t="n">
        <v>17</v>
      </c>
      <c r="S34" s="11" t="n">
        <f aca="false">IF(AND(ISNUMBER(R34),R34&gt;1,P34&gt;0),R34/P34-1,"")</f>
        <v>-0.211193003654308</v>
      </c>
      <c r="T34" s="9" t="n">
        <f aca="false">IF(AND(ISNUMBER(P34),P34&gt;0),P34*EXP('Read me'!$B$22),"")</f>
        <v>26.3231018296181</v>
      </c>
    </row>
    <row r="35" customFormat="false" ht="15" hidden="false" customHeight="false" outlineLevel="0" collapsed="false">
      <c r="A35" s="14" t="s">
        <v>62</v>
      </c>
      <c r="B35" s="14" t="s">
        <v>63</v>
      </c>
      <c r="C35" s="14" t="s">
        <v>64</v>
      </c>
      <c r="D35" s="14" t="s">
        <v>436</v>
      </c>
      <c r="E35" s="15" t="n">
        <v>6</v>
      </c>
      <c r="F35" s="14" t="s">
        <v>388</v>
      </c>
      <c r="G35" s="8" t="n">
        <v>9</v>
      </c>
      <c r="H35" s="14" t="s">
        <v>65</v>
      </c>
      <c r="I35" s="14" t="s">
        <v>66</v>
      </c>
      <c r="J35" s="14" t="s">
        <v>67</v>
      </c>
      <c r="K35" s="8" t="n">
        <v>3</v>
      </c>
      <c r="L35" s="8" t="n">
        <v>78</v>
      </c>
      <c r="M35" s="8" t="n">
        <v>2</v>
      </c>
      <c r="N35" s="8" t="n">
        <v>20</v>
      </c>
      <c r="O35" s="8" t="n">
        <v>1</v>
      </c>
      <c r="P35" s="9" t="n">
        <v>2.19698373468503</v>
      </c>
      <c r="Q35" s="10" t="n">
        <v>0.455169505450784</v>
      </c>
      <c r="R35" s="9" t="n">
        <v>1.90909090909091</v>
      </c>
      <c r="S35" s="11" t="n">
        <f aca="false">IF(AND(ISNUMBER(R35),R35&gt;1,P35&gt;0),R35/P35-1,"")</f>
        <v>-0.131040035048504</v>
      </c>
      <c r="T35" s="9" t="n">
        <f aca="false">IF(AND(ISNUMBER(P35),P35&gt;0),P35*EXP('Read me'!$B$22),"")</f>
        <v>2.68340199317733</v>
      </c>
    </row>
    <row r="36" customFormat="false" ht="15" hidden="false" customHeight="false" outlineLevel="0" collapsed="false">
      <c r="A36" s="14" t="s">
        <v>62</v>
      </c>
      <c r="B36" s="14" t="s">
        <v>63</v>
      </c>
      <c r="C36" s="14" t="s">
        <v>64</v>
      </c>
      <c r="D36" s="14" t="s">
        <v>436</v>
      </c>
      <c r="E36" s="15" t="n">
        <v>6</v>
      </c>
      <c r="F36" s="14" t="s">
        <v>388</v>
      </c>
      <c r="G36" s="8" t="n">
        <v>9</v>
      </c>
      <c r="H36" s="14" t="s">
        <v>68</v>
      </c>
      <c r="I36" s="14" t="s">
        <v>90</v>
      </c>
      <c r="J36" s="14" t="s">
        <v>60</v>
      </c>
      <c r="K36" s="8" t="n">
        <v>9</v>
      </c>
      <c r="L36" s="8" t="n">
        <v>78</v>
      </c>
      <c r="M36" s="8" t="n">
        <v>2</v>
      </c>
      <c r="N36" s="8" t="n">
        <v>28</v>
      </c>
      <c r="O36" s="8" t="n">
        <v>2</v>
      </c>
      <c r="P36" s="9" t="n">
        <v>2.65077833783043</v>
      </c>
      <c r="Q36" s="10" t="n">
        <v>0.377247688246337</v>
      </c>
      <c r="R36" s="9" t="n">
        <v>2.5</v>
      </c>
      <c r="S36" s="11" t="n">
        <f aca="false">IF(AND(ISNUMBER(R36),R36&gt;1,P36&gt;0),R36/P36-1,"")</f>
        <v>-0.0568807793841566</v>
      </c>
      <c r="T36" s="9" t="n">
        <f aca="false">IF(AND(ISNUMBER(P36),P36&gt;0),P36*EXP('Read me'!$B$22),"")</f>
        <v>3.23766797309732</v>
      </c>
    </row>
    <row r="37" customFormat="false" ht="15" hidden="false" customHeight="false" outlineLevel="0" collapsed="false">
      <c r="A37" s="14" t="s">
        <v>62</v>
      </c>
      <c r="B37" s="14" t="s">
        <v>63</v>
      </c>
      <c r="C37" s="14" t="s">
        <v>64</v>
      </c>
      <c r="D37" s="14" t="s">
        <v>436</v>
      </c>
      <c r="E37" s="15" t="n">
        <v>6</v>
      </c>
      <c r="F37" s="14" t="s">
        <v>388</v>
      </c>
      <c r="G37" s="8" t="n">
        <v>9</v>
      </c>
      <c r="H37" s="14" t="s">
        <v>437</v>
      </c>
      <c r="I37" s="14" t="s">
        <v>438</v>
      </c>
      <c r="J37" s="14" t="s">
        <v>439</v>
      </c>
      <c r="K37" s="8" t="n">
        <v>6</v>
      </c>
      <c r="L37" s="8" t="n">
        <v>0</v>
      </c>
      <c r="M37" s="8" t="n">
        <v>2</v>
      </c>
      <c r="N37" s="8" t="n">
        <v>23</v>
      </c>
      <c r="O37" s="8" t="n">
        <v>3</v>
      </c>
      <c r="P37" s="9" t="n">
        <v>8.77464454219732</v>
      </c>
      <c r="Q37" s="10" t="n">
        <v>0.113964730444748</v>
      </c>
      <c r="R37" s="9" t="n">
        <v>6</v>
      </c>
      <c r="S37" s="11" t="n">
        <f aca="false">IF(AND(ISNUMBER(R37),R37&gt;1,P37&gt;0),R37/P37-1,"")</f>
        <v>-0.31621161733151</v>
      </c>
      <c r="T37" s="9" t="n">
        <f aca="false">IF(AND(ISNUMBER(P37),P37&gt;0),P37*EXP('Read me'!$B$22),"")</f>
        <v>10.7173750457149</v>
      </c>
    </row>
    <row r="38" customFormat="false" ht="15" hidden="false" customHeight="false" outlineLevel="0" collapsed="false">
      <c r="A38" s="14" t="s">
        <v>62</v>
      </c>
      <c r="B38" s="14" t="s">
        <v>63</v>
      </c>
      <c r="C38" s="14" t="s">
        <v>64</v>
      </c>
      <c r="D38" s="14" t="s">
        <v>436</v>
      </c>
      <c r="E38" s="15" t="n">
        <v>6</v>
      </c>
      <c r="F38" s="14" t="s">
        <v>388</v>
      </c>
      <c r="G38" s="8" t="n">
        <v>9</v>
      </c>
      <c r="H38" s="14" t="s">
        <v>440</v>
      </c>
      <c r="I38" s="14" t="s">
        <v>441</v>
      </c>
      <c r="J38" s="14" t="s">
        <v>442</v>
      </c>
      <c r="K38" s="8" t="n">
        <v>7</v>
      </c>
      <c r="L38" s="8" t="n">
        <v>0</v>
      </c>
      <c r="M38" s="8" t="n">
        <v>2</v>
      </c>
      <c r="N38" s="8" t="n">
        <v>16</v>
      </c>
      <c r="O38" s="8" t="n">
        <v>4</v>
      </c>
      <c r="P38" s="9" t="n">
        <v>53.0020549779521</v>
      </c>
      <c r="Q38" s="10" t="n">
        <v>0.0188671929874413</v>
      </c>
      <c r="R38" s="9" t="n">
        <v>29</v>
      </c>
      <c r="S38" s="11" t="n">
        <f aca="false">IF(AND(ISNUMBER(R38),R38&gt;1,P38&gt;0),R38/P38-1,"")</f>
        <v>-0.4528514033642</v>
      </c>
      <c r="T38" s="9" t="n">
        <f aca="false">IF(AND(ISNUMBER(P38),P38&gt;0),P38*EXP('Read me'!$B$22),"")</f>
        <v>64.7368561382277</v>
      </c>
    </row>
    <row r="39" customFormat="false" ht="15" hidden="false" customHeight="false" outlineLevel="0" collapsed="false">
      <c r="A39" s="14" t="s">
        <v>62</v>
      </c>
      <c r="B39" s="14" t="s">
        <v>63</v>
      </c>
      <c r="C39" s="14" t="s">
        <v>64</v>
      </c>
      <c r="D39" s="14" t="s">
        <v>436</v>
      </c>
      <c r="E39" s="15" t="n">
        <v>6</v>
      </c>
      <c r="F39" s="14" t="s">
        <v>388</v>
      </c>
      <c r="G39" s="8" t="n">
        <v>9</v>
      </c>
      <c r="H39" s="14" t="s">
        <v>443</v>
      </c>
      <c r="I39" s="14" t="s">
        <v>444</v>
      </c>
      <c r="J39" s="14" t="s">
        <v>445</v>
      </c>
      <c r="K39" s="8" t="n">
        <v>2</v>
      </c>
      <c r="L39" s="8" t="n">
        <v>0</v>
      </c>
      <c r="M39" s="8" t="n">
        <v>2</v>
      </c>
      <c r="N39" s="8" t="n">
        <v>35</v>
      </c>
      <c r="O39" s="8" t="n">
        <v>5</v>
      </c>
      <c r="P39" s="9" t="n">
        <v>55.715171304039</v>
      </c>
      <c r="Q39" s="10" t="n">
        <v>0.0179484326547786</v>
      </c>
      <c r="R39" s="9" t="n">
        <v>34</v>
      </c>
      <c r="S39" s="11" t="n">
        <f aca="false">IF(AND(ISNUMBER(R39),R39&gt;1,P39&gt;0),R39/P39-1,"")</f>
        <v>-0.389753289737526</v>
      </c>
      <c r="T39" s="9" t="n">
        <f aca="false">IF(AND(ISNUMBER(P39),P39&gt;0),P39*EXP('Read me'!$B$22),"")</f>
        <v>68.0506639021196</v>
      </c>
    </row>
    <row r="40" customFormat="false" ht="15" hidden="false" customHeight="false" outlineLevel="0" collapsed="false">
      <c r="A40" s="14" t="s">
        <v>62</v>
      </c>
      <c r="B40" s="14" t="s">
        <v>63</v>
      </c>
      <c r="C40" s="14" t="s">
        <v>64</v>
      </c>
      <c r="D40" s="14" t="s">
        <v>436</v>
      </c>
      <c r="E40" s="15" t="n">
        <v>6</v>
      </c>
      <c r="F40" s="14" t="s">
        <v>388</v>
      </c>
      <c r="G40" s="8" t="n">
        <v>9</v>
      </c>
      <c r="H40" s="14" t="s">
        <v>446</v>
      </c>
      <c r="I40" s="14" t="s">
        <v>300</v>
      </c>
      <c r="J40" s="14" t="s">
        <v>447</v>
      </c>
      <c r="K40" s="8" t="n">
        <v>4</v>
      </c>
      <c r="L40" s="8" t="n">
        <v>0</v>
      </c>
      <c r="M40" s="8" t="n">
        <v>2</v>
      </c>
      <c r="N40" s="8"/>
      <c r="O40" s="8" t="n">
        <v>6</v>
      </c>
      <c r="P40" s="9" t="n">
        <v>93.0290028012246</v>
      </c>
      <c r="Q40" s="10" t="n">
        <v>0.0107493359048113</v>
      </c>
      <c r="R40" s="9" t="n">
        <v>26</v>
      </c>
      <c r="S40" s="11" t="n">
        <f aca="false">IF(AND(ISNUMBER(R40),R40&gt;1,P40&gt;0),R40/P40-1,"")</f>
        <v>-0.720517266474905</v>
      </c>
      <c r="T40" s="9" t="n">
        <f aca="false">IF(AND(ISNUMBER(P40),P40&gt;0),P40*EXP('Read me'!$B$22),"")</f>
        <v>113.625880610306</v>
      </c>
    </row>
    <row r="41" customFormat="false" ht="15" hidden="false" customHeight="false" outlineLevel="0" collapsed="false">
      <c r="A41" s="14" t="s">
        <v>62</v>
      </c>
      <c r="B41" s="14" t="s">
        <v>63</v>
      </c>
      <c r="C41" s="14" t="s">
        <v>64</v>
      </c>
      <c r="D41" s="14" t="s">
        <v>436</v>
      </c>
      <c r="E41" s="15" t="n">
        <v>6</v>
      </c>
      <c r="F41" s="14" t="s">
        <v>388</v>
      </c>
      <c r="G41" s="8" t="n">
        <v>9</v>
      </c>
      <c r="H41" s="14" t="s">
        <v>448</v>
      </c>
      <c r="I41" s="14" t="s">
        <v>449</v>
      </c>
      <c r="J41" s="14" t="s">
        <v>450</v>
      </c>
      <c r="K41" s="8" t="n">
        <v>8</v>
      </c>
      <c r="L41" s="8" t="n">
        <v>0</v>
      </c>
      <c r="M41" s="8" t="n">
        <v>2</v>
      </c>
      <c r="N41" s="8" t="n">
        <v>15</v>
      </c>
      <c r="O41" s="8" t="n">
        <v>7</v>
      </c>
      <c r="P41" s="9" t="n">
        <v>265.237823921817</v>
      </c>
      <c r="Q41" s="10" t="n">
        <v>0.0037702013431341</v>
      </c>
      <c r="R41" s="9" t="n">
        <v>67</v>
      </c>
      <c r="S41" s="11" t="n">
        <f aca="false">IF(AND(ISNUMBER(R41),R41&gt;1,P41&gt;0),R41/P41-1,"")</f>
        <v>-0.747396510010015</v>
      </c>
      <c r="T41" s="9" t="n">
        <f aca="false">IF(AND(ISNUMBER(P41),P41&gt;0),P41*EXP('Read me'!$B$22),"")</f>
        <v>323.962209706508</v>
      </c>
    </row>
    <row r="42" customFormat="false" ht="15" hidden="false" customHeight="false" outlineLevel="0" collapsed="false">
      <c r="A42" s="14" t="s">
        <v>62</v>
      </c>
      <c r="B42" s="14" t="s">
        <v>63</v>
      </c>
      <c r="C42" s="14" t="s">
        <v>64</v>
      </c>
      <c r="D42" s="14" t="s">
        <v>436</v>
      </c>
      <c r="E42" s="15" t="n">
        <v>6</v>
      </c>
      <c r="F42" s="14" t="s">
        <v>388</v>
      </c>
      <c r="G42" s="8" t="n">
        <v>9</v>
      </c>
      <c r="H42" s="14" t="s">
        <v>451</v>
      </c>
      <c r="I42" s="14" t="s">
        <v>452</v>
      </c>
      <c r="J42" s="14" t="s">
        <v>453</v>
      </c>
      <c r="K42" s="8" t="n">
        <v>5</v>
      </c>
      <c r="L42" s="8" t="n">
        <v>0</v>
      </c>
      <c r="M42" s="8" t="n">
        <v>2</v>
      </c>
      <c r="N42" s="8" t="n">
        <v>10</v>
      </c>
      <c r="O42" s="8" t="n">
        <v>8</v>
      </c>
      <c r="P42" s="9" t="n">
        <v>711.807466532219</v>
      </c>
      <c r="Q42" s="10" t="n">
        <v>0.0014048742771297</v>
      </c>
      <c r="R42" s="9" t="n">
        <v>51</v>
      </c>
      <c r="S42" s="11" t="n">
        <f aca="false">IF(AND(ISNUMBER(R42),R42&gt;1,P42&gt;0),R42/P42-1,"")</f>
        <v>-0.928351411866384</v>
      </c>
      <c r="T42" s="9" t="n">
        <f aca="false">IF(AND(ISNUMBER(P42),P42&gt;0),P42*EXP('Read me'!$B$22),"")</f>
        <v>869.403602901455</v>
      </c>
    </row>
    <row r="43" customFormat="false" ht="15" hidden="false" customHeight="false" outlineLevel="0" collapsed="false">
      <c r="A43" s="14" t="s">
        <v>62</v>
      </c>
      <c r="B43" s="14" t="s">
        <v>63</v>
      </c>
      <c r="C43" s="14" t="s">
        <v>64</v>
      </c>
      <c r="D43" s="14" t="s">
        <v>436</v>
      </c>
      <c r="E43" s="15" t="n">
        <v>6</v>
      </c>
      <c r="F43" s="14" t="s">
        <v>388</v>
      </c>
      <c r="G43" s="8" t="n">
        <v>9</v>
      </c>
      <c r="H43" s="14" t="s">
        <v>454</v>
      </c>
      <c r="I43" s="14" t="s">
        <v>455</v>
      </c>
      <c r="J43" s="14" t="s">
        <v>456</v>
      </c>
      <c r="K43" s="8" t="n">
        <v>1</v>
      </c>
      <c r="L43" s="8" t="n">
        <v>0</v>
      </c>
      <c r="M43" s="8" t="n">
        <v>2</v>
      </c>
      <c r="N43" s="8" t="n">
        <v>9</v>
      </c>
      <c r="O43" s="8" t="n">
        <v>9</v>
      </c>
      <c r="P43" s="9" t="n">
        <v>1138.9019760031</v>
      </c>
      <c r="Q43" s="10" t="n">
        <v>0.0008780386908357</v>
      </c>
      <c r="R43" s="9" t="n">
        <v>201</v>
      </c>
      <c r="S43" s="11" t="n">
        <f aca="false">IF(AND(ISNUMBER(R43),R43&gt;1,P43&gt;0),R43/P43-1,"")</f>
        <v>-0.823514223142016</v>
      </c>
      <c r="T43" s="9" t="n">
        <f aca="false">IF(AND(ISNUMBER(P43),P43&gt;0),P43*EXP('Read me'!$B$22),"")</f>
        <v>1391.05801476425</v>
      </c>
    </row>
    <row r="44" customFormat="false" ht="15" hidden="false" customHeight="false" outlineLevel="0" collapsed="false">
      <c r="A44" s="14" t="s">
        <v>69</v>
      </c>
      <c r="B44" s="14" t="s">
        <v>42</v>
      </c>
      <c r="C44" s="14" t="s">
        <v>70</v>
      </c>
      <c r="D44" s="14"/>
      <c r="E44" s="15" t="n">
        <v>8</v>
      </c>
      <c r="F44" s="14" t="s">
        <v>367</v>
      </c>
      <c r="G44" s="8" t="n">
        <v>7</v>
      </c>
      <c r="H44" s="14" t="s">
        <v>71</v>
      </c>
      <c r="I44" s="14" t="s">
        <v>72</v>
      </c>
      <c r="J44" s="14" t="s">
        <v>73</v>
      </c>
      <c r="K44" s="8" t="n">
        <v>4</v>
      </c>
      <c r="L44" s="8" t="n">
        <v>110</v>
      </c>
      <c r="M44" s="8" t="n">
        <v>2</v>
      </c>
      <c r="N44" s="8" t="n">
        <v>13</v>
      </c>
      <c r="O44" s="8" t="n">
        <v>1</v>
      </c>
      <c r="P44" s="9" t="n">
        <v>4.15559373778774</v>
      </c>
      <c r="Q44" s="10" t="n">
        <v>0.240639500177021</v>
      </c>
      <c r="R44" s="9" t="n">
        <v>4.5</v>
      </c>
      <c r="S44" s="11" t="n">
        <f aca="false">IF(AND(ISNUMBER(R44),R44&gt;1,P44&gt;0),R44/P44-1,"")</f>
        <v>0.0828777507965934</v>
      </c>
      <c r="T44" s="9" t="n">
        <f aca="false">IF(AND(ISNUMBER(P44),P44&gt;0),P44*EXP('Read me'!$B$22),"")</f>
        <v>5.07565365312708</v>
      </c>
    </row>
    <row r="45" customFormat="false" ht="15" hidden="false" customHeight="false" outlineLevel="0" collapsed="false">
      <c r="A45" s="14" t="s">
        <v>69</v>
      </c>
      <c r="B45" s="14" t="s">
        <v>42</v>
      </c>
      <c r="C45" s="14" t="s">
        <v>70</v>
      </c>
      <c r="D45" s="14"/>
      <c r="E45" s="15" t="n">
        <v>8</v>
      </c>
      <c r="F45" s="14" t="s">
        <v>367</v>
      </c>
      <c r="G45" s="8" t="n">
        <v>7</v>
      </c>
      <c r="H45" s="14" t="s">
        <v>74</v>
      </c>
      <c r="I45" s="14" t="s">
        <v>132</v>
      </c>
      <c r="J45" s="14" t="s">
        <v>133</v>
      </c>
      <c r="K45" s="8" t="n">
        <v>2</v>
      </c>
      <c r="L45" s="8" t="n">
        <v>101</v>
      </c>
      <c r="M45" s="8" t="n">
        <v>2</v>
      </c>
      <c r="N45" s="8" t="n">
        <v>21</v>
      </c>
      <c r="O45" s="8" t="n">
        <v>2</v>
      </c>
      <c r="P45" s="9" t="n">
        <v>4.32480598537306</v>
      </c>
      <c r="Q45" s="10" t="n">
        <v>0.231224245291489</v>
      </c>
      <c r="R45" s="9" t="n">
        <v>4.5</v>
      </c>
      <c r="S45" s="11" t="n">
        <f aca="false">IF(AND(ISNUMBER(R45),R45&gt;1,P45&gt;0),R45/P45-1,"")</f>
        <v>0.0405091038117014</v>
      </c>
      <c r="T45" s="9" t="n">
        <f aca="false">IF(AND(ISNUMBER(P45),P45&gt;0),P45*EXP('Read me'!$B$22),"")</f>
        <v>5.28232995904226</v>
      </c>
    </row>
    <row r="46" customFormat="false" ht="15" hidden="false" customHeight="false" outlineLevel="0" collapsed="false">
      <c r="A46" s="14" t="s">
        <v>69</v>
      </c>
      <c r="B46" s="14" t="s">
        <v>42</v>
      </c>
      <c r="C46" s="14" t="s">
        <v>70</v>
      </c>
      <c r="D46" s="14"/>
      <c r="E46" s="15" t="n">
        <v>8</v>
      </c>
      <c r="F46" s="14" t="s">
        <v>367</v>
      </c>
      <c r="G46" s="8" t="n">
        <v>7</v>
      </c>
      <c r="H46" s="14" t="s">
        <v>457</v>
      </c>
      <c r="I46" s="14" t="s">
        <v>45</v>
      </c>
      <c r="J46" s="14" t="s">
        <v>133</v>
      </c>
      <c r="K46" s="8" t="n">
        <v>6</v>
      </c>
      <c r="L46" s="8" t="n">
        <v>105</v>
      </c>
      <c r="M46" s="8" t="n">
        <v>2</v>
      </c>
      <c r="N46" s="8" t="n">
        <v>14</v>
      </c>
      <c r="O46" s="8" t="n">
        <v>3</v>
      </c>
      <c r="P46" s="9" t="n">
        <v>4.87550866068698</v>
      </c>
      <c r="Q46" s="10" t="n">
        <v>0.205106804150174</v>
      </c>
      <c r="R46" s="9" t="n">
        <v>5</v>
      </c>
      <c r="S46" s="11" t="n">
        <f aca="false">IF(AND(ISNUMBER(R46),R46&gt;1,P46&gt;0),R46/P46-1,"")</f>
        <v>0.0255340207508679</v>
      </c>
      <c r="T46" s="9" t="n">
        <f aca="false">IF(AND(ISNUMBER(P46),P46&gt;0),P46*EXP('Read me'!$B$22),"")</f>
        <v>5.95495972559688</v>
      </c>
    </row>
    <row r="47" customFormat="false" ht="15" hidden="false" customHeight="false" outlineLevel="0" collapsed="false">
      <c r="A47" s="14" t="s">
        <v>69</v>
      </c>
      <c r="B47" s="14" t="s">
        <v>42</v>
      </c>
      <c r="C47" s="14" t="s">
        <v>70</v>
      </c>
      <c r="D47" s="14"/>
      <c r="E47" s="15" t="n">
        <v>8</v>
      </c>
      <c r="F47" s="14" t="s">
        <v>367</v>
      </c>
      <c r="G47" s="8" t="n">
        <v>7</v>
      </c>
      <c r="H47" s="14" t="s">
        <v>458</v>
      </c>
      <c r="I47" s="14" t="s">
        <v>375</v>
      </c>
      <c r="J47" s="14" t="s">
        <v>439</v>
      </c>
      <c r="K47" s="8" t="n">
        <v>7</v>
      </c>
      <c r="L47" s="8" t="n">
        <v>97</v>
      </c>
      <c r="M47" s="8" t="n">
        <v>2</v>
      </c>
      <c r="N47" s="8" t="n">
        <v>23</v>
      </c>
      <c r="O47" s="8" t="n">
        <v>4</v>
      </c>
      <c r="P47" s="9" t="n">
        <v>7.4636156885515</v>
      </c>
      <c r="Q47" s="10" t="n">
        <v>0.13398331877322</v>
      </c>
      <c r="R47" s="9" t="n">
        <v>4.5</v>
      </c>
      <c r="S47" s="11" t="n">
        <f aca="false">IF(AND(ISNUMBER(R47),R47&gt;1,P47&gt;0),R47/P47-1,"")</f>
        <v>-0.397075065520511</v>
      </c>
      <c r="T47" s="9" t="n">
        <f aca="false">IF(AND(ISNUMBER(P47),P47&gt;0),P47*EXP('Read me'!$B$22),"")</f>
        <v>9.11608078784432</v>
      </c>
    </row>
    <row r="48" customFormat="false" ht="15" hidden="false" customHeight="false" outlineLevel="0" collapsed="false">
      <c r="A48" s="14" t="s">
        <v>69</v>
      </c>
      <c r="B48" s="14" t="s">
        <v>42</v>
      </c>
      <c r="C48" s="14" t="s">
        <v>70</v>
      </c>
      <c r="D48" s="14"/>
      <c r="E48" s="15" t="n">
        <v>8</v>
      </c>
      <c r="F48" s="14" t="s">
        <v>367</v>
      </c>
      <c r="G48" s="8" t="n">
        <v>7</v>
      </c>
      <c r="H48" s="14" t="s">
        <v>459</v>
      </c>
      <c r="I48" s="14" t="s">
        <v>369</v>
      </c>
      <c r="J48" s="14" t="s">
        <v>230</v>
      </c>
      <c r="K48" s="8" t="n">
        <v>5</v>
      </c>
      <c r="L48" s="8" t="n">
        <v>0</v>
      </c>
      <c r="M48" s="8" t="n">
        <v>2</v>
      </c>
      <c r="N48" s="8" t="n">
        <v>18</v>
      </c>
      <c r="O48" s="8" t="n">
        <v>5</v>
      </c>
      <c r="P48" s="9" t="n">
        <v>9.07849996367788</v>
      </c>
      <c r="Q48" s="10" t="n">
        <v>0.110150355675596</v>
      </c>
      <c r="R48" s="9" t="n">
        <v>7</v>
      </c>
      <c r="S48" s="11" t="n">
        <f aca="false">IF(AND(ISNUMBER(R48),R48&gt;1,P48&gt;0),R48/P48-1,"")</f>
        <v>-0.228947510270831</v>
      </c>
      <c r="T48" s="9" t="n">
        <f aca="false">IF(AND(ISNUMBER(P48),P48&gt;0),P48*EXP('Read me'!$B$22),"")</f>
        <v>11.0885048955932</v>
      </c>
    </row>
    <row r="49" customFormat="false" ht="15" hidden="false" customHeight="false" outlineLevel="0" collapsed="false">
      <c r="A49" s="14" t="s">
        <v>69</v>
      </c>
      <c r="B49" s="14" t="s">
        <v>42</v>
      </c>
      <c r="C49" s="14" t="s">
        <v>70</v>
      </c>
      <c r="D49" s="14"/>
      <c r="E49" s="15" t="n">
        <v>8</v>
      </c>
      <c r="F49" s="14" t="s">
        <v>367</v>
      </c>
      <c r="G49" s="8" t="n">
        <v>7</v>
      </c>
      <c r="H49" s="14" t="s">
        <v>460</v>
      </c>
      <c r="I49" s="14" t="s">
        <v>378</v>
      </c>
      <c r="J49" s="14" t="s">
        <v>370</v>
      </c>
      <c r="K49" s="8" t="n">
        <v>3</v>
      </c>
      <c r="L49" s="8" t="n">
        <v>100</v>
      </c>
      <c r="M49" s="8" t="n">
        <v>2</v>
      </c>
      <c r="N49" s="8" t="n">
        <v>21</v>
      </c>
      <c r="O49" s="8" t="n">
        <v>6</v>
      </c>
      <c r="P49" s="9" t="n">
        <v>19.1603252422449</v>
      </c>
      <c r="Q49" s="10" t="n">
        <v>0.0521911808571595</v>
      </c>
      <c r="R49" s="9" t="n">
        <v>17</v>
      </c>
      <c r="S49" s="11" t="n">
        <f aca="false">IF(AND(ISNUMBER(R49),R49&gt;1,P49&gt;0),R49/P49-1,"")</f>
        <v>-0.112749925428288</v>
      </c>
      <c r="T49" s="9" t="n">
        <f aca="false">IF(AND(ISNUMBER(P49),P49&gt;0),P49*EXP('Read me'!$B$22),"")</f>
        <v>23.4024740981238</v>
      </c>
    </row>
    <row r="50" customFormat="false" ht="15" hidden="false" customHeight="false" outlineLevel="0" collapsed="false">
      <c r="A50" s="14" t="s">
        <v>69</v>
      </c>
      <c r="B50" s="14" t="s">
        <v>42</v>
      </c>
      <c r="C50" s="14" t="s">
        <v>70</v>
      </c>
      <c r="D50" s="14"/>
      <c r="E50" s="15" t="n">
        <v>8</v>
      </c>
      <c r="F50" s="14" t="s">
        <v>367</v>
      </c>
      <c r="G50" s="8" t="n">
        <v>7</v>
      </c>
      <c r="H50" s="14" t="s">
        <v>461</v>
      </c>
      <c r="I50" s="14" t="s">
        <v>462</v>
      </c>
      <c r="J50" s="14" t="s">
        <v>463</v>
      </c>
      <c r="K50" s="8" t="n">
        <v>1</v>
      </c>
      <c r="L50" s="8" t="n">
        <v>86</v>
      </c>
      <c r="M50" s="8" t="n">
        <v>2</v>
      </c>
      <c r="N50" s="8" t="n">
        <v>18</v>
      </c>
      <c r="O50" s="8" t="n">
        <v>7</v>
      </c>
      <c r="P50" s="9" t="n">
        <v>37.4467389293377</v>
      </c>
      <c r="Q50" s="10" t="n">
        <v>0.0267045950753417</v>
      </c>
      <c r="R50" s="9" t="n">
        <v>23</v>
      </c>
      <c r="S50" s="11" t="n">
        <f aca="false">IF(AND(ISNUMBER(R50),R50&gt;1,P50&gt;0),R50/P50-1,"")</f>
        <v>-0.38579431326714</v>
      </c>
      <c r="T50" s="9" t="n">
        <f aca="false">IF(AND(ISNUMBER(P50),P50&gt;0),P50*EXP('Read me'!$B$22),"")</f>
        <v>45.7375502123969</v>
      </c>
    </row>
    <row r="51" customFormat="false" ht="15" hidden="false" customHeight="false" outlineLevel="0" collapsed="false">
      <c r="A51" s="14" t="s">
        <v>75</v>
      </c>
      <c r="B51" s="14" t="s">
        <v>49</v>
      </c>
      <c r="C51" s="14" t="s">
        <v>76</v>
      </c>
      <c r="D51" s="14"/>
      <c r="E51" s="15" t="n">
        <v>7</v>
      </c>
      <c r="F51" s="14" t="s">
        <v>388</v>
      </c>
      <c r="G51" s="8" t="n">
        <v>9</v>
      </c>
      <c r="H51" s="14" t="s">
        <v>77</v>
      </c>
      <c r="I51" s="14" t="s">
        <v>78</v>
      </c>
      <c r="J51" s="14" t="s">
        <v>79</v>
      </c>
      <c r="K51" s="8" t="n">
        <v>7</v>
      </c>
      <c r="L51" s="8" t="n">
        <v>84</v>
      </c>
      <c r="M51" s="8" t="n">
        <v>3</v>
      </c>
      <c r="N51" s="8" t="n">
        <v>14</v>
      </c>
      <c r="O51" s="8" t="n">
        <v>1</v>
      </c>
      <c r="P51" s="9" t="n">
        <v>4.43374591799746</v>
      </c>
      <c r="Q51" s="10" t="n">
        <v>0.225542919800794</v>
      </c>
      <c r="R51" s="9" t="n">
        <v>3.75</v>
      </c>
      <c r="S51" s="11" t="n">
        <f aca="false">IF(AND(ISNUMBER(R51),R51&gt;1,P51&gt;0),R51/P51-1,"")</f>
        <v>-0.154214050747022</v>
      </c>
      <c r="T51" s="9" t="n">
        <f aca="false">IF(AND(ISNUMBER(P51),P51&gt;0),P51*EXP('Read me'!$B$22),"")</f>
        <v>5.4153894932235</v>
      </c>
    </row>
    <row r="52" customFormat="false" ht="15" hidden="false" customHeight="false" outlineLevel="0" collapsed="false">
      <c r="A52" s="14" t="s">
        <v>75</v>
      </c>
      <c r="B52" s="14" t="s">
        <v>49</v>
      </c>
      <c r="C52" s="14" t="s">
        <v>76</v>
      </c>
      <c r="D52" s="14"/>
      <c r="E52" s="15" t="n">
        <v>7</v>
      </c>
      <c r="F52" s="14" t="s">
        <v>388</v>
      </c>
      <c r="G52" s="8" t="n">
        <v>9</v>
      </c>
      <c r="H52" s="14" t="s">
        <v>80</v>
      </c>
      <c r="I52" s="14" t="s">
        <v>252</v>
      </c>
      <c r="J52" s="14" t="s">
        <v>464</v>
      </c>
      <c r="K52" s="8" t="n">
        <v>8</v>
      </c>
      <c r="L52" s="8" t="n">
        <v>91</v>
      </c>
      <c r="M52" s="8" t="n">
        <v>3</v>
      </c>
      <c r="N52" s="8" t="n">
        <v>14</v>
      </c>
      <c r="O52" s="8" t="n">
        <v>2</v>
      </c>
      <c r="P52" s="9" t="n">
        <v>5.05615037095291</v>
      </c>
      <c r="Q52" s="10" t="n">
        <v>0.197778927965613</v>
      </c>
      <c r="R52" s="9" t="n">
        <v>6</v>
      </c>
      <c r="S52" s="11" t="n">
        <f aca="false">IF(AND(ISNUMBER(R52),R52&gt;1,P52&gt;0),R52/P52-1,"")</f>
        <v>0.186673567793676</v>
      </c>
      <c r="T52" s="9" t="n">
        <f aca="false">IF(AND(ISNUMBER(P52),P52&gt;0),P52*EXP('Read me'!$B$22),"")</f>
        <v>6.17559600875445</v>
      </c>
    </row>
    <row r="53" customFormat="false" ht="15" hidden="false" customHeight="false" outlineLevel="0" collapsed="false">
      <c r="A53" s="14" t="s">
        <v>75</v>
      </c>
      <c r="B53" s="14" t="s">
        <v>49</v>
      </c>
      <c r="C53" s="14" t="s">
        <v>76</v>
      </c>
      <c r="D53" s="14"/>
      <c r="E53" s="15" t="n">
        <v>7</v>
      </c>
      <c r="F53" s="14" t="s">
        <v>388</v>
      </c>
      <c r="G53" s="8" t="n">
        <v>9</v>
      </c>
      <c r="H53" s="14" t="s">
        <v>354</v>
      </c>
      <c r="I53" s="14" t="s">
        <v>144</v>
      </c>
      <c r="J53" s="14" t="s">
        <v>73</v>
      </c>
      <c r="K53" s="8" t="n">
        <v>3</v>
      </c>
      <c r="L53" s="8" t="n">
        <v>87</v>
      </c>
      <c r="M53" s="8" t="n">
        <v>3</v>
      </c>
      <c r="N53" s="8" t="n">
        <v>182</v>
      </c>
      <c r="O53" s="8" t="n">
        <v>3</v>
      </c>
      <c r="P53" s="9" t="n">
        <v>5.8560055768411</v>
      </c>
      <c r="Q53" s="10" t="n">
        <v>0.170764864697999</v>
      </c>
      <c r="R53" s="9" t="n">
        <v>5.5</v>
      </c>
      <c r="S53" s="11" t="n">
        <f aca="false">IF(AND(ISNUMBER(R53),R53&gt;1,P53&gt;0),R53/P53-1,"")</f>
        <v>-0.0607932441610031</v>
      </c>
      <c r="T53" s="9" t="n">
        <f aca="false">IF(AND(ISNUMBER(P53),P53&gt;0),P53*EXP('Read me'!$B$22),"")</f>
        <v>7.15254136335505</v>
      </c>
    </row>
    <row r="54" customFormat="false" ht="15" hidden="false" customHeight="false" outlineLevel="0" collapsed="false">
      <c r="A54" s="14" t="s">
        <v>75</v>
      </c>
      <c r="B54" s="14" t="s">
        <v>49</v>
      </c>
      <c r="C54" s="14" t="s">
        <v>76</v>
      </c>
      <c r="D54" s="14"/>
      <c r="E54" s="15" t="n">
        <v>7</v>
      </c>
      <c r="F54" s="14" t="s">
        <v>388</v>
      </c>
      <c r="G54" s="8" t="n">
        <v>9</v>
      </c>
      <c r="H54" s="14" t="s">
        <v>465</v>
      </c>
      <c r="I54" s="14" t="s">
        <v>466</v>
      </c>
      <c r="J54" s="14" t="s">
        <v>467</v>
      </c>
      <c r="K54" s="8" t="n">
        <v>5</v>
      </c>
      <c r="L54" s="8" t="n">
        <v>87</v>
      </c>
      <c r="M54" s="8" t="n">
        <v>3</v>
      </c>
      <c r="N54" s="8" t="n">
        <v>13</v>
      </c>
      <c r="O54" s="8" t="n">
        <v>4</v>
      </c>
      <c r="P54" s="9" t="n">
        <v>6.68138510735888</v>
      </c>
      <c r="Q54" s="10" t="n">
        <v>0.149669564608482</v>
      </c>
      <c r="R54" s="9" t="n">
        <v>4.33333333333333</v>
      </c>
      <c r="S54" s="11" t="n">
        <f aca="false">IF(AND(ISNUMBER(R54),R54&gt;1,P54&gt;0),R54/P54-1,"")</f>
        <v>-0.351431886696577</v>
      </c>
      <c r="T54" s="9" t="n">
        <f aca="false">IF(AND(ISNUMBER(P54),P54&gt;0),P54*EXP('Read me'!$B$22),"")</f>
        <v>8.16066219845841</v>
      </c>
    </row>
    <row r="55" customFormat="false" ht="15" hidden="false" customHeight="false" outlineLevel="0" collapsed="false">
      <c r="A55" s="14" t="s">
        <v>75</v>
      </c>
      <c r="B55" s="14" t="s">
        <v>49</v>
      </c>
      <c r="C55" s="14" t="s">
        <v>76</v>
      </c>
      <c r="D55" s="14"/>
      <c r="E55" s="15" t="n">
        <v>7</v>
      </c>
      <c r="F55" s="14" t="s">
        <v>388</v>
      </c>
      <c r="G55" s="8" t="n">
        <v>9</v>
      </c>
      <c r="H55" s="14" t="s">
        <v>468</v>
      </c>
      <c r="I55" s="14" t="s">
        <v>212</v>
      </c>
      <c r="J55" s="14" t="s">
        <v>469</v>
      </c>
      <c r="K55" s="8" t="n">
        <v>6</v>
      </c>
      <c r="L55" s="8" t="n">
        <v>81</v>
      </c>
      <c r="M55" s="8" t="n">
        <v>3</v>
      </c>
      <c r="N55" s="8" t="n">
        <v>24</v>
      </c>
      <c r="O55" s="8" t="n">
        <v>5</v>
      </c>
      <c r="P55" s="9" t="n">
        <v>8.52804756220017</v>
      </c>
      <c r="Q55" s="10" t="n">
        <v>0.117260134011496</v>
      </c>
      <c r="R55" s="9" t="n">
        <v>8</v>
      </c>
      <c r="S55" s="11" t="n">
        <f aca="false">IF(AND(ISNUMBER(R55),R55&gt;1,P55&gt;0),R55/P55-1,"")</f>
        <v>-0.0619189279080349</v>
      </c>
      <c r="T55" s="9" t="n">
        <f aca="false">IF(AND(ISNUMBER(P55),P55&gt;0),P55*EXP('Read me'!$B$22),"")</f>
        <v>10.4161808141924</v>
      </c>
    </row>
    <row r="56" customFormat="false" ht="15" hidden="false" customHeight="false" outlineLevel="0" collapsed="false">
      <c r="A56" s="14" t="s">
        <v>75</v>
      </c>
      <c r="B56" s="14" t="s">
        <v>49</v>
      </c>
      <c r="C56" s="14" t="s">
        <v>76</v>
      </c>
      <c r="D56" s="14"/>
      <c r="E56" s="15" t="n">
        <v>7</v>
      </c>
      <c r="F56" s="14" t="s">
        <v>388</v>
      </c>
      <c r="G56" s="8" t="n">
        <v>9</v>
      </c>
      <c r="H56" s="14" t="s">
        <v>470</v>
      </c>
      <c r="I56" s="14" t="s">
        <v>415</v>
      </c>
      <c r="J56" s="14" t="s">
        <v>471</v>
      </c>
      <c r="K56" s="8" t="n">
        <v>4</v>
      </c>
      <c r="L56" s="8" t="n">
        <v>86</v>
      </c>
      <c r="M56" s="8" t="n">
        <v>3</v>
      </c>
      <c r="N56" s="8" t="n">
        <v>7</v>
      </c>
      <c r="O56" s="8" t="n">
        <v>6</v>
      </c>
      <c r="P56" s="9" t="n">
        <v>22.2095428025546</v>
      </c>
      <c r="Q56" s="10" t="n">
        <v>0.0450256904831457</v>
      </c>
      <c r="R56" s="9" t="n">
        <v>11</v>
      </c>
      <c r="S56" s="11" t="n">
        <f aca="false">IF(AND(ISNUMBER(R56),R56&gt;1,P56&gt;0),R56/P56-1,"")</f>
        <v>-0.504717404685397</v>
      </c>
      <c r="T56" s="9" t="n">
        <f aca="false">IF(AND(ISNUMBER(P56),P56&gt;0),P56*EXP('Read me'!$B$22),"")</f>
        <v>27.1267968365165</v>
      </c>
    </row>
    <row r="57" customFormat="false" ht="15" hidden="false" customHeight="false" outlineLevel="0" collapsed="false">
      <c r="A57" s="14" t="s">
        <v>75</v>
      </c>
      <c r="B57" s="14" t="s">
        <v>49</v>
      </c>
      <c r="C57" s="14" t="s">
        <v>76</v>
      </c>
      <c r="D57" s="14"/>
      <c r="E57" s="15" t="n">
        <v>7</v>
      </c>
      <c r="F57" s="14" t="s">
        <v>388</v>
      </c>
      <c r="G57" s="8" t="n">
        <v>9</v>
      </c>
      <c r="H57" s="14" t="s">
        <v>472</v>
      </c>
      <c r="I57" s="14" t="s">
        <v>107</v>
      </c>
      <c r="J57" s="14" t="s">
        <v>473</v>
      </c>
      <c r="K57" s="8" t="n">
        <v>1</v>
      </c>
      <c r="L57" s="8" t="n">
        <v>83</v>
      </c>
      <c r="M57" s="8" t="n">
        <v>3</v>
      </c>
      <c r="N57" s="8" t="n">
        <v>91</v>
      </c>
      <c r="O57" s="8" t="n">
        <v>7</v>
      </c>
      <c r="P57" s="9" t="n">
        <v>26.1770005460553</v>
      </c>
      <c r="Q57" s="10" t="n">
        <v>0.0382014737800314</v>
      </c>
      <c r="R57" s="9" t="n">
        <v>21</v>
      </c>
      <c r="S57" s="11" t="n">
        <f aca="false">IF(AND(ISNUMBER(R57),R57&gt;1,P57&gt;0),R57/P57-1,"")</f>
        <v>-0.197769050619341</v>
      </c>
      <c r="T57" s="9" t="n">
        <f aca="false">IF(AND(ISNUMBER(P57),P57&gt;0),P57*EXP('Read me'!$B$22),"")</f>
        <v>31.9726606673122</v>
      </c>
    </row>
    <row r="58" customFormat="false" ht="15" hidden="false" customHeight="false" outlineLevel="0" collapsed="false">
      <c r="A58" s="14" t="s">
        <v>75</v>
      </c>
      <c r="B58" s="14" t="s">
        <v>49</v>
      </c>
      <c r="C58" s="14" t="s">
        <v>76</v>
      </c>
      <c r="D58" s="14"/>
      <c r="E58" s="15" t="n">
        <v>7</v>
      </c>
      <c r="F58" s="14" t="s">
        <v>388</v>
      </c>
      <c r="G58" s="8" t="n">
        <v>9</v>
      </c>
      <c r="H58" s="14" t="s">
        <v>474</v>
      </c>
      <c r="I58" s="14" t="s">
        <v>475</v>
      </c>
      <c r="J58" s="14" t="s">
        <v>79</v>
      </c>
      <c r="K58" s="8" t="n">
        <v>2</v>
      </c>
      <c r="L58" s="8" t="n">
        <v>87</v>
      </c>
      <c r="M58" s="8" t="n">
        <v>3</v>
      </c>
      <c r="N58" s="8" t="n">
        <v>113</v>
      </c>
      <c r="O58" s="8" t="n">
        <v>8</v>
      </c>
      <c r="P58" s="9" t="n">
        <v>31.761111615598</v>
      </c>
      <c r="Q58" s="10" t="n">
        <v>0.0314850441037112</v>
      </c>
      <c r="R58" s="9" t="n">
        <v>26</v>
      </c>
      <c r="S58" s="11" t="n">
        <f aca="false">IF(AND(ISNUMBER(R58),R58&gt;1,P58&gt;0),R58/P58-1,"")</f>
        <v>-0.181388853303508</v>
      </c>
      <c r="T58" s="9" t="n">
        <f aca="false">IF(AND(ISNUMBER(P58),P58&gt;0),P58*EXP('Read me'!$B$22),"")</f>
        <v>38.7931093295245</v>
      </c>
    </row>
    <row r="59" customFormat="false" ht="15" hidden="false" customHeight="false" outlineLevel="0" collapsed="false">
      <c r="A59" s="14" t="s">
        <v>75</v>
      </c>
      <c r="B59" s="14" t="s">
        <v>49</v>
      </c>
      <c r="C59" s="14" t="s">
        <v>76</v>
      </c>
      <c r="D59" s="14"/>
      <c r="E59" s="15" t="n">
        <v>7</v>
      </c>
      <c r="F59" s="14" t="s">
        <v>388</v>
      </c>
      <c r="G59" s="8" t="n">
        <v>9</v>
      </c>
      <c r="H59" s="14" t="s">
        <v>476</v>
      </c>
      <c r="I59" s="14" t="s">
        <v>477</v>
      </c>
      <c r="J59" s="14" t="s">
        <v>478</v>
      </c>
      <c r="K59" s="8" t="n">
        <v>9</v>
      </c>
      <c r="L59" s="8" t="n">
        <v>78</v>
      </c>
      <c r="M59" s="8" t="n">
        <v>3</v>
      </c>
      <c r="N59" s="8" t="n">
        <v>13</v>
      </c>
      <c r="O59" s="8" t="n">
        <v>9</v>
      </c>
      <c r="P59" s="9" t="n">
        <v>41.2007878164319</v>
      </c>
      <c r="Q59" s="10" t="n">
        <v>0.0242713805487276</v>
      </c>
      <c r="R59" s="9" t="n">
        <v>29</v>
      </c>
      <c r="S59" s="11" t="n">
        <f aca="false">IF(AND(ISNUMBER(R59),R59&gt;1,P59&gt;0),R59/P59-1,"")</f>
        <v>-0.296129964086899</v>
      </c>
      <c r="T59" s="9" t="n">
        <f aca="false">IF(AND(ISNUMBER(P59),P59&gt;0),P59*EXP('Read me'!$B$22),"")</f>
        <v>50.3227558773619</v>
      </c>
    </row>
    <row r="60" customFormat="false" ht="15" hidden="false" customHeight="false" outlineLevel="0" collapsed="false">
      <c r="A60" s="14" t="s">
        <v>81</v>
      </c>
      <c r="B60" s="14" t="s">
        <v>56</v>
      </c>
      <c r="C60" s="14" t="s">
        <v>82</v>
      </c>
      <c r="D60" s="14" t="s">
        <v>366</v>
      </c>
      <c r="E60" s="15" t="n">
        <v>5</v>
      </c>
      <c r="F60" s="14" t="s">
        <v>419</v>
      </c>
      <c r="G60" s="8" t="n">
        <v>10</v>
      </c>
      <c r="H60" s="14" t="s">
        <v>83</v>
      </c>
      <c r="I60" s="14" t="s">
        <v>84</v>
      </c>
      <c r="J60" s="14" t="s">
        <v>85</v>
      </c>
      <c r="K60" s="8" t="n">
        <v>4</v>
      </c>
      <c r="L60" s="8" t="n">
        <v>89</v>
      </c>
      <c r="M60" s="8" t="n">
        <v>6</v>
      </c>
      <c r="N60" s="8" t="n">
        <v>7</v>
      </c>
      <c r="O60" s="8" t="n">
        <v>1</v>
      </c>
      <c r="P60" s="9" t="n">
        <v>4.58882493328048</v>
      </c>
      <c r="Q60" s="10" t="n">
        <v>0.217920712718303</v>
      </c>
      <c r="R60" s="9" t="n">
        <v>3.25</v>
      </c>
      <c r="S60" s="11" t="n">
        <f aca="false">IF(AND(ISNUMBER(R60),R60&gt;1,P60&gt;0),R60/P60-1,"")</f>
        <v>-0.291757683665516</v>
      </c>
      <c r="T60" s="9" t="n">
        <f aca="false">IF(AND(ISNUMBER(P60),P60&gt;0),P60*EXP('Read me'!$B$22),"")</f>
        <v>5.60480343022294</v>
      </c>
    </row>
    <row r="61" customFormat="false" ht="15" hidden="false" customHeight="false" outlineLevel="0" collapsed="false">
      <c r="A61" s="14" t="s">
        <v>81</v>
      </c>
      <c r="B61" s="14" t="s">
        <v>56</v>
      </c>
      <c r="C61" s="14" t="s">
        <v>82</v>
      </c>
      <c r="D61" s="14" t="s">
        <v>366</v>
      </c>
      <c r="E61" s="15" t="n">
        <v>5</v>
      </c>
      <c r="F61" s="14" t="s">
        <v>419</v>
      </c>
      <c r="G61" s="8" t="n">
        <v>10</v>
      </c>
      <c r="H61" s="14" t="s">
        <v>86</v>
      </c>
      <c r="I61" s="14" t="s">
        <v>423</v>
      </c>
      <c r="J61" s="14" t="s">
        <v>379</v>
      </c>
      <c r="K61" s="8" t="n">
        <v>11</v>
      </c>
      <c r="L61" s="8" t="n">
        <v>94</v>
      </c>
      <c r="M61" s="8" t="n">
        <v>4</v>
      </c>
      <c r="N61" s="8" t="n">
        <v>14</v>
      </c>
      <c r="O61" s="8" t="n">
        <v>2</v>
      </c>
      <c r="P61" s="9" t="n">
        <v>4.88750453280089</v>
      </c>
      <c r="Q61" s="10" t="n">
        <v>0.204603390807891</v>
      </c>
      <c r="R61" s="9" t="n">
        <v>4</v>
      </c>
      <c r="S61" s="11" t="n">
        <f aca="false">IF(AND(ISNUMBER(R61),R61&gt;1,P61&gt;0),R61/P61-1,"")</f>
        <v>-0.181586436768435</v>
      </c>
      <c r="T61" s="9" t="n">
        <f aca="false">IF(AND(ISNUMBER(P61),P61&gt;0),P61*EXP('Read me'!$B$22),"")</f>
        <v>5.96961151688334</v>
      </c>
    </row>
    <row r="62" customFormat="false" ht="15" hidden="false" customHeight="false" outlineLevel="0" collapsed="false">
      <c r="A62" s="14" t="s">
        <v>81</v>
      </c>
      <c r="B62" s="14" t="s">
        <v>56</v>
      </c>
      <c r="C62" s="14" t="s">
        <v>82</v>
      </c>
      <c r="D62" s="14" t="s">
        <v>366</v>
      </c>
      <c r="E62" s="15" t="n">
        <v>5</v>
      </c>
      <c r="F62" s="14" t="s">
        <v>419</v>
      </c>
      <c r="G62" s="8" t="n">
        <v>10</v>
      </c>
      <c r="H62" s="14" t="s">
        <v>479</v>
      </c>
      <c r="I62" s="14" t="s">
        <v>266</v>
      </c>
      <c r="J62" s="14" t="s">
        <v>480</v>
      </c>
      <c r="K62" s="8" t="n">
        <v>7</v>
      </c>
      <c r="L62" s="8" t="n">
        <v>90</v>
      </c>
      <c r="M62" s="8" t="n">
        <v>4</v>
      </c>
      <c r="N62" s="8" t="n">
        <v>13</v>
      </c>
      <c r="O62" s="8" t="n">
        <v>3</v>
      </c>
      <c r="P62" s="9" t="n">
        <v>6.73010263394746</v>
      </c>
      <c r="Q62" s="10" t="n">
        <v>0.148586144133357</v>
      </c>
      <c r="R62" s="9" t="n">
        <v>7.5</v>
      </c>
      <c r="S62" s="11" t="n">
        <f aca="false">IF(AND(ISNUMBER(R62),R62&gt;1,P62&gt;0),R62/P62-1,"")</f>
        <v>0.114396081000174</v>
      </c>
      <c r="T62" s="9" t="n">
        <f aca="false">IF(AND(ISNUMBER(P62),P62&gt;0),P62*EXP('Read me'!$B$22),"")</f>
        <v>8.22016591980446</v>
      </c>
    </row>
    <row r="63" customFormat="false" ht="15" hidden="false" customHeight="false" outlineLevel="0" collapsed="false">
      <c r="A63" s="14" t="s">
        <v>81</v>
      </c>
      <c r="B63" s="14" t="s">
        <v>56</v>
      </c>
      <c r="C63" s="14" t="s">
        <v>82</v>
      </c>
      <c r="D63" s="14" t="s">
        <v>366</v>
      </c>
      <c r="E63" s="15" t="n">
        <v>5</v>
      </c>
      <c r="F63" s="14" t="s">
        <v>419</v>
      </c>
      <c r="G63" s="8" t="n">
        <v>10</v>
      </c>
      <c r="H63" s="14" t="s">
        <v>481</v>
      </c>
      <c r="I63" s="14" t="s">
        <v>482</v>
      </c>
      <c r="J63" s="14" t="s">
        <v>483</v>
      </c>
      <c r="K63" s="8" t="n">
        <v>3</v>
      </c>
      <c r="L63" s="8" t="n">
        <v>86</v>
      </c>
      <c r="M63" s="8" t="n">
        <v>4</v>
      </c>
      <c r="N63" s="8" t="n">
        <v>42</v>
      </c>
      <c r="O63" s="8" t="n">
        <v>4</v>
      </c>
      <c r="P63" s="9" t="n">
        <v>9.80567894936493</v>
      </c>
      <c r="Q63" s="10" t="n">
        <v>0.101981719487641</v>
      </c>
      <c r="R63" s="9" t="n">
        <v>12</v>
      </c>
      <c r="S63" s="11" t="n">
        <f aca="false">IF(AND(ISNUMBER(R63),R63&gt;1,P63&gt;0),R63/P63-1,"")</f>
        <v>0.223780633851692</v>
      </c>
      <c r="T63" s="9" t="n">
        <f aca="false">IF(AND(ISNUMBER(P63),P63&gt;0),P63*EXP('Read me'!$B$22),"")</f>
        <v>11.9766833143874</v>
      </c>
    </row>
    <row r="64" customFormat="false" ht="15" hidden="false" customHeight="false" outlineLevel="0" collapsed="false">
      <c r="A64" s="14" t="s">
        <v>81</v>
      </c>
      <c r="B64" s="14" t="s">
        <v>56</v>
      </c>
      <c r="C64" s="14" t="s">
        <v>82</v>
      </c>
      <c r="D64" s="14" t="s">
        <v>366</v>
      </c>
      <c r="E64" s="15" t="n">
        <v>5</v>
      </c>
      <c r="F64" s="14" t="s">
        <v>419</v>
      </c>
      <c r="G64" s="8" t="n">
        <v>10</v>
      </c>
      <c r="H64" s="14" t="s">
        <v>484</v>
      </c>
      <c r="I64" s="14" t="s">
        <v>485</v>
      </c>
      <c r="J64" s="14" t="s">
        <v>236</v>
      </c>
      <c r="K64" s="8" t="n">
        <v>1</v>
      </c>
      <c r="L64" s="8" t="n">
        <v>82</v>
      </c>
      <c r="M64" s="8" t="n">
        <v>3</v>
      </c>
      <c r="N64" s="8" t="n">
        <v>8</v>
      </c>
      <c r="O64" s="8" t="n">
        <v>5</v>
      </c>
      <c r="P64" s="9" t="n">
        <v>11.0512306094832</v>
      </c>
      <c r="Q64" s="10" t="n">
        <v>0.0904876601834627</v>
      </c>
      <c r="R64" s="9" t="n">
        <v>13</v>
      </c>
      <c r="S64" s="11" t="n">
        <f aca="false">IF(AND(ISNUMBER(R64),R64&gt;1,P64&gt;0),R64/P64-1,"")</f>
        <v>0.176339582385015</v>
      </c>
      <c r="T64" s="9" t="n">
        <f aca="false">IF(AND(ISNUMBER(P64),P64&gt;0),P64*EXP('Read me'!$B$22),"")</f>
        <v>13.4980035474869</v>
      </c>
    </row>
    <row r="65" customFormat="false" ht="15" hidden="false" customHeight="false" outlineLevel="0" collapsed="false">
      <c r="A65" s="14" t="s">
        <v>81</v>
      </c>
      <c r="B65" s="14" t="s">
        <v>56</v>
      </c>
      <c r="C65" s="14" t="s">
        <v>82</v>
      </c>
      <c r="D65" s="14" t="s">
        <v>366</v>
      </c>
      <c r="E65" s="15" t="n">
        <v>5</v>
      </c>
      <c r="F65" s="14" t="s">
        <v>419</v>
      </c>
      <c r="G65" s="8" t="n">
        <v>10</v>
      </c>
      <c r="H65" s="14" t="s">
        <v>486</v>
      </c>
      <c r="I65" s="14" t="s">
        <v>187</v>
      </c>
      <c r="J65" s="14" t="s">
        <v>188</v>
      </c>
      <c r="K65" s="8" t="n">
        <v>8</v>
      </c>
      <c r="L65" s="8" t="n">
        <v>96</v>
      </c>
      <c r="M65" s="8" t="n">
        <v>5</v>
      </c>
      <c r="N65" s="8" t="n">
        <v>27</v>
      </c>
      <c r="O65" s="8" t="n">
        <v>6</v>
      </c>
      <c r="P65" s="9" t="n">
        <v>14.4768086957488</v>
      </c>
      <c r="Q65" s="10" t="n">
        <v>0.069075997411892</v>
      </c>
      <c r="R65" s="9" t="n">
        <v>15</v>
      </c>
      <c r="S65" s="11" t="n">
        <f aca="false">IF(AND(ISNUMBER(R65),R65&gt;1,P65&gt;0),R65/P65-1,"")</f>
        <v>0.0361399611783804</v>
      </c>
      <c r="T65" s="9" t="n">
        <f aca="false">IF(AND(ISNUMBER(P65),P65&gt;0),P65*EXP('Read me'!$B$22),"")</f>
        <v>17.6820140703447</v>
      </c>
    </row>
    <row r="66" customFormat="false" ht="15" hidden="false" customHeight="false" outlineLevel="0" collapsed="false">
      <c r="A66" s="14" t="s">
        <v>81</v>
      </c>
      <c r="B66" s="14" t="s">
        <v>56</v>
      </c>
      <c r="C66" s="14" t="s">
        <v>82</v>
      </c>
      <c r="D66" s="14" t="s">
        <v>366</v>
      </c>
      <c r="E66" s="15" t="n">
        <v>5</v>
      </c>
      <c r="F66" s="14" t="s">
        <v>419</v>
      </c>
      <c r="G66" s="8" t="n">
        <v>10</v>
      </c>
      <c r="H66" s="14" t="s">
        <v>487</v>
      </c>
      <c r="I66" s="14" t="s">
        <v>425</v>
      </c>
      <c r="J66" s="14" t="s">
        <v>488</v>
      </c>
      <c r="K66" s="8" t="n">
        <v>12</v>
      </c>
      <c r="L66" s="8" t="n">
        <v>83</v>
      </c>
      <c r="M66" s="8" t="n">
        <v>3</v>
      </c>
      <c r="N66" s="8" t="n">
        <v>21</v>
      </c>
      <c r="O66" s="8" t="n">
        <v>7</v>
      </c>
      <c r="P66" s="9" t="n">
        <v>14.6063429428627</v>
      </c>
      <c r="Q66" s="10" t="n">
        <v>0.0684634068850645</v>
      </c>
      <c r="R66" s="9" t="n">
        <v>10</v>
      </c>
      <c r="S66" s="11" t="n">
        <f aca="false">IF(AND(ISNUMBER(R66),R66&gt;1,P66&gt;0),R66/P66-1,"")</f>
        <v>-0.315365931149355</v>
      </c>
      <c r="T66" s="9" t="n">
        <f aca="false">IF(AND(ISNUMBER(P66),P66&gt;0),P66*EXP('Read me'!$B$22),"")</f>
        <v>17.8402275570458</v>
      </c>
    </row>
    <row r="67" customFormat="false" ht="15" hidden="false" customHeight="false" outlineLevel="0" collapsed="false">
      <c r="A67" s="14" t="s">
        <v>81</v>
      </c>
      <c r="B67" s="14" t="s">
        <v>56</v>
      </c>
      <c r="C67" s="14" t="s">
        <v>82</v>
      </c>
      <c r="D67" s="14" t="s">
        <v>366</v>
      </c>
      <c r="E67" s="15" t="n">
        <v>5</v>
      </c>
      <c r="F67" s="14" t="s">
        <v>419</v>
      </c>
      <c r="G67" s="8" t="n">
        <v>10</v>
      </c>
      <c r="H67" s="14" t="s">
        <v>489</v>
      </c>
      <c r="I67" s="14" t="s">
        <v>490</v>
      </c>
      <c r="J67" s="14" t="s">
        <v>439</v>
      </c>
      <c r="K67" s="8" t="n">
        <v>10</v>
      </c>
      <c r="L67" s="8" t="n">
        <v>83</v>
      </c>
      <c r="M67" s="8" t="n">
        <v>3</v>
      </c>
      <c r="N67" s="8" t="n">
        <v>38</v>
      </c>
      <c r="O67" s="8" t="n">
        <v>8</v>
      </c>
      <c r="P67" s="9" t="n">
        <v>16.3326994106157</v>
      </c>
      <c r="Q67" s="10" t="n">
        <v>0.0612268661082463</v>
      </c>
      <c r="R67" s="9" t="n">
        <v>11</v>
      </c>
      <c r="S67" s="11" t="n">
        <f aca="false">IF(AND(ISNUMBER(R67),R67&gt;1,P67&gt;0),R67/P67-1,"")</f>
        <v>-0.326504472809291</v>
      </c>
      <c r="T67" s="9" t="n">
        <f aca="false">IF(AND(ISNUMBER(P67),P67&gt;0),P67*EXP('Read me'!$B$22),"")</f>
        <v>19.948804108327</v>
      </c>
    </row>
    <row r="68" customFormat="false" ht="15" hidden="false" customHeight="false" outlineLevel="0" collapsed="false">
      <c r="A68" s="14" t="s">
        <v>81</v>
      </c>
      <c r="B68" s="14" t="s">
        <v>56</v>
      </c>
      <c r="C68" s="14" t="s">
        <v>82</v>
      </c>
      <c r="D68" s="14" t="s">
        <v>366</v>
      </c>
      <c r="E68" s="15" t="n">
        <v>5</v>
      </c>
      <c r="F68" s="14" t="s">
        <v>419</v>
      </c>
      <c r="G68" s="8" t="n">
        <v>10</v>
      </c>
      <c r="H68" s="14" t="s">
        <v>491</v>
      </c>
      <c r="I68" s="14" t="s">
        <v>492</v>
      </c>
      <c r="J68" s="14" t="s">
        <v>493</v>
      </c>
      <c r="K68" s="8" t="n">
        <v>5</v>
      </c>
      <c r="L68" s="8" t="n">
        <v>72</v>
      </c>
      <c r="M68" s="8" t="n">
        <v>7</v>
      </c>
      <c r="N68" s="8" t="n">
        <v>20</v>
      </c>
      <c r="O68" s="8" t="n">
        <v>9</v>
      </c>
      <c r="P68" s="9" t="n">
        <v>46.5692035297114</v>
      </c>
      <c r="Q68" s="10" t="n">
        <v>0.0214734185728986</v>
      </c>
      <c r="R68" s="9" t="n">
        <v>23</v>
      </c>
      <c r="S68" s="11" t="n">
        <f aca="false">IF(AND(ISNUMBER(R68),R68&gt;1,P68&gt;0),R68/P68-1,"")</f>
        <v>-0.506111372823332</v>
      </c>
      <c r="T68" s="9" t="n">
        <f aca="false">IF(AND(ISNUMBER(P68),P68&gt;0),P68*EXP('Read me'!$B$22),"")</f>
        <v>56.8797536365118</v>
      </c>
    </row>
    <row r="69" customFormat="false" ht="15" hidden="false" customHeight="false" outlineLevel="0" collapsed="false">
      <c r="A69" s="14" t="s">
        <v>81</v>
      </c>
      <c r="B69" s="14" t="s">
        <v>56</v>
      </c>
      <c r="C69" s="14" t="s">
        <v>82</v>
      </c>
      <c r="D69" s="14" t="s">
        <v>366</v>
      </c>
      <c r="E69" s="15" t="n">
        <v>5</v>
      </c>
      <c r="F69" s="14" t="s">
        <v>419</v>
      </c>
      <c r="G69" s="8" t="n">
        <v>10</v>
      </c>
      <c r="H69" s="14" t="s">
        <v>494</v>
      </c>
      <c r="I69" s="14" t="s">
        <v>495</v>
      </c>
      <c r="J69" s="14" t="s">
        <v>379</v>
      </c>
      <c r="K69" s="8" t="n">
        <v>6</v>
      </c>
      <c r="L69" s="8" t="n">
        <v>87</v>
      </c>
      <c r="M69" s="8" t="n">
        <v>3</v>
      </c>
      <c r="N69" s="8" t="n">
        <v>14</v>
      </c>
      <c r="O69" s="8" t="n">
        <v>10</v>
      </c>
      <c r="P69" s="9" t="n">
        <v>61.8020856894396</v>
      </c>
      <c r="Q69" s="10" t="n">
        <v>0.0161806836912443</v>
      </c>
      <c r="R69" s="9" t="n">
        <v>51</v>
      </c>
      <c r="S69" s="11" t="n">
        <f aca="false">IF(AND(ISNUMBER(R69),R69&gt;1,P69&gt;0),R69/P69-1,"")</f>
        <v>-0.174785131746539</v>
      </c>
      <c r="T69" s="9" t="n">
        <f aca="false">IF(AND(ISNUMBER(P69),P69&gt;0),P69*EXP('Read me'!$B$22),"")</f>
        <v>75.4852379211326</v>
      </c>
    </row>
    <row r="70" customFormat="false" ht="15" hidden="false" customHeight="false" outlineLevel="0" collapsed="false">
      <c r="A70" s="14" t="s">
        <v>87</v>
      </c>
      <c r="B70" s="14" t="s">
        <v>63</v>
      </c>
      <c r="C70" s="14" t="s">
        <v>88</v>
      </c>
      <c r="D70" s="14" t="s">
        <v>436</v>
      </c>
      <c r="E70" s="15" t="n">
        <v>8</v>
      </c>
      <c r="F70" s="14" t="s">
        <v>388</v>
      </c>
      <c r="G70" s="8" t="n">
        <v>6</v>
      </c>
      <c r="H70" s="14" t="s">
        <v>89</v>
      </c>
      <c r="I70" s="14" t="s">
        <v>90</v>
      </c>
      <c r="J70" s="14" t="s">
        <v>91</v>
      </c>
      <c r="K70" s="8" t="n">
        <v>6</v>
      </c>
      <c r="L70" s="8" t="n">
        <v>66</v>
      </c>
      <c r="M70" s="8" t="n">
        <v>2</v>
      </c>
      <c r="N70" s="8" t="n">
        <v>50</v>
      </c>
      <c r="O70" s="8" t="n">
        <v>1</v>
      </c>
      <c r="P70" s="9" t="n">
        <v>3.91379231338235</v>
      </c>
      <c r="Q70" s="10" t="n">
        <v>0.255506659507895</v>
      </c>
      <c r="R70" s="9" t="n">
        <v>2.625</v>
      </c>
      <c r="S70" s="11" t="n">
        <f aca="false">IF(AND(ISNUMBER(R70),R70&gt;1,P70&gt;0),R70/P70-1,"")</f>
        <v>-0.329295018791775</v>
      </c>
      <c r="T70" s="9" t="n">
        <f aca="false">IF(AND(ISNUMBER(P70),P70&gt;0),P70*EXP('Read me'!$B$22),"")</f>
        <v>4.78031672643127</v>
      </c>
    </row>
    <row r="71" customFormat="false" ht="15" hidden="false" customHeight="false" outlineLevel="0" collapsed="false">
      <c r="A71" s="14" t="s">
        <v>87</v>
      </c>
      <c r="B71" s="14" t="s">
        <v>63</v>
      </c>
      <c r="C71" s="14" t="s">
        <v>88</v>
      </c>
      <c r="D71" s="14" t="s">
        <v>436</v>
      </c>
      <c r="E71" s="15" t="n">
        <v>8</v>
      </c>
      <c r="F71" s="14" t="s">
        <v>388</v>
      </c>
      <c r="G71" s="8" t="n">
        <v>6</v>
      </c>
      <c r="H71" s="14" t="s">
        <v>92</v>
      </c>
      <c r="I71" s="14" t="s">
        <v>496</v>
      </c>
      <c r="J71" s="14" t="s">
        <v>230</v>
      </c>
      <c r="K71" s="8" t="n">
        <v>4</v>
      </c>
      <c r="L71" s="8" t="n">
        <v>80</v>
      </c>
      <c r="M71" s="8" t="n">
        <v>2</v>
      </c>
      <c r="N71" s="8" t="n">
        <v>16</v>
      </c>
      <c r="O71" s="8" t="n">
        <v>2</v>
      </c>
      <c r="P71" s="9" t="n">
        <v>4.324991638038</v>
      </c>
      <c r="Q71" s="10" t="n">
        <v>0.23121431986251</v>
      </c>
      <c r="R71" s="9" t="n">
        <v>5.5</v>
      </c>
      <c r="S71" s="11" t="n">
        <f aca="false">IF(AND(ISNUMBER(R71),R71&gt;1,P71&gt;0),R71/P71-1,"")</f>
        <v>0.271678759243806</v>
      </c>
      <c r="T71" s="9" t="n">
        <f aca="false">IF(AND(ISNUMBER(P71),P71&gt;0),P71*EXP('Read me'!$B$22),"")</f>
        <v>5.28255671571928</v>
      </c>
    </row>
    <row r="72" customFormat="false" ht="15" hidden="false" customHeight="false" outlineLevel="0" collapsed="false">
      <c r="A72" s="14" t="s">
        <v>87</v>
      </c>
      <c r="B72" s="14" t="s">
        <v>63</v>
      </c>
      <c r="C72" s="14" t="s">
        <v>88</v>
      </c>
      <c r="D72" s="14" t="s">
        <v>436</v>
      </c>
      <c r="E72" s="15" t="n">
        <v>8</v>
      </c>
      <c r="F72" s="14" t="s">
        <v>388</v>
      </c>
      <c r="G72" s="8" t="n">
        <v>6</v>
      </c>
      <c r="H72" s="14" t="s">
        <v>497</v>
      </c>
      <c r="I72" s="14" t="s">
        <v>272</v>
      </c>
      <c r="J72" s="14" t="s">
        <v>273</v>
      </c>
      <c r="K72" s="8" t="n">
        <v>1</v>
      </c>
      <c r="L72" s="8" t="n">
        <v>77</v>
      </c>
      <c r="M72" s="8" t="n">
        <v>2</v>
      </c>
      <c r="N72" s="8" t="n">
        <v>21</v>
      </c>
      <c r="O72" s="8" t="n">
        <v>3</v>
      </c>
      <c r="P72" s="9" t="n">
        <v>4.43512863829269</v>
      </c>
      <c r="Q72" s="10" t="n">
        <v>0.225472603289575</v>
      </c>
      <c r="R72" s="9" t="n">
        <v>5</v>
      </c>
      <c r="S72" s="11" t="n">
        <f aca="false">IF(AND(ISNUMBER(R72),R72&gt;1,P72&gt;0),R72/P72-1,"")</f>
        <v>0.127363016447873</v>
      </c>
      <c r="T72" s="9" t="n">
        <f aca="false">IF(AND(ISNUMBER(P72),P72&gt;0),P72*EXP('Read me'!$B$22),"")</f>
        <v>5.41707835160586</v>
      </c>
    </row>
    <row r="73" customFormat="false" ht="15" hidden="false" customHeight="false" outlineLevel="0" collapsed="false">
      <c r="A73" s="14" t="s">
        <v>87</v>
      </c>
      <c r="B73" s="14" t="s">
        <v>63</v>
      </c>
      <c r="C73" s="14" t="s">
        <v>88</v>
      </c>
      <c r="D73" s="14" t="s">
        <v>436</v>
      </c>
      <c r="E73" s="15" t="n">
        <v>8</v>
      </c>
      <c r="F73" s="14" t="s">
        <v>388</v>
      </c>
      <c r="G73" s="8" t="n">
        <v>6</v>
      </c>
      <c r="H73" s="14" t="s">
        <v>498</v>
      </c>
      <c r="I73" s="14" t="s">
        <v>300</v>
      </c>
      <c r="J73" s="14" t="s">
        <v>499</v>
      </c>
      <c r="K73" s="8" t="n">
        <v>2</v>
      </c>
      <c r="L73" s="8" t="n">
        <v>75</v>
      </c>
      <c r="M73" s="8" t="n">
        <v>2</v>
      </c>
      <c r="N73" s="8" t="n">
        <v>18</v>
      </c>
      <c r="O73" s="8" t="n">
        <v>4</v>
      </c>
      <c r="P73" s="9" t="n">
        <v>6.24031868857905</v>
      </c>
      <c r="Q73" s="10" t="n">
        <v>0.160248226077009</v>
      </c>
      <c r="R73" s="9" t="n">
        <v>4.5</v>
      </c>
      <c r="S73" s="11" t="n">
        <f aca="false">IF(AND(ISNUMBER(R73),R73&gt;1,P73&gt;0),R73/P73-1,"")</f>
        <v>-0.278882982653459</v>
      </c>
      <c r="T73" s="9" t="n">
        <f aca="false">IF(AND(ISNUMBER(P73),P73&gt;0),P73*EXP('Read me'!$B$22),"")</f>
        <v>7.6219424580289</v>
      </c>
    </row>
    <row r="74" customFormat="false" ht="15" hidden="false" customHeight="false" outlineLevel="0" collapsed="false">
      <c r="A74" s="14" t="s">
        <v>87</v>
      </c>
      <c r="B74" s="14" t="s">
        <v>63</v>
      </c>
      <c r="C74" s="14" t="s">
        <v>88</v>
      </c>
      <c r="D74" s="14" t="s">
        <v>436</v>
      </c>
      <c r="E74" s="15" t="n">
        <v>8</v>
      </c>
      <c r="F74" s="14" t="s">
        <v>388</v>
      </c>
      <c r="G74" s="8" t="n">
        <v>6</v>
      </c>
      <c r="H74" s="14" t="s">
        <v>500</v>
      </c>
      <c r="I74" s="14" t="s">
        <v>455</v>
      </c>
      <c r="J74" s="14" t="s">
        <v>501</v>
      </c>
      <c r="K74" s="8" t="n">
        <v>3</v>
      </c>
      <c r="L74" s="8" t="n">
        <v>72</v>
      </c>
      <c r="M74" s="8" t="n">
        <v>2</v>
      </c>
      <c r="N74" s="8" t="n">
        <v>30</v>
      </c>
      <c r="O74" s="8" t="n">
        <v>5</v>
      </c>
      <c r="P74" s="9" t="n">
        <v>15.5235539224686</v>
      </c>
      <c r="Q74" s="10" t="n">
        <v>0.0644182385679488</v>
      </c>
      <c r="R74" s="9" t="n">
        <v>21</v>
      </c>
      <c r="S74" s="11" t="n">
        <f aca="false">IF(AND(ISNUMBER(R74),R74&gt;1,P74&gt;0),R74/P74-1,"")</f>
        <v>0.352783009926926</v>
      </c>
      <c r="T74" s="9" t="n">
        <f aca="false">IF(AND(ISNUMBER(P74),P74&gt;0),P74*EXP('Read me'!$B$22),"")</f>
        <v>18.9605115773513</v>
      </c>
    </row>
    <row r="75" customFormat="false" ht="15" hidden="false" customHeight="false" outlineLevel="0" collapsed="false">
      <c r="A75" s="14" t="s">
        <v>87</v>
      </c>
      <c r="B75" s="14" t="s">
        <v>63</v>
      </c>
      <c r="C75" s="14" t="s">
        <v>88</v>
      </c>
      <c r="D75" s="14" t="s">
        <v>436</v>
      </c>
      <c r="E75" s="15" t="n">
        <v>8</v>
      </c>
      <c r="F75" s="14" t="s">
        <v>388</v>
      </c>
      <c r="G75" s="8" t="n">
        <v>6</v>
      </c>
      <c r="H75" s="14" t="s">
        <v>502</v>
      </c>
      <c r="I75" s="14" t="s">
        <v>503</v>
      </c>
      <c r="J75" s="14" t="s">
        <v>463</v>
      </c>
      <c r="K75" s="8" t="n">
        <v>5</v>
      </c>
      <c r="L75" s="8" t="n">
        <v>72</v>
      </c>
      <c r="M75" s="8" t="n">
        <v>2</v>
      </c>
      <c r="N75" s="8" t="n">
        <v>42</v>
      </c>
      <c r="O75" s="8" t="n">
        <v>6</v>
      </c>
      <c r="P75" s="9" t="n">
        <v>15.8378325816865</v>
      </c>
      <c r="Q75" s="10" t="n">
        <v>0.063139952695062</v>
      </c>
      <c r="R75" s="9" t="n">
        <v>13</v>
      </c>
      <c r="S75" s="11" t="n">
        <f aca="false">IF(AND(ISNUMBER(R75),R75&gt;1,P75&gt;0),R75/P75-1,"")</f>
        <v>-0.179180614964193</v>
      </c>
      <c r="T75" s="9" t="n">
        <f aca="false">IF(AND(ISNUMBER(P75),P75&gt;0),P75*EXP('Read me'!$B$22),"")</f>
        <v>19.3443723985509</v>
      </c>
    </row>
    <row r="76" customFormat="false" ht="15" hidden="false" customHeight="false" outlineLevel="0" collapsed="false">
      <c r="A76" s="14" t="s">
        <v>93</v>
      </c>
      <c r="B76" s="14" t="s">
        <v>42</v>
      </c>
      <c r="C76" s="14" t="s">
        <v>94</v>
      </c>
      <c r="D76" s="14"/>
      <c r="E76" s="15" t="n">
        <v>6</v>
      </c>
      <c r="F76" s="14" t="s">
        <v>367</v>
      </c>
      <c r="G76" s="8" t="n">
        <v>6</v>
      </c>
      <c r="H76" s="14" t="s">
        <v>95</v>
      </c>
      <c r="I76" s="14" t="s">
        <v>72</v>
      </c>
      <c r="J76" s="14" t="s">
        <v>73</v>
      </c>
      <c r="K76" s="8" t="n">
        <v>6</v>
      </c>
      <c r="L76" s="8" t="n">
        <v>119</v>
      </c>
      <c r="M76" s="8" t="n">
        <v>2</v>
      </c>
      <c r="N76" s="8" t="n">
        <v>13</v>
      </c>
      <c r="O76" s="8" t="n">
        <v>1</v>
      </c>
      <c r="P76" s="9" t="n">
        <v>1.82781272009048</v>
      </c>
      <c r="Q76" s="10" t="n">
        <v>0.547102002852075</v>
      </c>
      <c r="R76" s="9" t="n">
        <v>2.5</v>
      </c>
      <c r="S76" s="11" t="n">
        <f aca="false">IF(AND(ISNUMBER(R76),R76&gt;1,P76&gt;0),R76/P76-1,"")</f>
        <v>0.367755007130188</v>
      </c>
      <c r="T76" s="9" t="n">
        <f aca="false">IF(AND(ISNUMBER(P76),P76&gt;0),P76*EXP('Read me'!$B$22),"")</f>
        <v>2.23249549771875</v>
      </c>
    </row>
    <row r="77" customFormat="false" ht="15" hidden="false" customHeight="false" outlineLevel="0" collapsed="false">
      <c r="A77" s="14" t="s">
        <v>93</v>
      </c>
      <c r="B77" s="14" t="s">
        <v>42</v>
      </c>
      <c r="C77" s="14" t="s">
        <v>94</v>
      </c>
      <c r="D77" s="14"/>
      <c r="E77" s="15" t="n">
        <v>6</v>
      </c>
      <c r="F77" s="14" t="s">
        <v>367</v>
      </c>
      <c r="G77" s="8" t="n">
        <v>6</v>
      </c>
      <c r="H77" s="14" t="s">
        <v>96</v>
      </c>
      <c r="I77" s="14" t="s">
        <v>45</v>
      </c>
      <c r="J77" s="14" t="s">
        <v>504</v>
      </c>
      <c r="K77" s="8" t="n">
        <v>2</v>
      </c>
      <c r="L77" s="8" t="n">
        <v>107</v>
      </c>
      <c r="M77" s="8" t="n">
        <v>2</v>
      </c>
      <c r="N77" s="8" t="n">
        <v>37</v>
      </c>
      <c r="O77" s="8" t="n">
        <v>2</v>
      </c>
      <c r="P77" s="9" t="n">
        <v>6.50551080807952</v>
      </c>
      <c r="Q77" s="10" t="n">
        <v>0.153715831008697</v>
      </c>
      <c r="R77" s="9" t="n">
        <v>5.5</v>
      </c>
      <c r="S77" s="11" t="n">
        <f aca="false">IF(AND(ISNUMBER(R77),R77&gt;1,P77&gt;0),R77/P77-1,"")</f>
        <v>-0.154562929452169</v>
      </c>
      <c r="T77" s="9" t="n">
        <f aca="false">IF(AND(ISNUMBER(P77),P77&gt;0),P77*EXP('Read me'!$B$22),"")</f>
        <v>7.94584884422912</v>
      </c>
    </row>
    <row r="78" customFormat="false" ht="15" hidden="false" customHeight="false" outlineLevel="0" collapsed="false">
      <c r="A78" s="14" t="s">
        <v>93</v>
      </c>
      <c r="B78" s="14" t="s">
        <v>42</v>
      </c>
      <c r="C78" s="14" t="s">
        <v>94</v>
      </c>
      <c r="D78" s="14"/>
      <c r="E78" s="15" t="n">
        <v>6</v>
      </c>
      <c r="F78" s="14" t="s">
        <v>367</v>
      </c>
      <c r="G78" s="8" t="n">
        <v>6</v>
      </c>
      <c r="H78" s="14" t="s">
        <v>505</v>
      </c>
      <c r="I78" s="14" t="s">
        <v>369</v>
      </c>
      <c r="J78" s="14" t="s">
        <v>506</v>
      </c>
      <c r="K78" s="8" t="n">
        <v>1</v>
      </c>
      <c r="L78" s="8" t="n">
        <v>117</v>
      </c>
      <c r="M78" s="8" t="n">
        <v>2</v>
      </c>
      <c r="N78" s="8" t="n">
        <v>78</v>
      </c>
      <c r="O78" s="8" t="n">
        <v>3</v>
      </c>
      <c r="P78" s="9" t="n">
        <v>6.55802249829701</v>
      </c>
      <c r="Q78" s="10" t="n">
        <v>0.152484990751355</v>
      </c>
      <c r="R78" s="9" t="n">
        <v>3</v>
      </c>
      <c r="S78" s="11" t="n">
        <f aca="false">IF(AND(ISNUMBER(R78),R78&gt;1,P78&gt;0),R78/P78-1,"")</f>
        <v>-0.542545027745934</v>
      </c>
      <c r="T78" s="9" t="n">
        <f aca="false">IF(AND(ISNUMBER(P78),P78&gt;0),P78*EXP('Read me'!$B$22),"")</f>
        <v>8.00998676749641</v>
      </c>
    </row>
    <row r="79" customFormat="false" ht="15" hidden="false" customHeight="false" outlineLevel="0" collapsed="false">
      <c r="A79" s="14" t="s">
        <v>93</v>
      </c>
      <c r="B79" s="14" t="s">
        <v>42</v>
      </c>
      <c r="C79" s="14" t="s">
        <v>94</v>
      </c>
      <c r="D79" s="14"/>
      <c r="E79" s="15" t="n">
        <v>6</v>
      </c>
      <c r="F79" s="14" t="s">
        <v>367</v>
      </c>
      <c r="G79" s="8" t="n">
        <v>6</v>
      </c>
      <c r="H79" s="14" t="s">
        <v>507</v>
      </c>
      <c r="I79" s="14" t="s">
        <v>132</v>
      </c>
      <c r="J79" s="14" t="s">
        <v>53</v>
      </c>
      <c r="K79" s="8" t="n">
        <v>3</v>
      </c>
      <c r="L79" s="8" t="n">
        <v>104</v>
      </c>
      <c r="M79" s="8" t="n">
        <v>2</v>
      </c>
      <c r="N79" s="8" t="n">
        <v>43</v>
      </c>
      <c r="O79" s="8" t="n">
        <v>4</v>
      </c>
      <c r="P79" s="9" t="n">
        <v>12.4596718360415</v>
      </c>
      <c r="Q79" s="10" t="n">
        <v>0.080258935641254</v>
      </c>
      <c r="R79" s="9" t="n">
        <v>11</v>
      </c>
      <c r="S79" s="11" t="n">
        <f aca="false">IF(AND(ISNUMBER(R79),R79&gt;1,P79&gt;0),R79/P79-1,"")</f>
        <v>-0.117151707946206</v>
      </c>
      <c r="T79" s="9" t="n">
        <f aca="false">IF(AND(ISNUMBER(P79),P79&gt;0),P79*EXP('Read me'!$B$22),"")</f>
        <v>15.2182775463117</v>
      </c>
    </row>
    <row r="80" customFormat="false" ht="15" hidden="false" customHeight="false" outlineLevel="0" collapsed="false">
      <c r="A80" s="14" t="s">
        <v>93</v>
      </c>
      <c r="B80" s="14" t="s">
        <v>42</v>
      </c>
      <c r="C80" s="14" t="s">
        <v>94</v>
      </c>
      <c r="D80" s="14"/>
      <c r="E80" s="15" t="n">
        <v>6</v>
      </c>
      <c r="F80" s="14" t="s">
        <v>367</v>
      </c>
      <c r="G80" s="8" t="n">
        <v>6</v>
      </c>
      <c r="H80" s="14" t="s">
        <v>508</v>
      </c>
      <c r="I80" s="14" t="s">
        <v>206</v>
      </c>
      <c r="J80" s="14" t="s">
        <v>230</v>
      </c>
      <c r="K80" s="8" t="n">
        <v>5</v>
      </c>
      <c r="L80" s="8" t="n">
        <v>109</v>
      </c>
      <c r="M80" s="8" t="n">
        <v>2</v>
      </c>
      <c r="N80" s="8" t="n">
        <v>21</v>
      </c>
      <c r="O80" s="8" t="n">
        <v>5</v>
      </c>
      <c r="P80" s="9" t="n">
        <v>16.8519170418598</v>
      </c>
      <c r="Q80" s="10" t="n">
        <v>0.0593404297870694</v>
      </c>
      <c r="R80" s="9" t="n">
        <v>17</v>
      </c>
      <c r="S80" s="11" t="n">
        <f aca="false">IF(AND(ISNUMBER(R80),R80&gt;1,P80&gt;0),R80/P80-1,"")</f>
        <v>0.0087873063801811</v>
      </c>
      <c r="T80" s="9" t="n">
        <f aca="false">IF(AND(ISNUMBER(P80),P80&gt;0),P80*EXP('Read me'!$B$22),"")</f>
        <v>20.5829779552139</v>
      </c>
    </row>
    <row r="81" customFormat="false" ht="15" hidden="false" customHeight="false" outlineLevel="0" collapsed="false">
      <c r="A81" s="14" t="s">
        <v>93</v>
      </c>
      <c r="B81" s="14" t="s">
        <v>42</v>
      </c>
      <c r="C81" s="14" t="s">
        <v>94</v>
      </c>
      <c r="D81" s="14"/>
      <c r="E81" s="15" t="n">
        <v>6</v>
      </c>
      <c r="F81" s="14" t="s">
        <v>367</v>
      </c>
      <c r="G81" s="8" t="n">
        <v>6</v>
      </c>
      <c r="H81" s="14" t="s">
        <v>509</v>
      </c>
      <c r="I81" s="14" t="s">
        <v>246</v>
      </c>
      <c r="J81" s="14" t="s">
        <v>73</v>
      </c>
      <c r="K81" s="8" t="n">
        <v>4</v>
      </c>
      <c r="L81" s="8" t="n">
        <v>98</v>
      </c>
      <c r="M81" s="8" t="n">
        <v>2</v>
      </c>
      <c r="N81" s="8" t="n">
        <v>14</v>
      </c>
      <c r="O81" s="8" t="n">
        <v>6</v>
      </c>
      <c r="P81" s="9" t="n">
        <v>140.888528391018</v>
      </c>
      <c r="Q81" s="10" t="n">
        <v>0.0070978099595491</v>
      </c>
      <c r="R81" s="9" t="n">
        <v>126</v>
      </c>
      <c r="S81" s="11" t="n">
        <f aca="false">IF(AND(ISNUMBER(R81),R81&gt;1,P81&gt;0),R81/P81-1,"")</f>
        <v>-0.105675945096801</v>
      </c>
      <c r="T81" s="9" t="n">
        <f aca="false">IF(AND(ISNUMBER(P81),P81&gt;0),P81*EXP('Read me'!$B$22),"")</f>
        <v>172.081637169917</v>
      </c>
    </row>
    <row r="82" customFormat="false" ht="15" hidden="false" customHeight="false" outlineLevel="0" collapsed="false">
      <c r="A82" s="14" t="s">
        <v>97</v>
      </c>
      <c r="B82" s="14" t="s">
        <v>98</v>
      </c>
      <c r="C82" s="14" t="s">
        <v>99</v>
      </c>
      <c r="D82" s="14" t="s">
        <v>436</v>
      </c>
      <c r="E82" s="15" t="n">
        <v>17.5</v>
      </c>
      <c r="F82" s="14" t="s">
        <v>388</v>
      </c>
      <c r="G82" s="8" t="n">
        <v>9</v>
      </c>
      <c r="H82" s="14" t="s">
        <v>100</v>
      </c>
      <c r="I82" s="14" t="s">
        <v>101</v>
      </c>
      <c r="J82" s="14" t="s">
        <v>102</v>
      </c>
      <c r="K82" s="8" t="n">
        <v>1</v>
      </c>
      <c r="L82" s="8" t="n">
        <v>98</v>
      </c>
      <c r="M82" s="8" t="n">
        <v>5</v>
      </c>
      <c r="N82" s="8" t="n">
        <v>22</v>
      </c>
      <c r="O82" s="8" t="n">
        <v>1</v>
      </c>
      <c r="P82" s="9" t="n">
        <v>1.75227007036663</v>
      </c>
      <c r="Q82" s="10" t="n">
        <v>0.570688284249909</v>
      </c>
      <c r="R82" s="9" t="n">
        <v>2.2</v>
      </c>
      <c r="S82" s="11" t="n">
        <f aca="false">IF(AND(ISNUMBER(R82),R82&gt;1,P82&gt;0),R82/P82-1,"")</f>
        <v>0.255514225349801</v>
      </c>
      <c r="T82" s="9" t="n">
        <f aca="false">IF(AND(ISNUMBER(P82),P82&gt;0),P82*EXP('Read me'!$B$22),"")</f>
        <v>2.14022749698732</v>
      </c>
    </row>
    <row r="83" customFormat="false" ht="15" hidden="false" customHeight="false" outlineLevel="0" collapsed="false">
      <c r="A83" s="14" t="s">
        <v>97</v>
      </c>
      <c r="B83" s="14" t="s">
        <v>98</v>
      </c>
      <c r="C83" s="14" t="s">
        <v>99</v>
      </c>
      <c r="D83" s="14" t="s">
        <v>436</v>
      </c>
      <c r="E83" s="15" t="n">
        <v>17.5</v>
      </c>
      <c r="F83" s="14" t="s">
        <v>388</v>
      </c>
      <c r="G83" s="8" t="n">
        <v>9</v>
      </c>
      <c r="H83" s="14" t="s">
        <v>103</v>
      </c>
      <c r="I83" s="14" t="s">
        <v>510</v>
      </c>
      <c r="J83" s="14" t="s">
        <v>511</v>
      </c>
      <c r="K83" s="8" t="n">
        <v>6</v>
      </c>
      <c r="L83" s="8" t="n">
        <v>0</v>
      </c>
      <c r="M83" s="8" t="n">
        <v>4</v>
      </c>
      <c r="N83" s="8" t="n">
        <v>178</v>
      </c>
      <c r="O83" s="8" t="n">
        <v>2</v>
      </c>
      <c r="P83" s="9" t="n">
        <v>3.63165835807926</v>
      </c>
      <c r="Q83" s="10" t="n">
        <v>0.275356297702212</v>
      </c>
      <c r="R83" s="9" t="n">
        <v>2.5</v>
      </c>
      <c r="S83" s="11" t="n">
        <f aca="false">IF(AND(ISNUMBER(R83),R83&gt;1,P83&gt;0),R83/P83-1,"")</f>
        <v>-0.31160925574447</v>
      </c>
      <c r="T83" s="9" t="n">
        <f aca="false">IF(AND(ISNUMBER(P83),P83&gt;0),P83*EXP('Read me'!$B$22),"")</f>
        <v>4.43571753525345</v>
      </c>
    </row>
    <row r="84" customFormat="false" ht="15" hidden="false" customHeight="false" outlineLevel="0" collapsed="false">
      <c r="A84" s="14" t="s">
        <v>97</v>
      </c>
      <c r="B84" s="14" t="s">
        <v>98</v>
      </c>
      <c r="C84" s="14" t="s">
        <v>99</v>
      </c>
      <c r="D84" s="14" t="s">
        <v>436</v>
      </c>
      <c r="E84" s="15" t="n">
        <v>17.5</v>
      </c>
      <c r="F84" s="14" t="s">
        <v>388</v>
      </c>
      <c r="G84" s="8" t="n">
        <v>9</v>
      </c>
      <c r="H84" s="14" t="s">
        <v>512</v>
      </c>
      <c r="I84" s="14" t="s">
        <v>513</v>
      </c>
      <c r="J84" s="14" t="s">
        <v>514</v>
      </c>
      <c r="K84" s="8" t="n">
        <v>7</v>
      </c>
      <c r="L84" s="8" t="n">
        <v>0</v>
      </c>
      <c r="M84" s="8" t="n">
        <v>4</v>
      </c>
      <c r="N84" s="8"/>
      <c r="O84" s="8" t="n">
        <v>3</v>
      </c>
      <c r="P84" s="9" t="n">
        <v>9.66122976854201</v>
      </c>
      <c r="Q84" s="10" t="n">
        <v>0.103506491819096</v>
      </c>
      <c r="R84" s="9" t="n">
        <v>5</v>
      </c>
      <c r="S84" s="11" t="n">
        <f aca="false">IF(AND(ISNUMBER(R84),R84&gt;1,P84&gt;0),R84/P84-1,"")</f>
        <v>-0.48246754090452</v>
      </c>
      <c r="T84" s="9" t="n">
        <f aca="false">IF(AND(ISNUMBER(P84),P84&gt;0),P84*EXP('Read me'!$B$22),"")</f>
        <v>11.8002526865163</v>
      </c>
    </row>
    <row r="85" customFormat="false" ht="15" hidden="false" customHeight="false" outlineLevel="0" collapsed="false">
      <c r="A85" s="14" t="s">
        <v>97</v>
      </c>
      <c r="B85" s="14" t="s">
        <v>98</v>
      </c>
      <c r="C85" s="14" t="s">
        <v>99</v>
      </c>
      <c r="D85" s="14" t="s">
        <v>436</v>
      </c>
      <c r="E85" s="15" t="n">
        <v>17.5</v>
      </c>
      <c r="F85" s="14" t="s">
        <v>388</v>
      </c>
      <c r="G85" s="8" t="n">
        <v>9</v>
      </c>
      <c r="H85" s="14" t="s">
        <v>515</v>
      </c>
      <c r="I85" s="14" t="s">
        <v>516</v>
      </c>
      <c r="J85" s="14" t="s">
        <v>517</v>
      </c>
      <c r="K85" s="8" t="n">
        <v>9</v>
      </c>
      <c r="L85" s="8" t="n">
        <v>0</v>
      </c>
      <c r="M85" s="8" t="n">
        <v>3</v>
      </c>
      <c r="N85" s="8" t="n">
        <v>38</v>
      </c>
      <c r="O85" s="8" t="n">
        <v>4</v>
      </c>
      <c r="P85" s="9" t="n">
        <v>55.9438831244989</v>
      </c>
      <c r="Q85" s="10" t="n">
        <v>0.0178750552187193</v>
      </c>
      <c r="R85" s="9" t="n">
        <v>41</v>
      </c>
      <c r="S85" s="11" t="n">
        <f aca="false">IF(AND(ISNUMBER(R85),R85&gt;1,P85&gt;0),R85/P85-1,"")</f>
        <v>-0.267122736032506</v>
      </c>
      <c r="T85" s="9" t="n">
        <f aca="false">IF(AND(ISNUMBER(P85),P85&gt;0),P85*EXP('Read me'!$B$22),"")</f>
        <v>68.3300131504531</v>
      </c>
    </row>
    <row r="86" customFormat="false" ht="15" hidden="false" customHeight="false" outlineLevel="0" collapsed="false">
      <c r="A86" s="14" t="s">
        <v>97</v>
      </c>
      <c r="B86" s="14" t="s">
        <v>98</v>
      </c>
      <c r="C86" s="14" t="s">
        <v>99</v>
      </c>
      <c r="D86" s="14" t="s">
        <v>436</v>
      </c>
      <c r="E86" s="15" t="n">
        <v>17.5</v>
      </c>
      <c r="F86" s="14" t="s">
        <v>388</v>
      </c>
      <c r="G86" s="8" t="n">
        <v>9</v>
      </c>
      <c r="H86" s="14" t="s">
        <v>518</v>
      </c>
      <c r="I86" s="14" t="s">
        <v>138</v>
      </c>
      <c r="J86" s="14" t="s">
        <v>139</v>
      </c>
      <c r="K86" s="8" t="n">
        <v>5</v>
      </c>
      <c r="L86" s="8" t="n">
        <v>0</v>
      </c>
      <c r="M86" s="8" t="n">
        <v>4</v>
      </c>
      <c r="N86" s="8" t="n">
        <v>12</v>
      </c>
      <c r="O86" s="8" t="n">
        <v>5</v>
      </c>
      <c r="P86" s="9" t="n">
        <v>63.3287901479834</v>
      </c>
      <c r="Q86" s="10" t="n">
        <v>0.0157906064155536</v>
      </c>
      <c r="R86" s="9" t="n">
        <v>34</v>
      </c>
      <c r="S86" s="11" t="n">
        <f aca="false">IF(AND(ISNUMBER(R86),R86&gt;1,P86&gt;0),R86/P86-1,"")</f>
        <v>-0.463119381871174</v>
      </c>
      <c r="T86" s="9" t="n">
        <f aca="false">IF(AND(ISNUMBER(P86),P86&gt;0),P86*EXP('Read me'!$B$22),"")</f>
        <v>77.3499589576935</v>
      </c>
    </row>
    <row r="87" customFormat="false" ht="15" hidden="false" customHeight="false" outlineLevel="0" collapsed="false">
      <c r="A87" s="14" t="s">
        <v>97</v>
      </c>
      <c r="B87" s="14" t="s">
        <v>98</v>
      </c>
      <c r="C87" s="14" t="s">
        <v>99</v>
      </c>
      <c r="D87" s="14" t="s">
        <v>436</v>
      </c>
      <c r="E87" s="15" t="n">
        <v>17.5</v>
      </c>
      <c r="F87" s="14" t="s">
        <v>388</v>
      </c>
      <c r="G87" s="8" t="n">
        <v>9</v>
      </c>
      <c r="H87" s="14" t="s">
        <v>519</v>
      </c>
      <c r="I87" s="14" t="s">
        <v>520</v>
      </c>
      <c r="J87" s="14" t="s">
        <v>521</v>
      </c>
      <c r="K87" s="8" t="n">
        <v>4</v>
      </c>
      <c r="L87" s="8" t="n">
        <v>0</v>
      </c>
      <c r="M87" s="8" t="n">
        <v>4</v>
      </c>
      <c r="N87" s="8" t="n">
        <v>22</v>
      </c>
      <c r="O87" s="8" t="n">
        <v>6</v>
      </c>
      <c r="P87" s="9" t="n">
        <v>128.795515114166</v>
      </c>
      <c r="Q87" s="10" t="n">
        <v>0.0077642455105178</v>
      </c>
      <c r="R87" s="9" t="n">
        <v>34</v>
      </c>
      <c r="S87" s="11" t="n">
        <f aca="false">IF(AND(ISNUMBER(R87),R87&gt;1,P87&gt;0),R87/P87-1,"")</f>
        <v>-0.736015652642392</v>
      </c>
      <c r="T87" s="9" t="n">
        <f aca="false">IF(AND(ISNUMBER(P87),P87&gt;0),P87*EXP('Read me'!$B$22),"")</f>
        <v>157.311197399102</v>
      </c>
    </row>
    <row r="88" customFormat="false" ht="15" hidden="false" customHeight="false" outlineLevel="0" collapsed="false">
      <c r="A88" s="14" t="s">
        <v>97</v>
      </c>
      <c r="B88" s="14" t="s">
        <v>98</v>
      </c>
      <c r="C88" s="14" t="s">
        <v>99</v>
      </c>
      <c r="D88" s="14" t="s">
        <v>436</v>
      </c>
      <c r="E88" s="15" t="n">
        <v>17.5</v>
      </c>
      <c r="F88" s="14" t="s">
        <v>388</v>
      </c>
      <c r="G88" s="8" t="n">
        <v>9</v>
      </c>
      <c r="H88" s="14" t="s">
        <v>522</v>
      </c>
      <c r="I88" s="14" t="s">
        <v>523</v>
      </c>
      <c r="J88" s="14" t="s">
        <v>524</v>
      </c>
      <c r="K88" s="8" t="n">
        <v>3</v>
      </c>
      <c r="L88" s="8" t="n">
        <v>0</v>
      </c>
      <c r="M88" s="8" t="n">
        <v>4</v>
      </c>
      <c r="N88" s="8" t="n">
        <v>16</v>
      </c>
      <c r="O88" s="8" t="n">
        <v>7</v>
      </c>
      <c r="P88" s="9" t="n">
        <v>179.575985540862</v>
      </c>
      <c r="Q88" s="10" t="n">
        <v>0.0055686733222603</v>
      </c>
      <c r="R88" s="9" t="n">
        <v>34</v>
      </c>
      <c r="S88" s="11" t="n">
        <f aca="false">IF(AND(ISNUMBER(R88),R88&gt;1,P88&gt;0),R88/P88-1,"")</f>
        <v>-0.81066510704315</v>
      </c>
      <c r="T88" s="9" t="n">
        <f aca="false">IF(AND(ISNUMBER(P88),P88&gt;0),P88*EXP('Read me'!$B$22),"")</f>
        <v>219.33460403894</v>
      </c>
    </row>
    <row r="89" customFormat="false" ht="15" hidden="false" customHeight="false" outlineLevel="0" collapsed="false">
      <c r="A89" s="14" t="s">
        <v>97</v>
      </c>
      <c r="B89" s="14" t="s">
        <v>98</v>
      </c>
      <c r="C89" s="14" t="s">
        <v>99</v>
      </c>
      <c r="D89" s="14" t="s">
        <v>436</v>
      </c>
      <c r="E89" s="15" t="n">
        <v>17.5</v>
      </c>
      <c r="F89" s="14" t="s">
        <v>388</v>
      </c>
      <c r="G89" s="8" t="n">
        <v>9</v>
      </c>
      <c r="H89" s="14" t="s">
        <v>525</v>
      </c>
      <c r="I89" s="14" t="s">
        <v>526</v>
      </c>
      <c r="J89" s="14" t="s">
        <v>527</v>
      </c>
      <c r="K89" s="8" t="n">
        <v>2</v>
      </c>
      <c r="L89" s="8" t="n">
        <v>0</v>
      </c>
      <c r="M89" s="8" t="n">
        <v>5</v>
      </c>
      <c r="N89" s="8" t="n">
        <v>8</v>
      </c>
      <c r="O89" s="8" t="n">
        <v>8</v>
      </c>
      <c r="P89" s="9" t="n">
        <v>476.59982659415</v>
      </c>
      <c r="Q89" s="10" t="n">
        <v>0.0020981963152318</v>
      </c>
      <c r="R89" s="9" t="n">
        <v>201</v>
      </c>
      <c r="S89" s="11" t="n">
        <f aca="false">IF(AND(ISNUMBER(R89),R89&gt;1,P89&gt;0),R89/P89-1,"")</f>
        <v>-0.578262540638391</v>
      </c>
      <c r="T89" s="9" t="n">
        <f aca="false">IF(AND(ISNUMBER(P89),P89&gt;0),P89*EXP('Read me'!$B$22),"")</f>
        <v>582.120342740753</v>
      </c>
    </row>
    <row r="90" customFormat="false" ht="15" hidden="false" customHeight="false" outlineLevel="0" collapsed="false">
      <c r="A90" s="14" t="s">
        <v>97</v>
      </c>
      <c r="B90" s="14" t="s">
        <v>98</v>
      </c>
      <c r="C90" s="14" t="s">
        <v>99</v>
      </c>
      <c r="D90" s="14" t="s">
        <v>436</v>
      </c>
      <c r="E90" s="15" t="n">
        <v>17.5</v>
      </c>
      <c r="F90" s="14" t="s">
        <v>388</v>
      </c>
      <c r="G90" s="8" t="n">
        <v>9</v>
      </c>
      <c r="H90" s="14" t="s">
        <v>528</v>
      </c>
      <c r="I90" s="14" t="s">
        <v>529</v>
      </c>
      <c r="J90" s="14" t="s">
        <v>530</v>
      </c>
      <c r="K90" s="8" t="n">
        <v>8</v>
      </c>
      <c r="L90" s="8" t="n">
        <v>0</v>
      </c>
      <c r="M90" s="8" t="n">
        <v>4</v>
      </c>
      <c r="N90" s="8" t="n">
        <v>12</v>
      </c>
      <c r="O90" s="8" t="n">
        <v>9</v>
      </c>
      <c r="P90" s="9" t="n">
        <v>739.563221054271</v>
      </c>
      <c r="Q90" s="10" t="n">
        <v>0.0013521494464996</v>
      </c>
      <c r="R90" s="9" t="n">
        <v>201</v>
      </c>
      <c r="S90" s="11" t="n">
        <f aca="false">IF(AND(ISNUMBER(R90),R90&gt;1,P90&gt;0),R90/P90-1,"")</f>
        <v>-0.728217961253579</v>
      </c>
      <c r="T90" s="9" t="n">
        <f aca="false">IF(AND(ISNUMBER(P90),P90&gt;0),P90*EXP('Read me'!$B$22),"")</f>
        <v>903.304558029506</v>
      </c>
    </row>
    <row r="91" customFormat="false" ht="15" hidden="false" customHeight="false" outlineLevel="0" collapsed="false">
      <c r="A91" s="14" t="s">
        <v>104</v>
      </c>
      <c r="B91" s="14" t="s">
        <v>49</v>
      </c>
      <c r="C91" s="14" t="s">
        <v>105</v>
      </c>
      <c r="D91" s="14"/>
      <c r="E91" s="15" t="n">
        <v>5</v>
      </c>
      <c r="F91" s="14" t="s">
        <v>388</v>
      </c>
      <c r="G91" s="8" t="n">
        <v>20</v>
      </c>
      <c r="H91" s="14" t="s">
        <v>106</v>
      </c>
      <c r="I91" s="14" t="s">
        <v>107</v>
      </c>
      <c r="J91" s="14" t="s">
        <v>108</v>
      </c>
      <c r="K91" s="8" t="n">
        <v>20</v>
      </c>
      <c r="L91" s="8" t="n">
        <v>85</v>
      </c>
      <c r="M91" s="8" t="n">
        <v>4</v>
      </c>
      <c r="N91" s="8" t="n">
        <v>13</v>
      </c>
      <c r="O91" s="8" t="n">
        <v>1</v>
      </c>
      <c r="P91" s="9" t="n">
        <v>6.60039018203497</v>
      </c>
      <c r="Q91" s="10" t="n">
        <v>0.151506194697673</v>
      </c>
      <c r="R91" s="9" t="n">
        <v>5.5</v>
      </c>
      <c r="S91" s="11" t="n">
        <f aca="false">IF(AND(ISNUMBER(R91),R91&gt;1,P91&gt;0),R91/P91-1,"")</f>
        <v>-0.166715929162798</v>
      </c>
      <c r="T91" s="9" t="n">
        <f aca="false">IF(AND(ISNUMBER(P91),P91&gt;0),P91*EXP('Read me'!$B$22),"")</f>
        <v>8.06173477327082</v>
      </c>
    </row>
    <row r="92" customFormat="false" ht="15" hidden="false" customHeight="false" outlineLevel="0" collapsed="false">
      <c r="A92" s="14" t="s">
        <v>104</v>
      </c>
      <c r="B92" s="14" t="s">
        <v>49</v>
      </c>
      <c r="C92" s="14" t="s">
        <v>105</v>
      </c>
      <c r="D92" s="14"/>
      <c r="E92" s="15" t="n">
        <v>5</v>
      </c>
      <c r="F92" s="14" t="s">
        <v>388</v>
      </c>
      <c r="G92" s="8" t="n">
        <v>20</v>
      </c>
      <c r="H92" s="14" t="s">
        <v>109</v>
      </c>
      <c r="I92" s="14" t="s">
        <v>531</v>
      </c>
      <c r="J92" s="14" t="s">
        <v>532</v>
      </c>
      <c r="K92" s="8" t="n">
        <v>1</v>
      </c>
      <c r="L92" s="8" t="n">
        <v>88</v>
      </c>
      <c r="M92" s="8" t="n">
        <v>4</v>
      </c>
      <c r="N92" s="8" t="n">
        <v>13</v>
      </c>
      <c r="O92" s="8" t="n">
        <v>2</v>
      </c>
      <c r="P92" s="9" t="n">
        <v>8.73666412473841</v>
      </c>
      <c r="Q92" s="10" t="n">
        <v>0.114460163023601</v>
      </c>
      <c r="R92" s="9" t="n">
        <v>5.5</v>
      </c>
      <c r="S92" s="11" t="n">
        <f aca="false">IF(AND(ISNUMBER(R92),R92&gt;1,P92&gt;0),R92/P92-1,"")</f>
        <v>-0.370469103370197</v>
      </c>
      <c r="T92" s="9" t="n">
        <f aca="false">IF(AND(ISNUMBER(P92),P92&gt;0),P92*EXP('Read me'!$B$22),"")</f>
        <v>10.6709856590745</v>
      </c>
    </row>
    <row r="93" customFormat="false" ht="15" hidden="false" customHeight="false" outlineLevel="0" collapsed="false">
      <c r="A93" s="14" t="s">
        <v>104</v>
      </c>
      <c r="B93" s="14" t="s">
        <v>49</v>
      </c>
      <c r="C93" s="14" t="s">
        <v>105</v>
      </c>
      <c r="D93" s="14"/>
      <c r="E93" s="15" t="n">
        <v>5</v>
      </c>
      <c r="F93" s="14" t="s">
        <v>388</v>
      </c>
      <c r="G93" s="8" t="n">
        <v>20</v>
      </c>
      <c r="H93" s="14" t="s">
        <v>533</v>
      </c>
      <c r="I93" s="14" t="s">
        <v>415</v>
      </c>
      <c r="J93" s="14" t="s">
        <v>534</v>
      </c>
      <c r="K93" s="8" t="n">
        <v>11</v>
      </c>
      <c r="L93" s="8" t="n">
        <v>84</v>
      </c>
      <c r="M93" s="8" t="n">
        <v>5</v>
      </c>
      <c r="N93" s="8" t="n">
        <v>21</v>
      </c>
      <c r="O93" s="8" t="n">
        <v>3</v>
      </c>
      <c r="P93" s="9" t="n">
        <v>10.5660712768089</v>
      </c>
      <c r="Q93" s="10" t="n">
        <v>0.0946425567083642</v>
      </c>
      <c r="R93" s="9" t="n">
        <v>9</v>
      </c>
      <c r="S93" s="11" t="n">
        <f aca="false">IF(AND(ISNUMBER(R93),R93&gt;1,P93&gt;0),R93/P93-1,"")</f>
        <v>-0.148216989624722</v>
      </c>
      <c r="T93" s="9" t="n">
        <f aca="false">IF(AND(ISNUMBER(P93),P93&gt;0),P93*EXP('Read me'!$B$22),"")</f>
        <v>12.9054286004113</v>
      </c>
    </row>
    <row r="94" customFormat="false" ht="15" hidden="false" customHeight="false" outlineLevel="0" collapsed="false">
      <c r="A94" s="14" t="s">
        <v>104</v>
      </c>
      <c r="B94" s="14" t="s">
        <v>49</v>
      </c>
      <c r="C94" s="14" t="s">
        <v>105</v>
      </c>
      <c r="D94" s="14"/>
      <c r="E94" s="15" t="n">
        <v>5</v>
      </c>
      <c r="F94" s="14" t="s">
        <v>388</v>
      </c>
      <c r="G94" s="8" t="n">
        <v>20</v>
      </c>
      <c r="H94" s="14" t="s">
        <v>535</v>
      </c>
      <c r="I94" s="14" t="s">
        <v>394</v>
      </c>
      <c r="J94" s="14" t="s">
        <v>536</v>
      </c>
      <c r="K94" s="8" t="n">
        <v>10</v>
      </c>
      <c r="L94" s="8" t="n">
        <v>85</v>
      </c>
      <c r="M94" s="8" t="n">
        <v>3</v>
      </c>
      <c r="N94" s="8" t="n">
        <v>21</v>
      </c>
      <c r="O94" s="8" t="n">
        <v>4</v>
      </c>
      <c r="P94" s="9" t="n">
        <v>11.3189484734168</v>
      </c>
      <c r="Q94" s="10" t="n">
        <v>0.0883474292995113</v>
      </c>
      <c r="R94" s="9" t="n">
        <v>8</v>
      </c>
      <c r="S94" s="11" t="n">
        <f aca="false">IF(AND(ISNUMBER(R94),R94&gt;1,P94&gt;0),R94/P94-1,"")</f>
        <v>-0.293220565603909</v>
      </c>
      <c r="T94" s="9" t="n">
        <f aca="false">IF(AND(ISNUMBER(P94),P94&gt;0),P94*EXP('Read me'!$B$22),"")</f>
        <v>13.8249948849041</v>
      </c>
    </row>
    <row r="95" customFormat="false" ht="15" hidden="false" customHeight="false" outlineLevel="0" collapsed="false">
      <c r="A95" s="14" t="s">
        <v>104</v>
      </c>
      <c r="B95" s="14" t="s">
        <v>49</v>
      </c>
      <c r="C95" s="14" t="s">
        <v>105</v>
      </c>
      <c r="D95" s="14"/>
      <c r="E95" s="15" t="n">
        <v>5</v>
      </c>
      <c r="F95" s="14" t="s">
        <v>388</v>
      </c>
      <c r="G95" s="8" t="n">
        <v>20</v>
      </c>
      <c r="H95" s="14" t="s">
        <v>537</v>
      </c>
      <c r="I95" s="14" t="s">
        <v>171</v>
      </c>
      <c r="J95" s="14" t="s">
        <v>538</v>
      </c>
      <c r="K95" s="8" t="n">
        <v>9</v>
      </c>
      <c r="L95" s="8" t="n">
        <v>94</v>
      </c>
      <c r="M95" s="8" t="n">
        <v>6</v>
      </c>
      <c r="N95" s="8" t="n">
        <v>13</v>
      </c>
      <c r="O95" s="8" t="n">
        <v>5</v>
      </c>
      <c r="P95" s="9" t="n">
        <v>11.7346833013274</v>
      </c>
      <c r="Q95" s="10" t="n">
        <v>0.085217468108993</v>
      </c>
      <c r="R95" s="9" t="n">
        <v>8</v>
      </c>
      <c r="S95" s="11" t="n">
        <f aca="false">IF(AND(ISNUMBER(R95),R95&gt;1,P95&gt;0),R95/P95-1,"")</f>
        <v>-0.318260255128056</v>
      </c>
      <c r="T95" s="9" t="n">
        <f aca="false">IF(AND(ISNUMBER(P95),P95&gt;0),P95*EXP('Read me'!$B$22),"")</f>
        <v>14.3327745503774</v>
      </c>
    </row>
    <row r="96" customFormat="false" ht="15" hidden="false" customHeight="false" outlineLevel="0" collapsed="false">
      <c r="A96" s="14" t="s">
        <v>104</v>
      </c>
      <c r="B96" s="14" t="s">
        <v>49</v>
      </c>
      <c r="C96" s="14" t="s">
        <v>105</v>
      </c>
      <c r="D96" s="14"/>
      <c r="E96" s="15" t="n">
        <v>5</v>
      </c>
      <c r="F96" s="14" t="s">
        <v>388</v>
      </c>
      <c r="G96" s="8" t="n">
        <v>20</v>
      </c>
      <c r="H96" s="14" t="s">
        <v>539</v>
      </c>
      <c r="I96" s="14" t="s">
        <v>540</v>
      </c>
      <c r="J96" s="14" t="s">
        <v>541</v>
      </c>
      <c r="K96" s="8" t="n">
        <v>5</v>
      </c>
      <c r="L96" s="8" t="n">
        <v>82</v>
      </c>
      <c r="M96" s="8" t="n">
        <v>3</v>
      </c>
      <c r="N96" s="8" t="n">
        <v>24</v>
      </c>
      <c r="O96" s="8" t="n">
        <v>6</v>
      </c>
      <c r="P96" s="9" t="n">
        <v>13.6083502370257</v>
      </c>
      <c r="Q96" s="10" t="n">
        <v>0.0734842932892183</v>
      </c>
      <c r="R96" s="9" t="n">
        <v>17</v>
      </c>
      <c r="S96" s="11" t="n">
        <f aca="false">IF(AND(ISNUMBER(R96),R96&gt;1,P96&gt;0),R96/P96-1,"")</f>
        <v>0.249232985916711</v>
      </c>
      <c r="T96" s="9" t="n">
        <f aca="false">IF(AND(ISNUMBER(P96),P96&gt;0),P96*EXP('Read me'!$B$22),"")</f>
        <v>16.6212765135128</v>
      </c>
    </row>
    <row r="97" customFormat="false" ht="15" hidden="false" customHeight="false" outlineLevel="0" collapsed="false">
      <c r="A97" s="14" t="s">
        <v>104</v>
      </c>
      <c r="B97" s="14" t="s">
        <v>49</v>
      </c>
      <c r="C97" s="14" t="s">
        <v>105</v>
      </c>
      <c r="D97" s="14"/>
      <c r="E97" s="15" t="n">
        <v>5</v>
      </c>
      <c r="F97" s="14" t="s">
        <v>388</v>
      </c>
      <c r="G97" s="8" t="n">
        <v>20</v>
      </c>
      <c r="H97" s="14" t="s">
        <v>542</v>
      </c>
      <c r="I97" s="14" t="s">
        <v>144</v>
      </c>
      <c r="J97" s="14" t="s">
        <v>478</v>
      </c>
      <c r="K97" s="8" t="n">
        <v>3</v>
      </c>
      <c r="L97" s="8" t="n">
        <v>92</v>
      </c>
      <c r="M97" s="8" t="n">
        <v>4</v>
      </c>
      <c r="N97" s="8" t="n">
        <v>13</v>
      </c>
      <c r="O97" s="8" t="n">
        <v>7</v>
      </c>
      <c r="P97" s="9" t="n">
        <v>15.4928307074899</v>
      </c>
      <c r="Q97" s="10" t="n">
        <v>0.0645459838089212</v>
      </c>
      <c r="R97" s="9" t="n">
        <v>17</v>
      </c>
      <c r="S97" s="11" t="n">
        <f aca="false">IF(AND(ISNUMBER(R97),R97&gt;1,P97&gt;0),R97/P97-1,"")</f>
        <v>0.0972817247516602</v>
      </c>
      <c r="T97" s="9" t="n">
        <f aca="false">IF(AND(ISNUMBER(P97),P97&gt;0),P97*EXP('Read me'!$B$22),"")</f>
        <v>18.9229861578367</v>
      </c>
    </row>
    <row r="98" customFormat="false" ht="15" hidden="false" customHeight="false" outlineLevel="0" collapsed="false">
      <c r="A98" s="14" t="s">
        <v>104</v>
      </c>
      <c r="B98" s="14" t="s">
        <v>49</v>
      </c>
      <c r="C98" s="14" t="s">
        <v>105</v>
      </c>
      <c r="D98" s="14"/>
      <c r="E98" s="15" t="n">
        <v>5</v>
      </c>
      <c r="F98" s="14" t="s">
        <v>388</v>
      </c>
      <c r="G98" s="8" t="n">
        <v>20</v>
      </c>
      <c r="H98" s="14" t="s">
        <v>543</v>
      </c>
      <c r="I98" s="14" t="s">
        <v>466</v>
      </c>
      <c r="J98" s="14" t="s">
        <v>395</v>
      </c>
      <c r="K98" s="8" t="n">
        <v>7</v>
      </c>
      <c r="L98" s="8" t="n">
        <v>97</v>
      </c>
      <c r="M98" s="8" t="n">
        <v>8</v>
      </c>
      <c r="N98" s="8" t="n">
        <v>21</v>
      </c>
      <c r="O98" s="8" t="n">
        <v>8</v>
      </c>
      <c r="P98" s="9" t="n">
        <v>24.3789790377302</v>
      </c>
      <c r="Q98" s="10" t="n">
        <v>0.0410189449874971</v>
      </c>
      <c r="R98" s="9" t="n">
        <v>29</v>
      </c>
      <c r="S98" s="11" t="n">
        <f aca="false">IF(AND(ISNUMBER(R98),R98&gt;1,P98&gt;0),R98/P98-1,"")</f>
        <v>0.189549404637417</v>
      </c>
      <c r="T98" s="9" t="n">
        <f aca="false">IF(AND(ISNUMBER(P98),P98&gt;0),P98*EXP('Read me'!$B$22),"")</f>
        <v>29.7765522378126</v>
      </c>
    </row>
    <row r="99" customFormat="false" ht="15" hidden="false" customHeight="false" outlineLevel="0" collapsed="false">
      <c r="A99" s="14" t="s">
        <v>104</v>
      </c>
      <c r="B99" s="14" t="s">
        <v>49</v>
      </c>
      <c r="C99" s="14" t="s">
        <v>105</v>
      </c>
      <c r="D99" s="14"/>
      <c r="E99" s="15" t="n">
        <v>5</v>
      </c>
      <c r="F99" s="14" t="s">
        <v>388</v>
      </c>
      <c r="G99" s="8" t="n">
        <v>20</v>
      </c>
      <c r="H99" s="14" t="s">
        <v>544</v>
      </c>
      <c r="I99" s="14" t="s">
        <v>252</v>
      </c>
      <c r="J99" s="14" t="s">
        <v>545</v>
      </c>
      <c r="K99" s="8" t="n">
        <v>6</v>
      </c>
      <c r="L99" s="8" t="n">
        <v>99</v>
      </c>
      <c r="M99" s="8" t="n">
        <v>5</v>
      </c>
      <c r="N99" s="8" t="n">
        <v>27</v>
      </c>
      <c r="O99" s="8" t="n">
        <v>9</v>
      </c>
      <c r="P99" s="9" t="n">
        <v>24.6413440321342</v>
      </c>
      <c r="Q99" s="10" t="n">
        <v>0.0405822019568382</v>
      </c>
      <c r="R99" s="9" t="n">
        <v>21</v>
      </c>
      <c r="S99" s="11" t="n">
        <f aca="false">IF(AND(ISNUMBER(R99),R99&gt;1,P99&gt;0),R99/P99-1,"")</f>
        <v>-0.147773758906397</v>
      </c>
      <c r="T99" s="9" t="n">
        <f aca="false">IF(AND(ISNUMBER(P99),P99&gt;0),P99*EXP('Read me'!$B$22),"")</f>
        <v>30.0970055656223</v>
      </c>
    </row>
    <row r="100" customFormat="false" ht="15" hidden="false" customHeight="false" outlineLevel="0" collapsed="false">
      <c r="A100" s="14" t="s">
        <v>104</v>
      </c>
      <c r="B100" s="14" t="s">
        <v>49</v>
      </c>
      <c r="C100" s="14" t="s">
        <v>105</v>
      </c>
      <c r="D100" s="14"/>
      <c r="E100" s="15" t="n">
        <v>5</v>
      </c>
      <c r="F100" s="14" t="s">
        <v>388</v>
      </c>
      <c r="G100" s="8" t="n">
        <v>20</v>
      </c>
      <c r="H100" s="14" t="s">
        <v>546</v>
      </c>
      <c r="I100" s="14" t="s">
        <v>212</v>
      </c>
      <c r="J100" s="14" t="s">
        <v>469</v>
      </c>
      <c r="K100" s="8" t="n">
        <v>2</v>
      </c>
      <c r="L100" s="8" t="n">
        <v>90</v>
      </c>
      <c r="M100" s="8" t="n">
        <v>8</v>
      </c>
      <c r="N100" s="8" t="n">
        <v>90</v>
      </c>
      <c r="O100" s="8" t="n">
        <v>10</v>
      </c>
      <c r="P100" s="9" t="n">
        <v>25.5586112167192</v>
      </c>
      <c r="Q100" s="10" t="n">
        <v>0.0391257565413354</v>
      </c>
      <c r="R100" s="9" t="n">
        <v>11</v>
      </c>
      <c r="S100" s="11" t="n">
        <f aca="false">IF(AND(ISNUMBER(R100),R100&gt;1,P100&gt;0),R100/P100-1,"")</f>
        <v>-0.56961667804531</v>
      </c>
      <c r="T100" s="9" t="n">
        <f aca="false">IF(AND(ISNUMBER(P100),P100&gt;0),P100*EXP('Read me'!$B$22),"")</f>
        <v>31.2173582348443</v>
      </c>
    </row>
    <row r="101" customFormat="false" ht="15" hidden="false" customHeight="false" outlineLevel="0" collapsed="false">
      <c r="A101" s="14" t="s">
        <v>104</v>
      </c>
      <c r="B101" s="14" t="s">
        <v>49</v>
      </c>
      <c r="C101" s="14" t="s">
        <v>105</v>
      </c>
      <c r="D101" s="14"/>
      <c r="E101" s="15" t="n">
        <v>5</v>
      </c>
      <c r="F101" s="14" t="s">
        <v>388</v>
      </c>
      <c r="G101" s="8" t="n">
        <v>20</v>
      </c>
      <c r="H101" s="14" t="s">
        <v>547</v>
      </c>
      <c r="I101" s="14" t="s">
        <v>400</v>
      </c>
      <c r="J101" s="14" t="s">
        <v>548</v>
      </c>
      <c r="K101" s="8" t="n">
        <v>12</v>
      </c>
      <c r="L101" s="8" t="n">
        <v>75</v>
      </c>
      <c r="M101" s="8" t="n">
        <v>6</v>
      </c>
      <c r="N101" s="8" t="n">
        <v>24</v>
      </c>
      <c r="O101" s="8" t="n">
        <v>11</v>
      </c>
      <c r="P101" s="9" t="n">
        <v>27.0743332900649</v>
      </c>
      <c r="Q101" s="10" t="n">
        <v>0.0369353508833015</v>
      </c>
      <c r="R101" s="9" t="n">
        <v>19</v>
      </c>
      <c r="S101" s="11" t="n">
        <f aca="false">IF(AND(ISNUMBER(R101),R101&gt;1,P101&gt;0),R101/P101-1,"")</f>
        <v>-0.29822833321727</v>
      </c>
      <c r="T101" s="9" t="n">
        <f aca="false">IF(AND(ISNUMBER(P101),P101&gt;0),P101*EXP('Read me'!$B$22),"")</f>
        <v>33.068665355833</v>
      </c>
    </row>
    <row r="102" customFormat="false" ht="15" hidden="false" customHeight="false" outlineLevel="0" collapsed="false">
      <c r="A102" s="14" t="s">
        <v>104</v>
      </c>
      <c r="B102" s="14" t="s">
        <v>49</v>
      </c>
      <c r="C102" s="14" t="s">
        <v>105</v>
      </c>
      <c r="D102" s="14"/>
      <c r="E102" s="15" t="n">
        <v>5</v>
      </c>
      <c r="F102" s="14" t="s">
        <v>388</v>
      </c>
      <c r="G102" s="8" t="n">
        <v>20</v>
      </c>
      <c r="H102" s="14" t="s">
        <v>549</v>
      </c>
      <c r="I102" s="14" t="s">
        <v>52</v>
      </c>
      <c r="J102" s="14" t="s">
        <v>550</v>
      </c>
      <c r="K102" s="8" t="n">
        <v>17</v>
      </c>
      <c r="L102" s="8" t="n">
        <v>93</v>
      </c>
      <c r="M102" s="8" t="n">
        <v>8</v>
      </c>
      <c r="N102" s="8" t="n">
        <v>13</v>
      </c>
      <c r="O102" s="8" t="n">
        <v>12</v>
      </c>
      <c r="P102" s="9" t="n">
        <v>35.2406843146264</v>
      </c>
      <c r="Q102" s="10" t="n">
        <v>0.0283762934644534</v>
      </c>
      <c r="R102" s="9" t="n">
        <v>21</v>
      </c>
      <c r="S102" s="11" t="n">
        <f aca="false">IF(AND(ISNUMBER(R102),R102&gt;1,P102&gt;0),R102/P102-1,"")</f>
        <v>-0.404097837246478</v>
      </c>
      <c r="T102" s="9" t="n">
        <f aca="false">IF(AND(ISNUMBER(P102),P102&gt;0),P102*EXP('Read me'!$B$22),"")</f>
        <v>43.0430690213365</v>
      </c>
    </row>
    <row r="103" customFormat="false" ht="15" hidden="false" customHeight="false" outlineLevel="0" collapsed="false">
      <c r="A103" s="14" t="s">
        <v>104</v>
      </c>
      <c r="B103" s="14" t="s">
        <v>49</v>
      </c>
      <c r="C103" s="14" t="s">
        <v>105</v>
      </c>
      <c r="D103" s="14"/>
      <c r="E103" s="15" t="n">
        <v>5</v>
      </c>
      <c r="F103" s="14" t="s">
        <v>388</v>
      </c>
      <c r="G103" s="8" t="n">
        <v>20</v>
      </c>
      <c r="H103" s="14" t="s">
        <v>551</v>
      </c>
      <c r="I103" s="14" t="s">
        <v>412</v>
      </c>
      <c r="J103" s="14" t="s">
        <v>552</v>
      </c>
      <c r="K103" s="8" t="n">
        <v>8</v>
      </c>
      <c r="L103" s="8" t="n">
        <v>69</v>
      </c>
      <c r="M103" s="8" t="n">
        <v>5</v>
      </c>
      <c r="N103" s="8" t="n">
        <v>24</v>
      </c>
      <c r="O103" s="8" t="n">
        <v>13</v>
      </c>
      <c r="P103" s="9" t="n">
        <v>36.4251792933592</v>
      </c>
      <c r="Q103" s="10" t="n">
        <v>0.0274535367951452</v>
      </c>
      <c r="R103" s="9" t="n">
        <v>41</v>
      </c>
      <c r="S103" s="11" t="n">
        <f aca="false">IF(AND(ISNUMBER(R103),R103&gt;1,P103&gt;0),R103/P103-1,"")</f>
        <v>0.125595008600955</v>
      </c>
      <c r="T103" s="9" t="n">
        <f aca="false">IF(AND(ISNUMBER(P103),P103&gt;0),P103*EXP('Read me'!$B$22),"")</f>
        <v>44.4898144553876</v>
      </c>
    </row>
    <row r="104" customFormat="false" ht="15" hidden="false" customHeight="false" outlineLevel="0" collapsed="false">
      <c r="A104" s="14" t="s">
        <v>104</v>
      </c>
      <c r="B104" s="14" t="s">
        <v>49</v>
      </c>
      <c r="C104" s="14" t="s">
        <v>105</v>
      </c>
      <c r="D104" s="14"/>
      <c r="E104" s="15" t="n">
        <v>5</v>
      </c>
      <c r="F104" s="14" t="s">
        <v>388</v>
      </c>
      <c r="G104" s="8" t="n">
        <v>20</v>
      </c>
      <c r="H104" s="14" t="s">
        <v>553</v>
      </c>
      <c r="I104" s="14" t="s">
        <v>554</v>
      </c>
      <c r="J104" s="14" t="s">
        <v>555</v>
      </c>
      <c r="K104" s="8" t="n">
        <v>19</v>
      </c>
      <c r="L104" s="8" t="n">
        <v>83</v>
      </c>
      <c r="M104" s="8" t="n">
        <v>3</v>
      </c>
      <c r="N104" s="8" t="n">
        <v>27</v>
      </c>
      <c r="O104" s="8" t="n">
        <v>14</v>
      </c>
      <c r="P104" s="9" t="n">
        <v>36.6752486815428</v>
      </c>
      <c r="Q104" s="10" t="n">
        <v>0.0272663454495745</v>
      </c>
      <c r="R104" s="9" t="n">
        <v>21</v>
      </c>
      <c r="S104" s="11" t="n">
        <f aca="false">IF(AND(ISNUMBER(R104),R104&gt;1,P104&gt;0),R104/P104-1,"")</f>
        <v>-0.427406745558934</v>
      </c>
      <c r="T104" s="9" t="n">
        <f aca="false">IF(AND(ISNUMBER(P104),P104&gt;0),P104*EXP('Read me'!$B$22),"")</f>
        <v>44.7952498958465</v>
      </c>
    </row>
    <row r="105" customFormat="false" ht="15" hidden="false" customHeight="false" outlineLevel="0" collapsed="false">
      <c r="A105" s="14" t="s">
        <v>104</v>
      </c>
      <c r="B105" s="14" t="s">
        <v>49</v>
      </c>
      <c r="C105" s="14" t="s">
        <v>105</v>
      </c>
      <c r="D105" s="14"/>
      <c r="E105" s="15" t="n">
        <v>5</v>
      </c>
      <c r="F105" s="14" t="s">
        <v>388</v>
      </c>
      <c r="G105" s="8" t="n">
        <v>20</v>
      </c>
      <c r="H105" s="14" t="s">
        <v>556</v>
      </c>
      <c r="I105" s="14" t="s">
        <v>557</v>
      </c>
      <c r="J105" s="14" t="s">
        <v>558</v>
      </c>
      <c r="K105" s="8" t="n">
        <v>18</v>
      </c>
      <c r="L105" s="8" t="n">
        <v>93</v>
      </c>
      <c r="M105" s="8" t="n">
        <v>3</v>
      </c>
      <c r="N105" s="8" t="n">
        <v>13</v>
      </c>
      <c r="O105" s="8" t="n">
        <v>15</v>
      </c>
      <c r="P105" s="9" t="n">
        <v>41.3308538553706</v>
      </c>
      <c r="Q105" s="10" t="n">
        <v>0.0241949997815024</v>
      </c>
      <c r="R105" s="9" t="n">
        <v>15</v>
      </c>
      <c r="S105" s="11" t="n">
        <f aca="false">IF(AND(ISNUMBER(R105),R105&gt;1,P105&gt;0),R105/P105-1,"")</f>
        <v>-0.637075003277464</v>
      </c>
      <c r="T105" s="9" t="n">
        <f aca="false">IF(AND(ISNUMBER(P105),P105&gt;0),P105*EXP('Read me'!$B$22),"")</f>
        <v>50.4816188960645</v>
      </c>
    </row>
    <row r="106" customFormat="false" ht="15" hidden="false" customHeight="false" outlineLevel="0" collapsed="false">
      <c r="A106" s="14" t="s">
        <v>104</v>
      </c>
      <c r="B106" s="14" t="s">
        <v>49</v>
      </c>
      <c r="C106" s="14" t="s">
        <v>105</v>
      </c>
      <c r="D106" s="14"/>
      <c r="E106" s="15" t="n">
        <v>5</v>
      </c>
      <c r="F106" s="14" t="s">
        <v>388</v>
      </c>
      <c r="G106" s="8" t="n">
        <v>20</v>
      </c>
      <c r="H106" s="14" t="s">
        <v>559</v>
      </c>
      <c r="I106" s="14" t="s">
        <v>560</v>
      </c>
      <c r="J106" s="14" t="s">
        <v>561</v>
      </c>
      <c r="K106" s="8" t="n">
        <v>14</v>
      </c>
      <c r="L106" s="8" t="n">
        <v>69</v>
      </c>
      <c r="M106" s="8" t="n">
        <v>8</v>
      </c>
      <c r="N106" s="8" t="n">
        <v>41</v>
      </c>
      <c r="O106" s="8" t="n">
        <v>16</v>
      </c>
      <c r="P106" s="9" t="n">
        <v>46.4515155736862</v>
      </c>
      <c r="Q106" s="10" t="n">
        <v>0.0215278228847818</v>
      </c>
      <c r="R106" s="9" t="n">
        <v>34</v>
      </c>
      <c r="S106" s="11" t="n">
        <f aca="false">IF(AND(ISNUMBER(R106),R106&gt;1,P106&gt;0),R106/P106-1,"")</f>
        <v>-0.268054021917418</v>
      </c>
      <c r="T106" s="9" t="n">
        <f aca="false">IF(AND(ISNUMBER(P106),P106&gt;0),P106*EXP('Read me'!$B$22),"")</f>
        <v>56.7360092424204</v>
      </c>
    </row>
    <row r="107" customFormat="false" ht="15" hidden="false" customHeight="false" outlineLevel="0" collapsed="false">
      <c r="A107" s="14" t="s">
        <v>104</v>
      </c>
      <c r="B107" s="14" t="s">
        <v>49</v>
      </c>
      <c r="C107" s="14" t="s">
        <v>105</v>
      </c>
      <c r="D107" s="14"/>
      <c r="E107" s="15" t="n">
        <v>5</v>
      </c>
      <c r="F107" s="14" t="s">
        <v>388</v>
      </c>
      <c r="G107" s="8" t="n">
        <v>20</v>
      </c>
      <c r="H107" s="14" t="s">
        <v>562</v>
      </c>
      <c r="I107" s="14" t="s">
        <v>563</v>
      </c>
      <c r="J107" s="14" t="s">
        <v>398</v>
      </c>
      <c r="K107" s="8" t="n">
        <v>16</v>
      </c>
      <c r="L107" s="8" t="n">
        <v>75</v>
      </c>
      <c r="M107" s="8" t="n">
        <v>5</v>
      </c>
      <c r="N107" s="8" t="n">
        <v>13</v>
      </c>
      <c r="O107" s="8" t="n">
        <v>17</v>
      </c>
      <c r="P107" s="9" t="n">
        <v>70.0583982091047</v>
      </c>
      <c r="Q107" s="10" t="n">
        <v>0.014273806218282</v>
      </c>
      <c r="R107" s="9" t="n">
        <v>41</v>
      </c>
      <c r="S107" s="11" t="n">
        <f aca="false">IF(AND(ISNUMBER(R107),R107&gt;1,P107&gt;0),R107/P107-1,"")</f>
        <v>-0.414773945050435</v>
      </c>
      <c r="T107" s="9" t="n">
        <f aca="false">IF(AND(ISNUMBER(P107),P107&gt;0),P107*EXP('Read me'!$B$22),"")</f>
        <v>85.569520804884</v>
      </c>
    </row>
    <row r="108" customFormat="false" ht="15" hidden="false" customHeight="false" outlineLevel="0" collapsed="false">
      <c r="A108" s="14" t="s">
        <v>104</v>
      </c>
      <c r="B108" s="14" t="s">
        <v>49</v>
      </c>
      <c r="C108" s="14" t="s">
        <v>105</v>
      </c>
      <c r="D108" s="14"/>
      <c r="E108" s="15" t="n">
        <v>5</v>
      </c>
      <c r="F108" s="14" t="s">
        <v>388</v>
      </c>
      <c r="G108" s="8" t="n">
        <v>20</v>
      </c>
      <c r="H108" s="14" t="s">
        <v>564</v>
      </c>
      <c r="I108" s="14" t="s">
        <v>565</v>
      </c>
      <c r="J108" s="14" t="s">
        <v>538</v>
      </c>
      <c r="K108" s="8" t="n">
        <v>13</v>
      </c>
      <c r="L108" s="8" t="n">
        <v>89</v>
      </c>
      <c r="M108" s="8" t="n">
        <v>4</v>
      </c>
      <c r="N108" s="8" t="n">
        <v>350</v>
      </c>
      <c r="O108" s="8" t="n">
        <v>18</v>
      </c>
      <c r="P108" s="9" t="n">
        <v>74.0391280591111</v>
      </c>
      <c r="Q108" s="10" t="n">
        <v>0.013506371917314</v>
      </c>
      <c r="R108" s="9" t="n">
        <v>21</v>
      </c>
      <c r="S108" s="11" t="n">
        <f aca="false">IF(AND(ISNUMBER(R108),R108&gt;1,P108&gt;0),R108/P108-1,"")</f>
        <v>-0.716366189736404</v>
      </c>
      <c r="T108" s="9" t="n">
        <f aca="false">IF(AND(ISNUMBER(P108),P108&gt;0),P108*EXP('Read me'!$B$22),"")</f>
        <v>90.4315952231724</v>
      </c>
    </row>
    <row r="109" customFormat="false" ht="15" hidden="false" customHeight="false" outlineLevel="0" collapsed="false">
      <c r="A109" s="14" t="s">
        <v>104</v>
      </c>
      <c r="B109" s="14" t="s">
        <v>49</v>
      </c>
      <c r="C109" s="14" t="s">
        <v>105</v>
      </c>
      <c r="D109" s="14"/>
      <c r="E109" s="15" t="n">
        <v>5</v>
      </c>
      <c r="F109" s="14" t="s">
        <v>388</v>
      </c>
      <c r="G109" s="8" t="n">
        <v>20</v>
      </c>
      <c r="H109" s="14" t="s">
        <v>566</v>
      </c>
      <c r="I109" s="14" t="s">
        <v>567</v>
      </c>
      <c r="J109" s="14" t="s">
        <v>395</v>
      </c>
      <c r="K109" s="8" t="n">
        <v>4</v>
      </c>
      <c r="L109" s="8" t="n">
        <v>91</v>
      </c>
      <c r="M109" s="8" t="n">
        <v>3</v>
      </c>
      <c r="N109" s="8" t="n">
        <v>84</v>
      </c>
      <c r="O109" s="8" t="n">
        <v>19</v>
      </c>
      <c r="P109" s="9" t="n">
        <v>139.399120423722</v>
      </c>
      <c r="Q109" s="10" t="n">
        <v>0.0071736464115438</v>
      </c>
      <c r="R109" s="9" t="n">
        <v>41</v>
      </c>
      <c r="S109" s="11" t="n">
        <f aca="false">IF(AND(ISNUMBER(R109),R109&gt;1,P109&gt;0),R109/P109-1,"")</f>
        <v>-0.705880497126702</v>
      </c>
      <c r="T109" s="9" t="n">
        <f aca="false">IF(AND(ISNUMBER(P109),P109&gt;0),P109*EXP('Read me'!$B$22),"")</f>
        <v>170.262470170635</v>
      </c>
    </row>
    <row r="110" customFormat="false" ht="15" hidden="false" customHeight="false" outlineLevel="0" collapsed="false">
      <c r="A110" s="14" t="s">
        <v>104</v>
      </c>
      <c r="B110" s="14" t="s">
        <v>49</v>
      </c>
      <c r="C110" s="14" t="s">
        <v>105</v>
      </c>
      <c r="D110" s="14"/>
      <c r="E110" s="15" t="n">
        <v>5</v>
      </c>
      <c r="F110" s="14" t="s">
        <v>388</v>
      </c>
      <c r="G110" s="8" t="n">
        <v>20</v>
      </c>
      <c r="H110" s="14" t="s">
        <v>568</v>
      </c>
      <c r="I110" s="14" t="s">
        <v>406</v>
      </c>
      <c r="J110" s="14" t="s">
        <v>569</v>
      </c>
      <c r="K110" s="8" t="n">
        <v>15</v>
      </c>
      <c r="L110" s="8" t="n">
        <v>76</v>
      </c>
      <c r="M110" s="8" t="n">
        <v>3</v>
      </c>
      <c r="N110" s="8" t="n">
        <v>100</v>
      </c>
      <c r="O110" s="8" t="n">
        <v>20</v>
      </c>
      <c r="P110" s="9" t="n">
        <v>157.212094486516</v>
      </c>
      <c r="Q110" s="10" t="n">
        <v>0.0063608337721483</v>
      </c>
      <c r="R110" s="9" t="n">
        <v>51</v>
      </c>
      <c r="S110" s="11" t="n">
        <f aca="false">IF(AND(ISNUMBER(R110),R110&gt;1,P110&gt;0),R110/P110-1,"")</f>
        <v>-0.675597477620437</v>
      </c>
      <c r="T110" s="9" t="n">
        <f aca="false">IF(AND(ISNUMBER(P110),P110&gt;0),P110*EXP('Read me'!$B$22),"")</f>
        <v>192.019285821968</v>
      </c>
    </row>
    <row r="111" customFormat="false" ht="15" hidden="false" customHeight="false" outlineLevel="0" collapsed="false">
      <c r="A111" s="14" t="s">
        <v>110</v>
      </c>
      <c r="B111" s="14" t="s">
        <v>56</v>
      </c>
      <c r="C111" s="14" t="s">
        <v>111</v>
      </c>
      <c r="D111" s="14" t="s">
        <v>570</v>
      </c>
      <c r="E111" s="15" t="n">
        <v>8</v>
      </c>
      <c r="F111" s="14" t="s">
        <v>419</v>
      </c>
      <c r="G111" s="8" t="n">
        <v>9</v>
      </c>
      <c r="H111" s="14" t="s">
        <v>112</v>
      </c>
      <c r="I111" s="14" t="s">
        <v>113</v>
      </c>
      <c r="J111" s="14" t="s">
        <v>114</v>
      </c>
      <c r="K111" s="8" t="n">
        <v>7</v>
      </c>
      <c r="L111" s="8" t="n">
        <v>0</v>
      </c>
      <c r="M111" s="8" t="n">
        <v>2</v>
      </c>
      <c r="N111" s="8" t="n">
        <v>22</v>
      </c>
      <c r="O111" s="8" t="n">
        <v>1</v>
      </c>
      <c r="P111" s="9" t="n">
        <v>2.52503190090427</v>
      </c>
      <c r="Q111" s="10" t="n">
        <v>0.396034600450743</v>
      </c>
      <c r="R111" s="9" t="n">
        <v>1.72727272727273</v>
      </c>
      <c r="S111" s="11" t="n">
        <f aca="false">IF(AND(ISNUMBER(R111),R111&gt;1,P111&gt;0),R111/P111-1,"")</f>
        <v>-0.315940235585081</v>
      </c>
      <c r="T111" s="9" t="n">
        <f aca="false">IF(AND(ISNUMBER(P111),P111&gt;0),P111*EXP('Read me'!$B$22),"")</f>
        <v>3.08408092820689</v>
      </c>
    </row>
    <row r="112" customFormat="false" ht="15" hidden="false" customHeight="false" outlineLevel="0" collapsed="false">
      <c r="A112" s="14" t="s">
        <v>110</v>
      </c>
      <c r="B112" s="14" t="s">
        <v>56</v>
      </c>
      <c r="C112" s="14" t="s">
        <v>111</v>
      </c>
      <c r="D112" s="14" t="s">
        <v>570</v>
      </c>
      <c r="E112" s="15" t="n">
        <v>8</v>
      </c>
      <c r="F112" s="14" t="s">
        <v>419</v>
      </c>
      <c r="G112" s="8" t="n">
        <v>9</v>
      </c>
      <c r="H112" s="14" t="s">
        <v>115</v>
      </c>
      <c r="I112" s="14" t="s">
        <v>427</v>
      </c>
      <c r="J112" s="14" t="s">
        <v>571</v>
      </c>
      <c r="K112" s="8" t="n">
        <v>4</v>
      </c>
      <c r="L112" s="8" t="n">
        <v>0</v>
      </c>
      <c r="M112" s="8" t="n">
        <v>2</v>
      </c>
      <c r="N112" s="8" t="n">
        <v>22</v>
      </c>
      <c r="O112" s="8" t="n">
        <v>2</v>
      </c>
      <c r="P112" s="9" t="n">
        <v>7.09889269139398</v>
      </c>
      <c r="Q112" s="10" t="n">
        <v>0.140867039899378</v>
      </c>
      <c r="R112" s="9" t="n">
        <v>10</v>
      </c>
      <c r="S112" s="11" t="n">
        <f aca="false">IF(AND(ISNUMBER(R112),R112&gt;1,P112&gt;0),R112/P112-1,"")</f>
        <v>0.408670398993783</v>
      </c>
      <c r="T112" s="9" t="n">
        <f aca="false">IF(AND(ISNUMBER(P112),P112&gt;0),P112*EXP('Read me'!$B$22),"")</f>
        <v>8.67060711315167</v>
      </c>
    </row>
    <row r="113" customFormat="false" ht="15" hidden="false" customHeight="false" outlineLevel="0" collapsed="false">
      <c r="A113" s="14" t="s">
        <v>110</v>
      </c>
      <c r="B113" s="14" t="s">
        <v>56</v>
      </c>
      <c r="C113" s="14" t="s">
        <v>111</v>
      </c>
      <c r="D113" s="14" t="s">
        <v>570</v>
      </c>
      <c r="E113" s="15" t="n">
        <v>8</v>
      </c>
      <c r="F113" s="14" t="s">
        <v>419</v>
      </c>
      <c r="G113" s="8" t="n">
        <v>9</v>
      </c>
      <c r="H113" s="14" t="s">
        <v>572</v>
      </c>
      <c r="I113" s="14" t="s">
        <v>490</v>
      </c>
      <c r="J113" s="14" t="s">
        <v>439</v>
      </c>
      <c r="K113" s="8" t="n">
        <v>9</v>
      </c>
      <c r="L113" s="8" t="n">
        <v>0</v>
      </c>
      <c r="M113" s="8" t="n">
        <v>2</v>
      </c>
      <c r="N113" s="8" t="n">
        <v>15</v>
      </c>
      <c r="O113" s="8" t="n">
        <v>3</v>
      </c>
      <c r="P113" s="9" t="n">
        <v>7.97848210166498</v>
      </c>
      <c r="Q113" s="10" t="n">
        <v>0.125337123936308</v>
      </c>
      <c r="R113" s="9" t="n">
        <v>8.5</v>
      </c>
      <c r="S113" s="11" t="n">
        <f aca="false">IF(AND(ISNUMBER(R113),R113&gt;1,P113&gt;0),R113/P113-1,"")</f>
        <v>0.0653655534586193</v>
      </c>
      <c r="T113" s="9" t="n">
        <f aca="false">IF(AND(ISNUMBER(P113),P113&gt;0),P113*EXP('Read me'!$B$22),"")</f>
        <v>9.74494004490516</v>
      </c>
    </row>
    <row r="114" customFormat="false" ht="15" hidden="false" customHeight="false" outlineLevel="0" collapsed="false">
      <c r="A114" s="14" t="s">
        <v>110</v>
      </c>
      <c r="B114" s="14" t="s">
        <v>56</v>
      </c>
      <c r="C114" s="14" t="s">
        <v>111</v>
      </c>
      <c r="D114" s="14" t="s">
        <v>570</v>
      </c>
      <c r="E114" s="15" t="n">
        <v>8</v>
      </c>
      <c r="F114" s="14" t="s">
        <v>419</v>
      </c>
      <c r="G114" s="8" t="n">
        <v>9</v>
      </c>
      <c r="H114" s="14" t="s">
        <v>573</v>
      </c>
      <c r="I114" s="14" t="s">
        <v>59</v>
      </c>
      <c r="J114" s="14" t="s">
        <v>574</v>
      </c>
      <c r="K114" s="8" t="n">
        <v>3</v>
      </c>
      <c r="L114" s="8" t="n">
        <v>0</v>
      </c>
      <c r="M114" s="8" t="n">
        <v>2</v>
      </c>
      <c r="N114" s="8" t="n">
        <v>23</v>
      </c>
      <c r="O114" s="8" t="n">
        <v>4</v>
      </c>
      <c r="P114" s="9" t="n">
        <v>11.223043423439</v>
      </c>
      <c r="Q114" s="10" t="n">
        <v>0.0891023907037134</v>
      </c>
      <c r="R114" s="9" t="n">
        <v>15</v>
      </c>
      <c r="S114" s="11" t="n">
        <f aca="false">IF(AND(ISNUMBER(R114),R114&gt;1,P114&gt;0),R114/P114-1,"")</f>
        <v>0.336535860555701</v>
      </c>
      <c r="T114" s="9" t="n">
        <f aca="false">IF(AND(ISNUMBER(P114),P114&gt;0),P114*EXP('Read me'!$B$22),"")</f>
        <v>13.7078561923397</v>
      </c>
    </row>
    <row r="115" customFormat="false" ht="15" hidden="false" customHeight="false" outlineLevel="0" collapsed="false">
      <c r="A115" s="14" t="s">
        <v>110</v>
      </c>
      <c r="B115" s="14" t="s">
        <v>56</v>
      </c>
      <c r="C115" s="14" t="s">
        <v>111</v>
      </c>
      <c r="D115" s="14" t="s">
        <v>570</v>
      </c>
      <c r="E115" s="15" t="n">
        <v>8</v>
      </c>
      <c r="F115" s="14" t="s">
        <v>419</v>
      </c>
      <c r="G115" s="8" t="n">
        <v>9</v>
      </c>
      <c r="H115" s="14" t="s">
        <v>575</v>
      </c>
      <c r="I115" s="14" t="s">
        <v>266</v>
      </c>
      <c r="J115" s="14" t="s">
        <v>576</v>
      </c>
      <c r="K115" s="8" t="n">
        <v>6</v>
      </c>
      <c r="L115" s="8" t="n">
        <v>0</v>
      </c>
      <c r="M115" s="8" t="n">
        <v>2</v>
      </c>
      <c r="N115" s="8" t="n">
        <v>36</v>
      </c>
      <c r="O115" s="8" t="n">
        <v>5</v>
      </c>
      <c r="P115" s="9" t="n">
        <v>13.3177884936132</v>
      </c>
      <c r="Q115" s="10" t="n">
        <v>0.0750875417851524</v>
      </c>
      <c r="R115" s="9" t="n">
        <v>11</v>
      </c>
      <c r="S115" s="11" t="n">
        <f aca="false">IF(AND(ISNUMBER(R115),R115&gt;1,P115&gt;0),R115/P115-1,"")</f>
        <v>-0.174037040363323</v>
      </c>
      <c r="T115" s="9" t="n">
        <f aca="false">IF(AND(ISNUMBER(P115),P115&gt;0),P115*EXP('Read me'!$B$22),"")</f>
        <v>16.2663835986929</v>
      </c>
    </row>
    <row r="116" customFormat="false" ht="15" hidden="false" customHeight="false" outlineLevel="0" collapsed="false">
      <c r="A116" s="14" t="s">
        <v>110</v>
      </c>
      <c r="B116" s="14" t="s">
        <v>56</v>
      </c>
      <c r="C116" s="14" t="s">
        <v>111</v>
      </c>
      <c r="D116" s="14" t="s">
        <v>570</v>
      </c>
      <c r="E116" s="15" t="n">
        <v>8</v>
      </c>
      <c r="F116" s="14" t="s">
        <v>419</v>
      </c>
      <c r="G116" s="8" t="n">
        <v>9</v>
      </c>
      <c r="H116" s="14" t="s">
        <v>577</v>
      </c>
      <c r="I116" s="14" t="s">
        <v>187</v>
      </c>
      <c r="J116" s="14" t="s">
        <v>188</v>
      </c>
      <c r="K116" s="8" t="n">
        <v>1</v>
      </c>
      <c r="L116" s="8" t="n">
        <v>0</v>
      </c>
      <c r="M116" s="8" t="n">
        <v>2</v>
      </c>
      <c r="N116" s="8"/>
      <c r="O116" s="8" t="n">
        <v>6</v>
      </c>
      <c r="P116" s="9" t="n">
        <v>17.558908311032</v>
      </c>
      <c r="Q116" s="10" t="n">
        <v>0.0569511488007324</v>
      </c>
      <c r="R116" s="9" t="n">
        <v>9.5</v>
      </c>
      <c r="S116" s="11" t="n">
        <f aca="false">IF(AND(ISNUMBER(R116),R116&gt;1,P116&gt;0),R116/P116-1,"")</f>
        <v>-0.458964086393042</v>
      </c>
      <c r="T116" s="9" t="n">
        <f aca="false">IF(AND(ISNUMBER(P116),P116&gt;0),P116*EXP('Read me'!$B$22),"")</f>
        <v>21.446499041376</v>
      </c>
    </row>
    <row r="117" customFormat="false" ht="15" hidden="false" customHeight="false" outlineLevel="0" collapsed="false">
      <c r="A117" s="14" t="s">
        <v>110</v>
      </c>
      <c r="B117" s="14" t="s">
        <v>56</v>
      </c>
      <c r="C117" s="14" t="s">
        <v>111</v>
      </c>
      <c r="D117" s="14" t="s">
        <v>570</v>
      </c>
      <c r="E117" s="15" t="n">
        <v>8</v>
      </c>
      <c r="F117" s="14" t="s">
        <v>419</v>
      </c>
      <c r="G117" s="8" t="n">
        <v>9</v>
      </c>
      <c r="H117" s="14" t="s">
        <v>578</v>
      </c>
      <c r="I117" s="14" t="s">
        <v>579</v>
      </c>
      <c r="J117" s="14" t="s">
        <v>580</v>
      </c>
      <c r="K117" s="8" t="n">
        <v>2</v>
      </c>
      <c r="L117" s="8" t="n">
        <v>0</v>
      </c>
      <c r="M117" s="8" t="n">
        <v>2</v>
      </c>
      <c r="N117" s="8" t="n">
        <v>23</v>
      </c>
      <c r="O117" s="8" t="n">
        <v>7</v>
      </c>
      <c r="P117" s="9" t="n">
        <v>20.91265206248</v>
      </c>
      <c r="Q117" s="10" t="n">
        <v>0.0478179427942631</v>
      </c>
      <c r="R117" s="9" t="n">
        <v>29</v>
      </c>
      <c r="S117" s="11" t="n">
        <f aca="false">IF(AND(ISNUMBER(R117),R117&gt;1,P117&gt;0),R117/P117-1,"")</f>
        <v>0.386720341033633</v>
      </c>
      <c r="T117" s="9" t="n">
        <f aca="false">IF(AND(ISNUMBER(P117),P117&gt;0),P117*EXP('Read me'!$B$22),"")</f>
        <v>25.5427709095571</v>
      </c>
    </row>
    <row r="118" customFormat="false" ht="15" hidden="false" customHeight="false" outlineLevel="0" collapsed="false">
      <c r="A118" s="14" t="s">
        <v>110</v>
      </c>
      <c r="B118" s="14" t="s">
        <v>56</v>
      </c>
      <c r="C118" s="14" t="s">
        <v>111</v>
      </c>
      <c r="D118" s="14" t="s">
        <v>570</v>
      </c>
      <c r="E118" s="15" t="n">
        <v>8</v>
      </c>
      <c r="F118" s="14" t="s">
        <v>419</v>
      </c>
      <c r="G118" s="8" t="n">
        <v>9</v>
      </c>
      <c r="H118" s="14" t="s">
        <v>581</v>
      </c>
      <c r="I118" s="14" t="s">
        <v>435</v>
      </c>
      <c r="J118" s="14" t="s">
        <v>582</v>
      </c>
      <c r="K118" s="8" t="n">
        <v>5</v>
      </c>
      <c r="L118" s="8" t="n">
        <v>0</v>
      </c>
      <c r="M118" s="8" t="n">
        <v>2</v>
      </c>
      <c r="N118" s="8"/>
      <c r="O118" s="8" t="n">
        <v>8</v>
      </c>
      <c r="P118" s="9" t="n">
        <v>27.2097662645544</v>
      </c>
      <c r="Q118" s="10" t="n">
        <v>0.0367515101113779</v>
      </c>
      <c r="R118" s="9" t="n">
        <v>26</v>
      </c>
      <c r="S118" s="11" t="n">
        <f aca="false">IF(AND(ISNUMBER(R118),R118&gt;1,P118&gt;0),R118/P118-1,"")</f>
        <v>-0.0444607371041739</v>
      </c>
      <c r="T118" s="9" t="n">
        <f aca="false">IF(AND(ISNUMBER(P118),P118&gt;0),P118*EXP('Read me'!$B$22),"")</f>
        <v>33.2340835644203</v>
      </c>
    </row>
    <row r="119" customFormat="false" ht="15" hidden="false" customHeight="false" outlineLevel="0" collapsed="false">
      <c r="A119" s="14" t="s">
        <v>110</v>
      </c>
      <c r="B119" s="14" t="s">
        <v>56</v>
      </c>
      <c r="C119" s="14" t="s">
        <v>111</v>
      </c>
      <c r="D119" s="14" t="s">
        <v>570</v>
      </c>
      <c r="E119" s="15" t="n">
        <v>8</v>
      </c>
      <c r="F119" s="14" t="s">
        <v>419</v>
      </c>
      <c r="G119" s="8" t="n">
        <v>9</v>
      </c>
      <c r="H119" s="14" t="s">
        <v>583</v>
      </c>
      <c r="I119" s="14" t="s">
        <v>425</v>
      </c>
      <c r="J119" s="14" t="s">
        <v>571</v>
      </c>
      <c r="K119" s="8" t="n">
        <v>8</v>
      </c>
      <c r="L119" s="8" t="n">
        <v>0</v>
      </c>
      <c r="M119" s="8" t="n">
        <v>2</v>
      </c>
      <c r="N119" s="8" t="n">
        <v>18</v>
      </c>
      <c r="O119" s="8" t="n">
        <v>9</v>
      </c>
      <c r="P119" s="9" t="n">
        <v>31.2005651242314</v>
      </c>
      <c r="Q119" s="10" t="n">
        <v>0.0320507015183313</v>
      </c>
      <c r="R119" s="9" t="n">
        <v>23</v>
      </c>
      <c r="S119" s="11" t="n">
        <f aca="false">IF(AND(ISNUMBER(R119),R119&gt;1,P119&gt;0),R119/P119-1,"")</f>
        <v>-0.262833865078379</v>
      </c>
      <c r="T119" s="9" t="n">
        <f aca="false">IF(AND(ISNUMBER(P119),P119&gt;0),P119*EXP('Read me'!$B$22),"")</f>
        <v>38.1084562988922</v>
      </c>
    </row>
    <row r="120" customFormat="false" ht="15" hidden="false" customHeight="false" outlineLevel="0" collapsed="false">
      <c r="A120" s="14" t="s">
        <v>116</v>
      </c>
      <c r="B120" s="14" t="s">
        <v>117</v>
      </c>
      <c r="C120" s="14" t="s">
        <v>118</v>
      </c>
      <c r="D120" s="14"/>
      <c r="E120" s="15" t="n">
        <v>16</v>
      </c>
      <c r="F120" s="14" t="s">
        <v>388</v>
      </c>
      <c r="G120" s="8" t="n">
        <v>12</v>
      </c>
      <c r="H120" s="14" t="s">
        <v>119</v>
      </c>
      <c r="I120" s="14" t="s">
        <v>120</v>
      </c>
      <c r="J120" s="14" t="s">
        <v>121</v>
      </c>
      <c r="K120" s="8" t="n">
        <v>10</v>
      </c>
      <c r="L120" s="8" t="n">
        <v>0</v>
      </c>
      <c r="M120" s="8" t="n">
        <v>4</v>
      </c>
      <c r="N120" s="8" t="n">
        <v>22</v>
      </c>
      <c r="O120" s="8" t="n">
        <v>1</v>
      </c>
      <c r="P120" s="9" t="n">
        <v>1.63893926112457</v>
      </c>
      <c r="Q120" s="10" t="n">
        <v>0.61015073817552</v>
      </c>
      <c r="R120" s="9" t="n">
        <v>1.72727272727273</v>
      </c>
      <c r="S120" s="11" t="n">
        <f aca="false">IF(AND(ISNUMBER(R120),R120&gt;1,P120&gt;0),R120/P120-1,"")</f>
        <v>0.0538967295758979</v>
      </c>
      <c r="T120" s="9" t="n">
        <f aca="false">IF(AND(ISNUMBER(P120),P120&gt;0),P120*EXP('Read me'!$B$22),"")</f>
        <v>2.00180493399455</v>
      </c>
    </row>
    <row r="121" customFormat="false" ht="15" hidden="false" customHeight="false" outlineLevel="0" collapsed="false">
      <c r="A121" s="14" t="s">
        <v>116</v>
      </c>
      <c r="B121" s="14" t="s">
        <v>117</v>
      </c>
      <c r="C121" s="14" t="s">
        <v>118</v>
      </c>
      <c r="D121" s="14"/>
      <c r="E121" s="15" t="n">
        <v>16</v>
      </c>
      <c r="F121" s="14" t="s">
        <v>388</v>
      </c>
      <c r="G121" s="8" t="n">
        <v>12</v>
      </c>
      <c r="H121" s="14" t="s">
        <v>122</v>
      </c>
      <c r="I121" s="14" t="s">
        <v>584</v>
      </c>
      <c r="J121" s="14" t="s">
        <v>585</v>
      </c>
      <c r="K121" s="8" t="n">
        <v>1</v>
      </c>
      <c r="L121" s="8" t="n">
        <v>100</v>
      </c>
      <c r="M121" s="8" t="n">
        <v>4</v>
      </c>
      <c r="N121" s="8" t="n">
        <v>23</v>
      </c>
      <c r="O121" s="8" t="n">
        <v>2</v>
      </c>
      <c r="P121" s="9" t="n">
        <v>5.31061996209585</v>
      </c>
      <c r="Q121" s="10" t="n">
        <v>0.18830193219199</v>
      </c>
      <c r="R121" s="9" t="n">
        <v>8.5</v>
      </c>
      <c r="S121" s="11" t="n">
        <f aca="false">IF(AND(ISNUMBER(R121),R121&gt;1,P121&gt;0),R121/P121-1,"")</f>
        <v>0.600566423631912</v>
      </c>
      <c r="T121" s="9" t="n">
        <f aca="false">IF(AND(ISNUMBER(P121),P121&gt;0),P121*EXP('Read me'!$B$22),"")</f>
        <v>6.48640586924433</v>
      </c>
    </row>
    <row r="122" customFormat="false" ht="15" hidden="false" customHeight="false" outlineLevel="0" collapsed="false">
      <c r="A122" s="14" t="s">
        <v>116</v>
      </c>
      <c r="B122" s="14" t="s">
        <v>117</v>
      </c>
      <c r="C122" s="14" t="s">
        <v>118</v>
      </c>
      <c r="D122" s="14"/>
      <c r="E122" s="15" t="n">
        <v>16</v>
      </c>
      <c r="F122" s="14" t="s">
        <v>388</v>
      </c>
      <c r="G122" s="8" t="n">
        <v>12</v>
      </c>
      <c r="H122" s="14" t="s">
        <v>586</v>
      </c>
      <c r="I122" s="14" t="s">
        <v>587</v>
      </c>
      <c r="J122" s="14" t="s">
        <v>588</v>
      </c>
      <c r="K122" s="8" t="n">
        <v>7</v>
      </c>
      <c r="L122" s="8" t="n">
        <v>0</v>
      </c>
      <c r="M122" s="8" t="n">
        <v>4</v>
      </c>
      <c r="N122" s="8" t="n">
        <v>35</v>
      </c>
      <c r="O122" s="8" t="n">
        <v>3</v>
      </c>
      <c r="P122" s="9" t="n">
        <v>14.6427909436543</v>
      </c>
      <c r="Q122" s="10" t="n">
        <v>0.068292991674061</v>
      </c>
      <c r="R122" s="9" t="n">
        <v>4.33333333333333</v>
      </c>
      <c r="S122" s="11" t="n">
        <f aca="false">IF(AND(ISNUMBER(R122),R122&gt;1,P122&gt;0),R122/P122-1,"")</f>
        <v>-0.704063702745736</v>
      </c>
      <c r="T122" s="9" t="n">
        <f aca="false">IF(AND(ISNUMBER(P122),P122&gt;0),P122*EXP('Read me'!$B$22),"")</f>
        <v>17.8847452457421</v>
      </c>
    </row>
    <row r="123" customFormat="false" ht="15" hidden="false" customHeight="false" outlineLevel="0" collapsed="false">
      <c r="A123" s="14" t="s">
        <v>116</v>
      </c>
      <c r="B123" s="14" t="s">
        <v>117</v>
      </c>
      <c r="C123" s="14" t="s">
        <v>118</v>
      </c>
      <c r="D123" s="14"/>
      <c r="E123" s="15" t="n">
        <v>16</v>
      </c>
      <c r="F123" s="14" t="s">
        <v>388</v>
      </c>
      <c r="G123" s="8" t="n">
        <v>12</v>
      </c>
      <c r="H123" s="14" t="s">
        <v>589</v>
      </c>
      <c r="I123" s="14" t="s">
        <v>590</v>
      </c>
      <c r="J123" s="14" t="s">
        <v>591</v>
      </c>
      <c r="K123" s="8" t="n">
        <v>6</v>
      </c>
      <c r="L123" s="8" t="n">
        <v>0</v>
      </c>
      <c r="M123" s="8" t="n">
        <v>4</v>
      </c>
      <c r="N123" s="8"/>
      <c r="O123" s="8" t="n">
        <v>4</v>
      </c>
      <c r="P123" s="9" t="n">
        <v>24.1334506760191</v>
      </c>
      <c r="Q123" s="10" t="n">
        <v>0.0414362626142674</v>
      </c>
      <c r="R123" s="9" t="n">
        <v>26</v>
      </c>
      <c r="S123" s="11" t="n">
        <f aca="false">IF(AND(ISNUMBER(R123),R123&gt;1,P123&gt;0),R123/P123-1,"")</f>
        <v>0.0773428279709543</v>
      </c>
      <c r="T123" s="9" t="n">
        <f aca="false">IF(AND(ISNUMBER(P123),P123&gt;0),P123*EXP('Read me'!$B$22),"")</f>
        <v>29.4766632196122</v>
      </c>
    </row>
    <row r="124" customFormat="false" ht="15" hidden="false" customHeight="false" outlineLevel="0" collapsed="false">
      <c r="A124" s="14" t="s">
        <v>116</v>
      </c>
      <c r="B124" s="14" t="s">
        <v>117</v>
      </c>
      <c r="C124" s="14" t="s">
        <v>118</v>
      </c>
      <c r="D124" s="14"/>
      <c r="E124" s="15" t="n">
        <v>16</v>
      </c>
      <c r="F124" s="14" t="s">
        <v>388</v>
      </c>
      <c r="G124" s="8" t="n">
        <v>12</v>
      </c>
      <c r="H124" s="14" t="s">
        <v>592</v>
      </c>
      <c r="I124" s="14" t="s">
        <v>593</v>
      </c>
      <c r="J124" s="14" t="s">
        <v>418</v>
      </c>
      <c r="K124" s="8" t="n">
        <v>8</v>
      </c>
      <c r="L124" s="8" t="n">
        <v>0</v>
      </c>
      <c r="M124" s="8" t="n">
        <v>4</v>
      </c>
      <c r="N124" s="8"/>
      <c r="O124" s="8" t="n">
        <v>5</v>
      </c>
      <c r="P124" s="9" t="n">
        <v>28.9930908380492</v>
      </c>
      <c r="Q124" s="10" t="n">
        <v>0.0344909759909987</v>
      </c>
      <c r="R124" s="9" t="n">
        <v>17</v>
      </c>
      <c r="S124" s="11" t="n">
        <f aca="false">IF(AND(ISNUMBER(R124),R124&gt;1,P124&gt;0),R124/P124-1,"")</f>
        <v>-0.413653408153022</v>
      </c>
      <c r="T124" s="9" t="n">
        <f aca="false">IF(AND(ISNUMBER(P124),P124&gt;0),P124*EXP('Read me'!$B$22),"")</f>
        <v>35.4122411171816</v>
      </c>
    </row>
    <row r="125" customFormat="false" ht="15" hidden="false" customHeight="false" outlineLevel="0" collapsed="false">
      <c r="A125" s="14" t="s">
        <v>116</v>
      </c>
      <c r="B125" s="14" t="s">
        <v>117</v>
      </c>
      <c r="C125" s="14" t="s">
        <v>118</v>
      </c>
      <c r="D125" s="14"/>
      <c r="E125" s="15" t="n">
        <v>16</v>
      </c>
      <c r="F125" s="14" t="s">
        <v>388</v>
      </c>
      <c r="G125" s="8" t="n">
        <v>12</v>
      </c>
      <c r="H125" s="14" t="s">
        <v>594</v>
      </c>
      <c r="I125" s="14" t="s">
        <v>595</v>
      </c>
      <c r="J125" s="14" t="s">
        <v>596</v>
      </c>
      <c r="K125" s="8" t="n">
        <v>5</v>
      </c>
      <c r="L125" s="8" t="n">
        <v>0</v>
      </c>
      <c r="M125" s="8" t="n">
        <v>4</v>
      </c>
      <c r="N125" s="8" t="n">
        <v>35</v>
      </c>
      <c r="O125" s="8" t="n">
        <v>6</v>
      </c>
      <c r="P125" s="9" t="n">
        <v>40.0251540831792</v>
      </c>
      <c r="Q125" s="10" t="n">
        <v>0.0249842885781732</v>
      </c>
      <c r="R125" s="9" t="n">
        <v>6</v>
      </c>
      <c r="S125" s="11" t="n">
        <f aca="false">IF(AND(ISNUMBER(R125),R125&gt;1,P125&gt;0),R125/P125-1,"")</f>
        <v>-0.85009426853096</v>
      </c>
      <c r="T125" s="9" t="n">
        <f aca="false">IF(AND(ISNUMBER(P125),P125&gt;0),P125*EXP('Read me'!$B$22),"")</f>
        <v>48.8868335929809</v>
      </c>
    </row>
    <row r="126" customFormat="false" ht="15" hidden="false" customHeight="false" outlineLevel="0" collapsed="false">
      <c r="A126" s="14" t="s">
        <v>116</v>
      </c>
      <c r="B126" s="14" t="s">
        <v>117</v>
      </c>
      <c r="C126" s="14" t="s">
        <v>118</v>
      </c>
      <c r="D126" s="14"/>
      <c r="E126" s="15" t="n">
        <v>16</v>
      </c>
      <c r="F126" s="14" t="s">
        <v>388</v>
      </c>
      <c r="G126" s="8" t="n">
        <v>12</v>
      </c>
      <c r="H126" s="14" t="s">
        <v>597</v>
      </c>
      <c r="I126" s="14" t="s">
        <v>598</v>
      </c>
      <c r="J126" s="14" t="s">
        <v>599</v>
      </c>
      <c r="K126" s="8" t="n">
        <v>14</v>
      </c>
      <c r="L126" s="8" t="n">
        <v>0</v>
      </c>
      <c r="M126" s="8" t="n">
        <v>4</v>
      </c>
      <c r="N126" s="8" t="n">
        <v>41</v>
      </c>
      <c r="O126" s="8" t="n">
        <v>7</v>
      </c>
      <c r="P126" s="9" t="n">
        <v>91.9259396174975</v>
      </c>
      <c r="Q126" s="10" t="n">
        <v>0.0108783223120806</v>
      </c>
      <c r="R126" s="9" t="n">
        <v>51</v>
      </c>
      <c r="S126" s="11" t="n">
        <f aca="false">IF(AND(ISNUMBER(R126),R126&gt;1,P126&gt;0),R126/P126-1,"")</f>
        <v>-0.445205562083888</v>
      </c>
      <c r="T126" s="9" t="n">
        <f aca="false">IF(AND(ISNUMBER(P126),P126&gt;0),P126*EXP('Read me'!$B$22),"")</f>
        <v>112.278596195277</v>
      </c>
    </row>
    <row r="127" customFormat="false" ht="15" hidden="false" customHeight="false" outlineLevel="0" collapsed="false">
      <c r="A127" s="14" t="s">
        <v>116</v>
      </c>
      <c r="B127" s="14" t="s">
        <v>117</v>
      </c>
      <c r="C127" s="14" t="s">
        <v>118</v>
      </c>
      <c r="D127" s="14"/>
      <c r="E127" s="15" t="n">
        <v>16</v>
      </c>
      <c r="F127" s="14" t="s">
        <v>388</v>
      </c>
      <c r="G127" s="8" t="n">
        <v>12</v>
      </c>
      <c r="H127" s="14" t="s">
        <v>600</v>
      </c>
      <c r="I127" s="14" t="s">
        <v>601</v>
      </c>
      <c r="J127" s="14" t="s">
        <v>602</v>
      </c>
      <c r="K127" s="8" t="n">
        <v>12</v>
      </c>
      <c r="L127" s="8" t="n">
        <v>0</v>
      </c>
      <c r="M127" s="8" t="n">
        <v>4</v>
      </c>
      <c r="N127" s="8"/>
      <c r="O127" s="8" t="n">
        <v>8</v>
      </c>
      <c r="P127" s="9" t="n">
        <v>97.9993250798973</v>
      </c>
      <c r="Q127" s="10" t="n">
        <v>0.0102041519080332</v>
      </c>
      <c r="R127" s="9" t="n">
        <v>81</v>
      </c>
      <c r="S127" s="11" t="n">
        <f aca="false">IF(AND(ISNUMBER(R127),R127&gt;1,P127&gt;0),R127/P127-1,"")</f>
        <v>-0.173463695449311</v>
      </c>
      <c r="T127" s="9" t="n">
        <f aca="false">IF(AND(ISNUMBER(P127),P127&gt;0),P127*EXP('Read me'!$B$22),"")</f>
        <v>119.696645950422</v>
      </c>
    </row>
    <row r="128" customFormat="false" ht="15" hidden="false" customHeight="false" outlineLevel="0" collapsed="false">
      <c r="A128" s="14" t="s">
        <v>116</v>
      </c>
      <c r="B128" s="14" t="s">
        <v>117</v>
      </c>
      <c r="C128" s="14" t="s">
        <v>118</v>
      </c>
      <c r="D128" s="14"/>
      <c r="E128" s="15" t="n">
        <v>16</v>
      </c>
      <c r="F128" s="14" t="s">
        <v>388</v>
      </c>
      <c r="G128" s="8" t="n">
        <v>12</v>
      </c>
      <c r="H128" s="14" t="s">
        <v>603</v>
      </c>
      <c r="I128" s="14" t="s">
        <v>604</v>
      </c>
      <c r="J128" s="14" t="s">
        <v>605</v>
      </c>
      <c r="K128" s="8" t="n">
        <v>4</v>
      </c>
      <c r="L128" s="8" t="n">
        <v>0</v>
      </c>
      <c r="M128" s="8" t="n">
        <v>4</v>
      </c>
      <c r="N128" s="8"/>
      <c r="O128" s="8" t="n">
        <v>9</v>
      </c>
      <c r="P128" s="9" t="n">
        <v>316.567791191434</v>
      </c>
      <c r="Q128" s="10" t="n">
        <v>0.0031588810606297</v>
      </c>
      <c r="R128" s="9" t="n">
        <v>41</v>
      </c>
      <c r="S128" s="11" t="n">
        <f aca="false">IF(AND(ISNUMBER(R128),R128&gt;1,P128&gt;0),R128/P128-1,"")</f>
        <v>-0.870485876514182</v>
      </c>
      <c r="T128" s="9" t="n">
        <f aca="false">IF(AND(ISNUMBER(P128),P128&gt;0),P128*EXP('Read me'!$B$22),"")</f>
        <v>386.65677330589</v>
      </c>
    </row>
    <row r="129" customFormat="false" ht="15" hidden="false" customHeight="false" outlineLevel="0" collapsed="false">
      <c r="A129" s="14" t="s">
        <v>116</v>
      </c>
      <c r="B129" s="14" t="s">
        <v>117</v>
      </c>
      <c r="C129" s="14" t="s">
        <v>118</v>
      </c>
      <c r="D129" s="14"/>
      <c r="E129" s="15" t="n">
        <v>16</v>
      </c>
      <c r="F129" s="14" t="s">
        <v>388</v>
      </c>
      <c r="G129" s="8" t="n">
        <v>12</v>
      </c>
      <c r="H129" s="14" t="s">
        <v>606</v>
      </c>
      <c r="I129" s="14" t="s">
        <v>607</v>
      </c>
      <c r="J129" s="14" t="s">
        <v>608</v>
      </c>
      <c r="K129" s="8" t="n">
        <v>3</v>
      </c>
      <c r="L129" s="8" t="n">
        <v>0</v>
      </c>
      <c r="M129" s="8" t="n">
        <v>4</v>
      </c>
      <c r="N129" s="8" t="n">
        <v>44</v>
      </c>
      <c r="O129" s="8" t="n">
        <v>10</v>
      </c>
      <c r="P129" s="9" t="n">
        <v>339.155204067182</v>
      </c>
      <c r="Q129" s="10" t="n">
        <v>0.0029485025970644</v>
      </c>
      <c r="R129" s="9" t="n">
        <v>101</v>
      </c>
      <c r="S129" s="11" t="n">
        <f aca="false">IF(AND(ISNUMBER(R129),R129&gt;1,P129&gt;0),R129/P129-1,"")</f>
        <v>-0.702201237696494</v>
      </c>
      <c r="T129" s="9" t="n">
        <f aca="false">IF(AND(ISNUMBER(P129),P129&gt;0),P129*EXP('Read me'!$B$22),"")</f>
        <v>414.245101692032</v>
      </c>
    </row>
    <row r="130" customFormat="false" ht="15" hidden="false" customHeight="false" outlineLevel="0" collapsed="false">
      <c r="A130" s="14" t="s">
        <v>116</v>
      </c>
      <c r="B130" s="14" t="s">
        <v>117</v>
      </c>
      <c r="C130" s="14" t="s">
        <v>118</v>
      </c>
      <c r="D130" s="14"/>
      <c r="E130" s="15" t="n">
        <v>16</v>
      </c>
      <c r="F130" s="14" t="s">
        <v>388</v>
      </c>
      <c r="G130" s="8" t="n">
        <v>12</v>
      </c>
      <c r="H130" s="14" t="s">
        <v>609</v>
      </c>
      <c r="I130" s="14" t="s">
        <v>610</v>
      </c>
      <c r="J130" s="14" t="s">
        <v>611</v>
      </c>
      <c r="K130" s="8" t="n">
        <v>11</v>
      </c>
      <c r="L130" s="8" t="n">
        <v>0</v>
      </c>
      <c r="M130" s="8" t="n">
        <v>4</v>
      </c>
      <c r="N130" s="8" t="n">
        <v>19</v>
      </c>
      <c r="O130" s="8" t="n">
        <v>11</v>
      </c>
      <c r="P130" s="9" t="n">
        <v>359.117105027445</v>
      </c>
      <c r="Q130" s="10" t="n">
        <v>0.0027846069875273</v>
      </c>
      <c r="R130" s="9" t="n">
        <v>101</v>
      </c>
      <c r="S130" s="11" t="n">
        <f aca="false">IF(AND(ISNUMBER(R130),R130&gt;1,P130&gt;0),R130/P130-1,"")</f>
        <v>-0.718754694259742</v>
      </c>
      <c r="T130" s="9" t="n">
        <f aca="false">IF(AND(ISNUMBER(P130),P130&gt;0),P130*EXP('Read me'!$B$22),"")</f>
        <v>438.626622583016</v>
      </c>
    </row>
    <row r="131" customFormat="false" ht="15" hidden="false" customHeight="false" outlineLevel="0" collapsed="false">
      <c r="A131" s="14" t="s">
        <v>116</v>
      </c>
      <c r="B131" s="14" t="s">
        <v>117</v>
      </c>
      <c r="C131" s="14" t="s">
        <v>118</v>
      </c>
      <c r="D131" s="14"/>
      <c r="E131" s="15" t="n">
        <v>16</v>
      </c>
      <c r="F131" s="14" t="s">
        <v>388</v>
      </c>
      <c r="G131" s="8" t="n">
        <v>12</v>
      </c>
      <c r="H131" s="14" t="s">
        <v>612</v>
      </c>
      <c r="I131" s="14" t="s">
        <v>613</v>
      </c>
      <c r="J131" s="14" t="s">
        <v>614</v>
      </c>
      <c r="K131" s="8" t="n">
        <v>13</v>
      </c>
      <c r="L131" s="8" t="n">
        <v>0</v>
      </c>
      <c r="M131" s="8" t="n">
        <v>4</v>
      </c>
      <c r="N131" s="8" t="n">
        <v>29</v>
      </c>
      <c r="O131" s="8" t="n">
        <v>12</v>
      </c>
      <c r="P131" s="9" t="n">
        <v>422.235618506347</v>
      </c>
      <c r="Q131" s="10" t="n">
        <v>0.0023683459096546</v>
      </c>
      <c r="R131" s="9" t="n">
        <v>101</v>
      </c>
      <c r="S131" s="11" t="n">
        <f aca="false">IF(AND(ISNUMBER(R131),R131&gt;1,P131&gt;0),R131/P131-1,"")</f>
        <v>-0.760797063124882</v>
      </c>
      <c r="T131" s="9" t="n">
        <f aca="false">IF(AND(ISNUMBER(P131),P131&gt;0),P131*EXP('Read me'!$B$22),"")</f>
        <v>515.719749037118</v>
      </c>
    </row>
    <row r="132" customFormat="false" ht="15" hidden="false" customHeight="false" outlineLevel="0" collapsed="false">
      <c r="A132" s="14" t="s">
        <v>123</v>
      </c>
      <c r="B132" s="14" t="s">
        <v>63</v>
      </c>
      <c r="C132" s="14" t="s">
        <v>124</v>
      </c>
      <c r="D132" s="14" t="s">
        <v>436</v>
      </c>
      <c r="E132" s="15" t="n">
        <v>5</v>
      </c>
      <c r="F132" s="14" t="s">
        <v>388</v>
      </c>
      <c r="G132" s="8" t="n">
        <v>14</v>
      </c>
      <c r="H132" s="14" t="s">
        <v>125</v>
      </c>
      <c r="I132" s="14" t="s">
        <v>126</v>
      </c>
      <c r="J132" s="14" t="s">
        <v>127</v>
      </c>
      <c r="K132" s="8" t="n">
        <v>1</v>
      </c>
      <c r="L132" s="8" t="n">
        <v>85</v>
      </c>
      <c r="M132" s="8" t="n">
        <v>4</v>
      </c>
      <c r="N132" s="8" t="n">
        <v>13</v>
      </c>
      <c r="O132" s="8" t="n">
        <v>1</v>
      </c>
      <c r="P132" s="9" t="n">
        <v>6.41144031517265</v>
      </c>
      <c r="Q132" s="10" t="n">
        <v>0.15597119381015</v>
      </c>
      <c r="R132" s="9" t="n">
        <v>7</v>
      </c>
      <c r="S132" s="11" t="n">
        <f aca="false">IF(AND(ISNUMBER(R132),R132&gt;1,P132&gt;0),R132/P132-1,"")</f>
        <v>0.0917983566710474</v>
      </c>
      <c r="T132" s="9" t="n">
        <f aca="false">IF(AND(ISNUMBER(P132),P132&gt;0),P132*EXP('Read me'!$B$22),"")</f>
        <v>7.83095088473118</v>
      </c>
    </row>
    <row r="133" customFormat="false" ht="15" hidden="false" customHeight="false" outlineLevel="0" collapsed="false">
      <c r="A133" s="14" t="s">
        <v>123</v>
      </c>
      <c r="B133" s="14" t="s">
        <v>63</v>
      </c>
      <c r="C133" s="14" t="s">
        <v>124</v>
      </c>
      <c r="D133" s="14" t="s">
        <v>436</v>
      </c>
      <c r="E133" s="15" t="n">
        <v>5</v>
      </c>
      <c r="F133" s="14" t="s">
        <v>388</v>
      </c>
      <c r="G133" s="8" t="n">
        <v>14</v>
      </c>
      <c r="H133" s="14" t="s">
        <v>128</v>
      </c>
      <c r="I133" s="14" t="s">
        <v>300</v>
      </c>
      <c r="J133" s="14" t="s">
        <v>615</v>
      </c>
      <c r="K133" s="8" t="n">
        <v>12</v>
      </c>
      <c r="L133" s="8" t="n">
        <v>81</v>
      </c>
      <c r="M133" s="8" t="n">
        <v>3</v>
      </c>
      <c r="N133" s="8" t="n">
        <v>13</v>
      </c>
      <c r="O133" s="8" t="n">
        <v>2</v>
      </c>
      <c r="P133" s="9" t="n">
        <v>8.51503731580013</v>
      </c>
      <c r="Q133" s="10" t="n">
        <v>0.117439297434956</v>
      </c>
      <c r="R133" s="9" t="n">
        <v>9.5</v>
      </c>
      <c r="S133" s="11" t="n">
        <f aca="false">IF(AND(ISNUMBER(R133),R133&gt;1,P133&gt;0),R133/P133-1,"")</f>
        <v>0.115673325632082</v>
      </c>
      <c r="T133" s="9" t="n">
        <f aca="false">IF(AND(ISNUMBER(P133),P133&gt;0),P133*EXP('Read me'!$B$22),"")</f>
        <v>10.400290063355</v>
      </c>
    </row>
    <row r="134" customFormat="false" ht="15" hidden="false" customHeight="false" outlineLevel="0" collapsed="false">
      <c r="A134" s="14" t="s">
        <v>123</v>
      </c>
      <c r="B134" s="14" t="s">
        <v>63</v>
      </c>
      <c r="C134" s="14" t="s">
        <v>124</v>
      </c>
      <c r="D134" s="14" t="s">
        <v>436</v>
      </c>
      <c r="E134" s="15" t="n">
        <v>5</v>
      </c>
      <c r="F134" s="14" t="s">
        <v>388</v>
      </c>
      <c r="G134" s="8" t="n">
        <v>14</v>
      </c>
      <c r="H134" s="14" t="s">
        <v>616</v>
      </c>
      <c r="I134" s="14" t="s">
        <v>235</v>
      </c>
      <c r="J134" s="14" t="s">
        <v>236</v>
      </c>
      <c r="K134" s="8" t="n">
        <v>14</v>
      </c>
      <c r="L134" s="8" t="n">
        <v>80</v>
      </c>
      <c r="M134" s="8" t="n">
        <v>5</v>
      </c>
      <c r="N134" s="8" t="n">
        <v>13</v>
      </c>
      <c r="O134" s="8" t="n">
        <v>3</v>
      </c>
      <c r="P134" s="9" t="n">
        <v>8.88454633382729</v>
      </c>
      <c r="Q134" s="10" t="n">
        <v>0.112554987325866</v>
      </c>
      <c r="R134" s="9" t="n">
        <v>8.5</v>
      </c>
      <c r="S134" s="11" t="n">
        <f aca="false">IF(AND(ISNUMBER(R134),R134&gt;1,P134&gt;0),R134/P134-1,"")</f>
        <v>-0.0432826077301386</v>
      </c>
      <c r="T134" s="9" t="n">
        <f aca="false">IF(AND(ISNUMBER(P134),P134&gt;0),P134*EXP('Read me'!$B$22),"")</f>
        <v>10.8516093971385</v>
      </c>
    </row>
    <row r="135" customFormat="false" ht="15" hidden="false" customHeight="false" outlineLevel="0" collapsed="false">
      <c r="A135" s="14" t="s">
        <v>123</v>
      </c>
      <c r="B135" s="14" t="s">
        <v>63</v>
      </c>
      <c r="C135" s="14" t="s">
        <v>124</v>
      </c>
      <c r="D135" s="14" t="s">
        <v>436</v>
      </c>
      <c r="E135" s="15" t="n">
        <v>5</v>
      </c>
      <c r="F135" s="14" t="s">
        <v>388</v>
      </c>
      <c r="G135" s="8" t="n">
        <v>14</v>
      </c>
      <c r="H135" s="14" t="s">
        <v>617</v>
      </c>
      <c r="I135" s="14" t="s">
        <v>618</v>
      </c>
      <c r="J135" s="14" t="s">
        <v>619</v>
      </c>
      <c r="K135" s="8" t="n">
        <v>7</v>
      </c>
      <c r="L135" s="8" t="n">
        <v>80</v>
      </c>
      <c r="M135" s="8" t="n">
        <v>8</v>
      </c>
      <c r="N135" s="8" t="n">
        <v>13</v>
      </c>
      <c r="O135" s="8" t="n">
        <v>4</v>
      </c>
      <c r="P135" s="9" t="n">
        <v>9.69679156136217</v>
      </c>
      <c r="Q135" s="10" t="n">
        <v>0.103126894465237</v>
      </c>
      <c r="R135" s="9" t="n">
        <v>7.5</v>
      </c>
      <c r="S135" s="11" t="n">
        <f aca="false">IF(AND(ISNUMBER(R135),R135&gt;1,P135&gt;0),R135/P135-1,"")</f>
        <v>-0.22654829151072</v>
      </c>
      <c r="T135" s="9" t="n">
        <f aca="false">IF(AND(ISNUMBER(P135),P135&gt;0),P135*EXP('Read me'!$B$22),"")</f>
        <v>11.843687958352</v>
      </c>
    </row>
    <row r="136" customFormat="false" ht="15" hidden="false" customHeight="false" outlineLevel="0" collapsed="false">
      <c r="A136" s="14" t="s">
        <v>123</v>
      </c>
      <c r="B136" s="14" t="s">
        <v>63</v>
      </c>
      <c r="C136" s="14" t="s">
        <v>124</v>
      </c>
      <c r="D136" s="14" t="s">
        <v>436</v>
      </c>
      <c r="E136" s="15" t="n">
        <v>5</v>
      </c>
      <c r="F136" s="14" t="s">
        <v>388</v>
      </c>
      <c r="G136" s="8" t="n">
        <v>14</v>
      </c>
      <c r="H136" s="14" t="s">
        <v>620</v>
      </c>
      <c r="I136" s="14" t="s">
        <v>66</v>
      </c>
      <c r="J136" s="14" t="s">
        <v>621</v>
      </c>
      <c r="K136" s="8" t="n">
        <v>9</v>
      </c>
      <c r="L136" s="8" t="n">
        <v>79</v>
      </c>
      <c r="M136" s="8" t="n">
        <v>4</v>
      </c>
      <c r="N136" s="8" t="n">
        <v>13</v>
      </c>
      <c r="O136" s="8" t="n">
        <v>5</v>
      </c>
      <c r="P136" s="9" t="n">
        <v>10.1011945525548</v>
      </c>
      <c r="Q136" s="10" t="n">
        <v>0.0989981922234215</v>
      </c>
      <c r="R136" s="9" t="n">
        <v>9.5</v>
      </c>
      <c r="S136" s="11" t="n">
        <f aca="false">IF(AND(ISNUMBER(R136),R136&gt;1,P136&gt;0),R136/P136-1,"")</f>
        <v>-0.059517173877495</v>
      </c>
      <c r="T136" s="9" t="n">
        <f aca="false">IF(AND(ISNUMBER(P136),P136&gt;0),P136*EXP('Read me'!$B$22),"")</f>
        <v>12.3376268872029</v>
      </c>
    </row>
    <row r="137" customFormat="false" ht="15" hidden="false" customHeight="false" outlineLevel="0" collapsed="false">
      <c r="A137" s="14" t="s">
        <v>123</v>
      </c>
      <c r="B137" s="14" t="s">
        <v>63</v>
      </c>
      <c r="C137" s="14" t="s">
        <v>124</v>
      </c>
      <c r="D137" s="14" t="s">
        <v>436</v>
      </c>
      <c r="E137" s="15" t="n">
        <v>5</v>
      </c>
      <c r="F137" s="14" t="s">
        <v>388</v>
      </c>
      <c r="G137" s="8" t="n">
        <v>14</v>
      </c>
      <c r="H137" s="14" t="s">
        <v>622</v>
      </c>
      <c r="I137" s="14" t="s">
        <v>623</v>
      </c>
      <c r="J137" s="14" t="s">
        <v>621</v>
      </c>
      <c r="K137" s="8" t="n">
        <v>15</v>
      </c>
      <c r="L137" s="8" t="n">
        <v>76</v>
      </c>
      <c r="M137" s="8" t="n">
        <v>5</v>
      </c>
      <c r="N137" s="8" t="n">
        <v>10</v>
      </c>
      <c r="O137" s="8" t="n">
        <v>6</v>
      </c>
      <c r="P137" s="9" t="n">
        <v>10.2222430578241</v>
      </c>
      <c r="Q137" s="10" t="n">
        <v>0.0978258875613997</v>
      </c>
      <c r="R137" s="9" t="n">
        <v>5.5</v>
      </c>
      <c r="S137" s="11" t="n">
        <f aca="false">IF(AND(ISNUMBER(R137),R137&gt;1,P137&gt;0),R137/P137-1,"")</f>
        <v>-0.461957618412301</v>
      </c>
      <c r="T137" s="9" t="n">
        <f aca="false">IF(AND(ISNUMBER(P137),P137&gt;0),P137*EXP('Read me'!$B$22),"")</f>
        <v>12.48547586541</v>
      </c>
    </row>
    <row r="138" customFormat="false" ht="15" hidden="false" customHeight="false" outlineLevel="0" collapsed="false">
      <c r="A138" s="14" t="s">
        <v>123</v>
      </c>
      <c r="B138" s="14" t="s">
        <v>63</v>
      </c>
      <c r="C138" s="14" t="s">
        <v>124</v>
      </c>
      <c r="D138" s="14" t="s">
        <v>436</v>
      </c>
      <c r="E138" s="15" t="n">
        <v>5</v>
      </c>
      <c r="F138" s="14" t="s">
        <v>388</v>
      </c>
      <c r="G138" s="8" t="n">
        <v>14</v>
      </c>
      <c r="H138" s="14" t="s">
        <v>624</v>
      </c>
      <c r="I138" s="14" t="s">
        <v>441</v>
      </c>
      <c r="J138" s="14" t="s">
        <v>625</v>
      </c>
      <c r="K138" s="8" t="n">
        <v>3</v>
      </c>
      <c r="L138" s="8" t="n">
        <v>75</v>
      </c>
      <c r="M138" s="8" t="n">
        <v>5</v>
      </c>
      <c r="N138" s="8" t="n">
        <v>13</v>
      </c>
      <c r="O138" s="8" t="n">
        <v>7</v>
      </c>
      <c r="P138" s="9" t="n">
        <v>13.7981399853767</v>
      </c>
      <c r="Q138" s="10" t="n">
        <v>0.0724735363650318</v>
      </c>
      <c r="R138" s="9" t="n">
        <v>13</v>
      </c>
      <c r="S138" s="11" t="n">
        <f aca="false">IF(AND(ISNUMBER(R138),R138&gt;1,P138&gt;0),R138/P138-1,"")</f>
        <v>-0.0578440272545857</v>
      </c>
      <c r="T138" s="9" t="n">
        <f aca="false">IF(AND(ISNUMBER(P138),P138&gt;0),P138*EXP('Read me'!$B$22),"")</f>
        <v>16.8530862356193</v>
      </c>
    </row>
    <row r="139" customFormat="false" ht="15" hidden="false" customHeight="false" outlineLevel="0" collapsed="false">
      <c r="A139" s="14" t="s">
        <v>123</v>
      </c>
      <c r="B139" s="14" t="s">
        <v>63</v>
      </c>
      <c r="C139" s="14" t="s">
        <v>124</v>
      </c>
      <c r="D139" s="14" t="s">
        <v>436</v>
      </c>
      <c r="E139" s="15" t="n">
        <v>5</v>
      </c>
      <c r="F139" s="14" t="s">
        <v>388</v>
      </c>
      <c r="G139" s="8" t="n">
        <v>14</v>
      </c>
      <c r="H139" s="14" t="s">
        <v>626</v>
      </c>
      <c r="I139" s="14" t="s">
        <v>503</v>
      </c>
      <c r="J139" s="14" t="s">
        <v>627</v>
      </c>
      <c r="K139" s="8" t="n">
        <v>8</v>
      </c>
      <c r="L139" s="8" t="n">
        <v>74</v>
      </c>
      <c r="M139" s="8" t="n">
        <v>8</v>
      </c>
      <c r="N139" s="8" t="n">
        <v>18</v>
      </c>
      <c r="O139" s="8" t="n">
        <v>8</v>
      </c>
      <c r="P139" s="9" t="n">
        <v>17.1487888695462</v>
      </c>
      <c r="Q139" s="10" t="n">
        <v>0.0583131559672916</v>
      </c>
      <c r="R139" s="9" t="n">
        <v>12</v>
      </c>
      <c r="S139" s="11" t="n">
        <f aca="false">IF(AND(ISNUMBER(R139),R139&gt;1,P139&gt;0),R139/P139-1,"")</f>
        <v>-0.3002421283925</v>
      </c>
      <c r="T139" s="9" t="n">
        <f aca="false">IF(AND(ISNUMBER(P139),P139&gt;0),P139*EXP('Read me'!$B$22),"")</f>
        <v>20.9455780243701</v>
      </c>
    </row>
    <row r="140" customFormat="false" ht="15" hidden="false" customHeight="false" outlineLevel="0" collapsed="false">
      <c r="A140" s="14" t="s">
        <v>123</v>
      </c>
      <c r="B140" s="14" t="s">
        <v>63</v>
      </c>
      <c r="C140" s="14" t="s">
        <v>124</v>
      </c>
      <c r="D140" s="14" t="s">
        <v>436</v>
      </c>
      <c r="E140" s="15" t="n">
        <v>5</v>
      </c>
      <c r="F140" s="14" t="s">
        <v>388</v>
      </c>
      <c r="G140" s="8" t="n">
        <v>14</v>
      </c>
      <c r="H140" s="14" t="s">
        <v>628</v>
      </c>
      <c r="I140" s="14" t="s">
        <v>444</v>
      </c>
      <c r="J140" s="14" t="s">
        <v>629</v>
      </c>
      <c r="K140" s="8" t="n">
        <v>11</v>
      </c>
      <c r="L140" s="8" t="n">
        <v>69</v>
      </c>
      <c r="M140" s="8" t="n">
        <v>10</v>
      </c>
      <c r="N140" s="8" t="n">
        <v>26</v>
      </c>
      <c r="O140" s="8" t="n">
        <v>9</v>
      </c>
      <c r="P140" s="9" t="n">
        <v>18.7421510150854</v>
      </c>
      <c r="Q140" s="10" t="n">
        <v>0.053355668684726</v>
      </c>
      <c r="R140" s="9" t="n">
        <v>9.5</v>
      </c>
      <c r="S140" s="11" t="n">
        <f aca="false">IF(AND(ISNUMBER(R140),R140&gt;1,P140&gt;0),R140/P140-1,"")</f>
        <v>-0.493121147495103</v>
      </c>
      <c r="T140" s="9" t="n">
        <f aca="false">IF(AND(ISNUMBER(P140),P140&gt;0),P140*EXP('Read me'!$B$22),"")</f>
        <v>22.8917149436798</v>
      </c>
    </row>
    <row r="141" customFormat="false" ht="15" hidden="false" customHeight="false" outlineLevel="0" collapsed="false">
      <c r="A141" s="14" t="s">
        <v>123</v>
      </c>
      <c r="B141" s="14" t="s">
        <v>63</v>
      </c>
      <c r="C141" s="14" t="s">
        <v>124</v>
      </c>
      <c r="D141" s="14" t="s">
        <v>436</v>
      </c>
      <c r="E141" s="15" t="n">
        <v>5</v>
      </c>
      <c r="F141" s="14" t="s">
        <v>388</v>
      </c>
      <c r="G141" s="8" t="n">
        <v>14</v>
      </c>
      <c r="H141" s="14" t="s">
        <v>630</v>
      </c>
      <c r="I141" s="14" t="s">
        <v>631</v>
      </c>
      <c r="J141" s="14" t="s">
        <v>236</v>
      </c>
      <c r="K141" s="8" t="n">
        <v>6</v>
      </c>
      <c r="L141" s="8" t="n">
        <v>64</v>
      </c>
      <c r="M141" s="8" t="n">
        <v>6</v>
      </c>
      <c r="N141" s="8" t="n">
        <v>11</v>
      </c>
      <c r="O141" s="8" t="n">
        <v>10</v>
      </c>
      <c r="P141" s="9" t="n">
        <v>22.738743183069</v>
      </c>
      <c r="Q141" s="10" t="n">
        <v>0.0439778043996991</v>
      </c>
      <c r="R141" s="9" t="n">
        <v>19</v>
      </c>
      <c r="S141" s="11" t="n">
        <f aca="false">IF(AND(ISNUMBER(R141),R141&gt;1,P141&gt;0),R141/P141-1,"")</f>
        <v>-0.164421716405716</v>
      </c>
      <c r="T141" s="9" t="n">
        <f aca="false">IF(AND(ISNUMBER(P141),P141&gt;0),P141*EXP('Read me'!$B$22),"")</f>
        <v>27.7731636408962</v>
      </c>
    </row>
    <row r="142" customFormat="false" ht="15" hidden="false" customHeight="false" outlineLevel="0" collapsed="false">
      <c r="A142" s="14" t="s">
        <v>123</v>
      </c>
      <c r="B142" s="14" t="s">
        <v>63</v>
      </c>
      <c r="C142" s="14" t="s">
        <v>124</v>
      </c>
      <c r="D142" s="14" t="s">
        <v>436</v>
      </c>
      <c r="E142" s="15" t="n">
        <v>5</v>
      </c>
      <c r="F142" s="14" t="s">
        <v>388</v>
      </c>
      <c r="G142" s="8" t="n">
        <v>14</v>
      </c>
      <c r="H142" s="14" t="s">
        <v>632</v>
      </c>
      <c r="I142" s="14" t="s">
        <v>438</v>
      </c>
      <c r="J142" s="14" t="s">
        <v>625</v>
      </c>
      <c r="K142" s="8" t="n">
        <v>10</v>
      </c>
      <c r="L142" s="8" t="n">
        <v>70</v>
      </c>
      <c r="M142" s="8" t="n">
        <v>7</v>
      </c>
      <c r="N142" s="8" t="n">
        <v>10</v>
      </c>
      <c r="O142" s="8" t="n">
        <v>11</v>
      </c>
      <c r="P142" s="9" t="n">
        <v>34.4877395296972</v>
      </c>
      <c r="Q142" s="10" t="n">
        <v>0.028995811660515</v>
      </c>
      <c r="R142" s="9" t="n">
        <v>17</v>
      </c>
      <c r="S142" s="11" t="n">
        <f aca="false">IF(AND(ISNUMBER(R142),R142&gt;1,P142&gt;0),R142/P142-1,"")</f>
        <v>-0.507071201771244</v>
      </c>
      <c r="T142" s="9" t="n">
        <f aca="false">IF(AND(ISNUMBER(P142),P142&gt;0),P142*EXP('Read me'!$B$22),"")</f>
        <v>42.1234201842817</v>
      </c>
    </row>
    <row r="143" customFormat="false" ht="15" hidden="false" customHeight="false" outlineLevel="0" collapsed="false">
      <c r="A143" s="14" t="s">
        <v>123</v>
      </c>
      <c r="B143" s="14" t="s">
        <v>63</v>
      </c>
      <c r="C143" s="14" t="s">
        <v>124</v>
      </c>
      <c r="D143" s="14" t="s">
        <v>436</v>
      </c>
      <c r="E143" s="15" t="n">
        <v>5</v>
      </c>
      <c r="F143" s="14" t="s">
        <v>388</v>
      </c>
      <c r="G143" s="8" t="n">
        <v>14</v>
      </c>
      <c r="H143" s="14" t="s">
        <v>633</v>
      </c>
      <c r="I143" s="14" t="s">
        <v>634</v>
      </c>
      <c r="J143" s="14" t="s">
        <v>201</v>
      </c>
      <c r="K143" s="8" t="n">
        <v>2</v>
      </c>
      <c r="L143" s="8" t="n">
        <v>63</v>
      </c>
      <c r="M143" s="8" t="n">
        <v>9</v>
      </c>
      <c r="N143" s="8" t="n">
        <v>45</v>
      </c>
      <c r="O143" s="8" t="n">
        <v>12</v>
      </c>
      <c r="P143" s="9" t="n">
        <v>37.1793125255907</v>
      </c>
      <c r="Q143" s="10" t="n">
        <v>0.0268966780736382</v>
      </c>
      <c r="R143" s="9" t="n">
        <v>11</v>
      </c>
      <c r="S143" s="11" t="n">
        <f aca="false">IF(AND(ISNUMBER(R143),R143&gt;1,P143&gt;0),R143/P143-1,"")</f>
        <v>-0.704136541189979</v>
      </c>
      <c r="T143" s="9" t="n">
        <f aca="false">IF(AND(ISNUMBER(P143),P143&gt;0),P143*EXP('Read me'!$B$22),"")</f>
        <v>45.4109148652554</v>
      </c>
    </row>
    <row r="144" customFormat="false" ht="15" hidden="false" customHeight="false" outlineLevel="0" collapsed="false">
      <c r="A144" s="14" t="s">
        <v>123</v>
      </c>
      <c r="B144" s="14" t="s">
        <v>63</v>
      </c>
      <c r="C144" s="14" t="s">
        <v>124</v>
      </c>
      <c r="D144" s="14" t="s">
        <v>436</v>
      </c>
      <c r="E144" s="15" t="n">
        <v>5</v>
      </c>
      <c r="F144" s="14" t="s">
        <v>388</v>
      </c>
      <c r="G144" s="8" t="n">
        <v>14</v>
      </c>
      <c r="H144" s="14" t="s">
        <v>635</v>
      </c>
      <c r="I144" s="14" t="s">
        <v>193</v>
      </c>
      <c r="J144" s="14" t="s">
        <v>621</v>
      </c>
      <c r="K144" s="8" t="n">
        <v>5</v>
      </c>
      <c r="L144" s="8" t="n">
        <v>78</v>
      </c>
      <c r="M144" s="8" t="n">
        <v>3</v>
      </c>
      <c r="N144" s="8" t="n">
        <v>13</v>
      </c>
      <c r="O144" s="8" t="n">
        <v>13</v>
      </c>
      <c r="P144" s="9" t="n">
        <v>65.3451203929823</v>
      </c>
      <c r="Q144" s="10" t="n">
        <v>0.0153033615055883</v>
      </c>
      <c r="R144" s="9" t="n">
        <v>29</v>
      </c>
      <c r="S144" s="11" t="n">
        <f aca="false">IF(AND(ISNUMBER(R144),R144&gt;1,P144&gt;0),R144/P144-1,"")</f>
        <v>-0.556202516337939</v>
      </c>
      <c r="T144" s="9" t="n">
        <f aca="false">IF(AND(ISNUMBER(P144),P144&gt;0),P144*EXP('Read me'!$B$22),"")</f>
        <v>79.8127102802969</v>
      </c>
    </row>
    <row r="145" customFormat="false" ht="15" hidden="false" customHeight="false" outlineLevel="0" collapsed="false">
      <c r="A145" s="14" t="s">
        <v>123</v>
      </c>
      <c r="B145" s="14" t="s">
        <v>63</v>
      </c>
      <c r="C145" s="14" t="s">
        <v>124</v>
      </c>
      <c r="D145" s="14" t="s">
        <v>436</v>
      </c>
      <c r="E145" s="15" t="n">
        <v>5</v>
      </c>
      <c r="F145" s="14" t="s">
        <v>388</v>
      </c>
      <c r="G145" s="8" t="n">
        <v>14</v>
      </c>
      <c r="H145" s="14" t="s">
        <v>636</v>
      </c>
      <c r="I145" s="14" t="s">
        <v>272</v>
      </c>
      <c r="J145" s="14" t="s">
        <v>201</v>
      </c>
      <c r="K145" s="8" t="n">
        <v>4</v>
      </c>
      <c r="L145" s="8" t="n">
        <v>76</v>
      </c>
      <c r="M145" s="8" t="n">
        <v>4</v>
      </c>
      <c r="N145" s="8" t="n">
        <v>43</v>
      </c>
      <c r="O145" s="8" t="n">
        <v>14</v>
      </c>
      <c r="P145" s="9" t="n">
        <v>67.7161288732591</v>
      </c>
      <c r="Q145" s="10" t="n">
        <v>0.0147675305224793</v>
      </c>
      <c r="R145" s="9" t="n">
        <v>34</v>
      </c>
      <c r="S145" s="11" t="n">
        <f aca="false">IF(AND(ISNUMBER(R145),R145&gt;1,P145&gt;0),R145/P145-1,"")</f>
        <v>-0.497903962235701</v>
      </c>
      <c r="T145" s="9" t="n">
        <f aca="false">IF(AND(ISNUMBER(P145),P145&gt;0),P145*EXP('Read me'!$B$22),"")</f>
        <v>82.7086665777282</v>
      </c>
    </row>
    <row r="146" customFormat="false" ht="15" hidden="false" customHeight="false" outlineLevel="0" collapsed="false">
      <c r="A146" s="14" t="s">
        <v>129</v>
      </c>
      <c r="B146" s="14" t="s">
        <v>42</v>
      </c>
      <c r="C146" s="14" t="s">
        <v>130</v>
      </c>
      <c r="D146" s="14"/>
      <c r="E146" s="15" t="n">
        <v>6</v>
      </c>
      <c r="F146" s="14" t="s">
        <v>367</v>
      </c>
      <c r="G146" s="8" t="n">
        <v>7</v>
      </c>
      <c r="H146" s="14" t="s">
        <v>131</v>
      </c>
      <c r="I146" s="14" t="s">
        <v>132</v>
      </c>
      <c r="J146" s="14" t="s">
        <v>133</v>
      </c>
      <c r="K146" s="8" t="n">
        <v>4</v>
      </c>
      <c r="L146" s="8" t="n">
        <v>109</v>
      </c>
      <c r="M146" s="8" t="n">
        <v>2</v>
      </c>
      <c r="N146" s="8" t="n">
        <v>79</v>
      </c>
      <c r="O146" s="8" t="n">
        <v>1</v>
      </c>
      <c r="P146" s="9" t="n">
        <v>2.80950963069644</v>
      </c>
      <c r="Q146" s="10" t="n">
        <v>0.355933999682398</v>
      </c>
      <c r="R146" s="9" t="n">
        <v>2.25</v>
      </c>
      <c r="S146" s="11" t="n">
        <f aca="false">IF(AND(ISNUMBER(R146),R146&gt;1,P146&gt;0),R146/P146-1,"")</f>
        <v>-0.199148500714604</v>
      </c>
      <c r="T146" s="9" t="n">
        <f aca="false">IF(AND(ISNUMBER(P146),P146&gt;0),P146*EXP('Read me'!$B$22),"")</f>
        <v>3.43154281201019</v>
      </c>
    </row>
    <row r="147" customFormat="false" ht="15" hidden="false" customHeight="false" outlineLevel="0" collapsed="false">
      <c r="A147" s="14" t="s">
        <v>129</v>
      </c>
      <c r="B147" s="14" t="s">
        <v>42</v>
      </c>
      <c r="C147" s="14" t="s">
        <v>130</v>
      </c>
      <c r="D147" s="14"/>
      <c r="E147" s="15" t="n">
        <v>6</v>
      </c>
      <c r="F147" s="14" t="s">
        <v>367</v>
      </c>
      <c r="G147" s="8" t="n">
        <v>7</v>
      </c>
      <c r="H147" s="14" t="s">
        <v>134</v>
      </c>
      <c r="I147" s="14" t="s">
        <v>246</v>
      </c>
      <c r="J147" s="14" t="s">
        <v>247</v>
      </c>
      <c r="K147" s="8" t="n">
        <v>7</v>
      </c>
      <c r="L147" s="8" t="n">
        <v>110</v>
      </c>
      <c r="M147" s="8" t="n">
        <v>2</v>
      </c>
      <c r="N147" s="8" t="n">
        <v>98</v>
      </c>
      <c r="O147" s="8" t="n">
        <v>2</v>
      </c>
      <c r="P147" s="9" t="n">
        <v>3.31894406564077</v>
      </c>
      <c r="Q147" s="10" t="n">
        <v>0.301300648707057</v>
      </c>
      <c r="R147" s="9" t="n">
        <v>4</v>
      </c>
      <c r="S147" s="11" t="n">
        <f aca="false">IF(AND(ISNUMBER(R147),R147&gt;1,P147&gt;0),R147/P147-1,"")</f>
        <v>0.205202594828227</v>
      </c>
      <c r="T147" s="9" t="n">
        <f aca="false">IF(AND(ISNUMBER(P147),P147&gt;0),P147*EXP('Read me'!$B$22),"")</f>
        <v>4.05376743595296</v>
      </c>
    </row>
    <row r="148" customFormat="false" ht="15" hidden="false" customHeight="false" outlineLevel="0" collapsed="false">
      <c r="A148" s="14" t="s">
        <v>129</v>
      </c>
      <c r="B148" s="14" t="s">
        <v>42</v>
      </c>
      <c r="C148" s="14" t="s">
        <v>130</v>
      </c>
      <c r="D148" s="14"/>
      <c r="E148" s="15" t="n">
        <v>6</v>
      </c>
      <c r="F148" s="14" t="s">
        <v>367</v>
      </c>
      <c r="G148" s="8" t="n">
        <v>7</v>
      </c>
      <c r="H148" s="14" t="s">
        <v>637</v>
      </c>
      <c r="I148" s="14" t="s">
        <v>72</v>
      </c>
      <c r="J148" s="14" t="s">
        <v>73</v>
      </c>
      <c r="K148" s="8" t="n">
        <v>5</v>
      </c>
      <c r="L148" s="8" t="n">
        <v>0</v>
      </c>
      <c r="M148" s="8" t="n">
        <v>2</v>
      </c>
      <c r="N148" s="8" t="n">
        <v>17</v>
      </c>
      <c r="O148" s="8" t="n">
        <v>3</v>
      </c>
      <c r="P148" s="9" t="n">
        <v>6.5121602014746</v>
      </c>
      <c r="Q148" s="10" t="n">
        <v>0.153558875866347</v>
      </c>
      <c r="R148" s="9" t="n">
        <v>6.5</v>
      </c>
      <c r="S148" s="11" t="n">
        <f aca="false">IF(AND(ISNUMBER(R148),R148&gt;1,P148&gt;0),R148/P148-1,"")</f>
        <v>-0.00186730686874736</v>
      </c>
      <c r="T148" s="9" t="n">
        <f aca="false">IF(AND(ISNUMBER(P148),P148&gt;0),P148*EXP('Read me'!$B$22),"")</f>
        <v>7.95397043166196</v>
      </c>
    </row>
    <row r="149" customFormat="false" ht="15" hidden="false" customHeight="false" outlineLevel="0" collapsed="false">
      <c r="A149" s="14" t="s">
        <v>129</v>
      </c>
      <c r="B149" s="14" t="s">
        <v>42</v>
      </c>
      <c r="C149" s="14" t="s">
        <v>130</v>
      </c>
      <c r="D149" s="14"/>
      <c r="E149" s="15" t="n">
        <v>6</v>
      </c>
      <c r="F149" s="14" t="s">
        <v>367</v>
      </c>
      <c r="G149" s="8" t="n">
        <v>7</v>
      </c>
      <c r="H149" s="14" t="s">
        <v>638</v>
      </c>
      <c r="I149" s="14" t="s">
        <v>639</v>
      </c>
      <c r="J149" s="14" t="s">
        <v>108</v>
      </c>
      <c r="K149" s="8" t="n">
        <v>6</v>
      </c>
      <c r="L149" s="8" t="n">
        <v>0</v>
      </c>
      <c r="M149" s="8" t="n">
        <v>2</v>
      </c>
      <c r="N149" s="8" t="n">
        <v>28</v>
      </c>
      <c r="O149" s="8" t="n">
        <v>4</v>
      </c>
      <c r="P149" s="9" t="n">
        <v>11.2608617986321</v>
      </c>
      <c r="Q149" s="10" t="n">
        <v>0.088803150050334</v>
      </c>
      <c r="R149" s="9" t="n">
        <v>5.5</v>
      </c>
      <c r="S149" s="11" t="n">
        <f aca="false">IF(AND(ISNUMBER(R149),R149&gt;1,P149&gt;0),R149/P149-1,"")</f>
        <v>-0.511582674723163</v>
      </c>
      <c r="T149" s="9" t="n">
        <f aca="false">IF(AND(ISNUMBER(P149),P149&gt;0),P149*EXP('Read me'!$B$22),"")</f>
        <v>13.7540476601097</v>
      </c>
    </row>
    <row r="150" customFormat="false" ht="15" hidden="false" customHeight="false" outlineLevel="0" collapsed="false">
      <c r="A150" s="14" t="s">
        <v>129</v>
      </c>
      <c r="B150" s="14" t="s">
        <v>42</v>
      </c>
      <c r="C150" s="14" t="s">
        <v>130</v>
      </c>
      <c r="D150" s="14"/>
      <c r="E150" s="15" t="n">
        <v>6</v>
      </c>
      <c r="F150" s="14" t="s">
        <v>367</v>
      </c>
      <c r="G150" s="8" t="n">
        <v>7</v>
      </c>
      <c r="H150" s="14" t="s">
        <v>640</v>
      </c>
      <c r="I150" s="14" t="s">
        <v>206</v>
      </c>
      <c r="J150" s="14" t="s">
        <v>73</v>
      </c>
      <c r="K150" s="8" t="n">
        <v>1</v>
      </c>
      <c r="L150" s="8" t="n">
        <v>101</v>
      </c>
      <c r="M150" s="8" t="n">
        <v>2</v>
      </c>
      <c r="N150" s="8" t="n">
        <v>70</v>
      </c>
      <c r="O150" s="8" t="n">
        <v>5</v>
      </c>
      <c r="P150" s="9" t="n">
        <v>20.6820015578971</v>
      </c>
      <c r="Q150" s="10" t="n">
        <v>0.048351219643834</v>
      </c>
      <c r="R150" s="9" t="n">
        <v>21</v>
      </c>
      <c r="S150" s="11" t="n">
        <f aca="false">IF(AND(ISNUMBER(R150),R150&gt;1,P150&gt;0),R150/P150-1,"")</f>
        <v>0.0153756125205147</v>
      </c>
      <c r="T150" s="9" t="n">
        <f aca="false">IF(AND(ISNUMBER(P150),P150&gt;0),P150*EXP('Read me'!$B$22),"")</f>
        <v>25.2610537470884</v>
      </c>
    </row>
    <row r="151" customFormat="false" ht="15" hidden="false" customHeight="false" outlineLevel="0" collapsed="false">
      <c r="A151" s="14" t="s">
        <v>129</v>
      </c>
      <c r="B151" s="14" t="s">
        <v>42</v>
      </c>
      <c r="C151" s="14" t="s">
        <v>130</v>
      </c>
      <c r="D151" s="14"/>
      <c r="E151" s="15" t="n">
        <v>6</v>
      </c>
      <c r="F151" s="14" t="s">
        <v>367</v>
      </c>
      <c r="G151" s="8" t="n">
        <v>7</v>
      </c>
      <c r="H151" s="14" t="s">
        <v>641</v>
      </c>
      <c r="I151" s="14" t="s">
        <v>642</v>
      </c>
      <c r="J151" s="14" t="s">
        <v>643</v>
      </c>
      <c r="K151" s="8" t="n">
        <v>2</v>
      </c>
      <c r="L151" s="8" t="n">
        <v>101</v>
      </c>
      <c r="M151" s="8" t="n">
        <v>2</v>
      </c>
      <c r="N151" s="8" t="n">
        <v>36</v>
      </c>
      <c r="O151" s="8" t="n">
        <v>6</v>
      </c>
      <c r="P151" s="9" t="n">
        <v>23.37840312143</v>
      </c>
      <c r="Q151" s="10" t="n">
        <v>0.042774521202577</v>
      </c>
      <c r="R151" s="9" t="n">
        <v>41</v>
      </c>
      <c r="S151" s="11" t="n">
        <f aca="false">IF(AND(ISNUMBER(R151),R151&gt;1,P151&gt;0),R151/P151-1,"")</f>
        <v>0.753755369305659</v>
      </c>
      <c r="T151" s="9" t="n">
        <f aca="false">IF(AND(ISNUMBER(P151),P151&gt;0),P151*EXP('Read me'!$B$22),"")</f>
        <v>28.5544460538949</v>
      </c>
    </row>
    <row r="152" customFormat="false" ht="15" hidden="false" customHeight="false" outlineLevel="0" collapsed="false">
      <c r="A152" s="14" t="s">
        <v>129</v>
      </c>
      <c r="B152" s="14" t="s">
        <v>42</v>
      </c>
      <c r="C152" s="14" t="s">
        <v>130</v>
      </c>
      <c r="D152" s="14"/>
      <c r="E152" s="15" t="n">
        <v>6</v>
      </c>
      <c r="F152" s="14" t="s">
        <v>367</v>
      </c>
      <c r="G152" s="8" t="n">
        <v>7</v>
      </c>
      <c r="H152" s="14" t="s">
        <v>644</v>
      </c>
      <c r="I152" s="14" t="s">
        <v>383</v>
      </c>
      <c r="J152" s="14" t="s">
        <v>392</v>
      </c>
      <c r="K152" s="8" t="n">
        <v>3</v>
      </c>
      <c r="L152" s="8" t="n">
        <v>94</v>
      </c>
      <c r="M152" s="8" t="n">
        <v>2</v>
      </c>
      <c r="N152" s="8" t="n">
        <v>8</v>
      </c>
      <c r="O152" s="8" t="n">
        <v>7</v>
      </c>
      <c r="P152" s="9" t="n">
        <v>107.786672549213</v>
      </c>
      <c r="Q152" s="10" t="n">
        <v>0.0092775848474534</v>
      </c>
      <c r="R152" s="9" t="n">
        <v>67</v>
      </c>
      <c r="S152" s="11" t="n">
        <f aca="false">IF(AND(ISNUMBER(R152),R152&gt;1,P152&gt;0),R152/P152-1,"")</f>
        <v>-0.378401815220621</v>
      </c>
      <c r="T152" s="9" t="n">
        <f aca="false">IF(AND(ISNUMBER(P152),P152&gt;0),P152*EXP('Read me'!$B$22),"")</f>
        <v>131.650939144516</v>
      </c>
    </row>
    <row r="153" customFormat="false" ht="15" hidden="false" customHeight="false" outlineLevel="0" collapsed="false">
      <c r="A153" s="14" t="s">
        <v>135</v>
      </c>
      <c r="B153" s="14" t="s">
        <v>98</v>
      </c>
      <c r="C153" s="14" t="s">
        <v>136</v>
      </c>
      <c r="D153" s="14" t="s">
        <v>570</v>
      </c>
      <c r="E153" s="15" t="n">
        <v>17.5</v>
      </c>
      <c r="F153" s="14" t="s">
        <v>388</v>
      </c>
      <c r="G153" s="8" t="n">
        <v>7</v>
      </c>
      <c r="H153" s="14" t="s">
        <v>137</v>
      </c>
      <c r="I153" s="14" t="s">
        <v>138</v>
      </c>
      <c r="J153" s="14" t="s">
        <v>139</v>
      </c>
      <c r="K153" s="8" t="n">
        <v>1</v>
      </c>
      <c r="L153" s="8" t="n">
        <v>0</v>
      </c>
      <c r="M153" s="8" t="n">
        <v>3</v>
      </c>
      <c r="N153" s="8" t="n">
        <v>19</v>
      </c>
      <c r="O153" s="8" t="n">
        <v>1</v>
      </c>
      <c r="P153" s="9" t="n">
        <v>2.34186490265621</v>
      </c>
      <c r="Q153" s="10" t="n">
        <v>0.427010114403171</v>
      </c>
      <c r="R153" s="9" t="n">
        <v>1.90909090909091</v>
      </c>
      <c r="S153" s="11" t="n">
        <f aca="false">IF(AND(ISNUMBER(R153),R153&gt;1,P153&gt;0),R153/P153-1,"")</f>
        <v>-0.184798872503037</v>
      </c>
      <c r="T153" s="9" t="n">
        <f aca="false">IF(AND(ISNUMBER(P153),P153&gt;0),P153*EXP('Read me'!$B$22),"")</f>
        <v>2.8603602513428</v>
      </c>
    </row>
    <row r="154" customFormat="false" ht="15" hidden="false" customHeight="false" outlineLevel="0" collapsed="false">
      <c r="A154" s="14" t="s">
        <v>135</v>
      </c>
      <c r="B154" s="14" t="s">
        <v>98</v>
      </c>
      <c r="C154" s="14" t="s">
        <v>136</v>
      </c>
      <c r="D154" s="14" t="s">
        <v>570</v>
      </c>
      <c r="E154" s="15" t="n">
        <v>17.5</v>
      </c>
      <c r="F154" s="14" t="s">
        <v>388</v>
      </c>
      <c r="G154" s="8" t="n">
        <v>7</v>
      </c>
      <c r="H154" s="14" t="s">
        <v>140</v>
      </c>
      <c r="I154" s="14" t="s">
        <v>513</v>
      </c>
      <c r="J154" s="14" t="s">
        <v>514</v>
      </c>
      <c r="K154" s="8" t="n">
        <v>5</v>
      </c>
      <c r="L154" s="8" t="n">
        <v>0</v>
      </c>
      <c r="M154" s="8" t="n">
        <v>3</v>
      </c>
      <c r="N154" s="8" t="n">
        <v>80</v>
      </c>
      <c r="O154" s="8" t="n">
        <v>2</v>
      </c>
      <c r="P154" s="9" t="n">
        <v>3.35096897382682</v>
      </c>
      <c r="Q154" s="10" t="n">
        <v>0.298421145588226</v>
      </c>
      <c r="R154" s="9" t="n">
        <v>4</v>
      </c>
      <c r="S154" s="11" t="n">
        <f aca="false">IF(AND(ISNUMBER(R154),R154&gt;1,P154&gt;0),R154/P154-1,"")</f>
        <v>0.193684582352903</v>
      </c>
      <c r="T154" s="9" t="n">
        <f aca="false">IF(AND(ISNUMBER(P154),P154&gt;0),P154*EXP('Read me'!$B$22),"")</f>
        <v>4.09288274714123</v>
      </c>
    </row>
    <row r="155" customFormat="false" ht="15" hidden="false" customHeight="false" outlineLevel="0" collapsed="false">
      <c r="A155" s="14" t="s">
        <v>135</v>
      </c>
      <c r="B155" s="14" t="s">
        <v>98</v>
      </c>
      <c r="C155" s="14" t="s">
        <v>136</v>
      </c>
      <c r="D155" s="14" t="s">
        <v>570</v>
      </c>
      <c r="E155" s="15" t="n">
        <v>17.5</v>
      </c>
      <c r="F155" s="14" t="s">
        <v>388</v>
      </c>
      <c r="G155" s="8" t="n">
        <v>7</v>
      </c>
      <c r="H155" s="14" t="s">
        <v>645</v>
      </c>
      <c r="I155" s="14" t="s">
        <v>646</v>
      </c>
      <c r="J155" s="14" t="s">
        <v>643</v>
      </c>
      <c r="K155" s="8" t="n">
        <v>2</v>
      </c>
      <c r="L155" s="8" t="n">
        <v>108</v>
      </c>
      <c r="M155" s="8" t="n">
        <v>3</v>
      </c>
      <c r="N155" s="8" t="n">
        <v>26</v>
      </c>
      <c r="O155" s="8" t="n">
        <v>3</v>
      </c>
      <c r="P155" s="9" t="n">
        <v>5.05987351980447</v>
      </c>
      <c r="Q155" s="10" t="n">
        <v>0.197633398559465</v>
      </c>
      <c r="R155" s="9" t="n">
        <v>5.5</v>
      </c>
      <c r="S155" s="11" t="n">
        <f aca="false">IF(AND(ISNUMBER(R155),R155&gt;1,P155&gt;0),R155/P155-1,"")</f>
        <v>0.0869836920770573</v>
      </c>
      <c r="T155" s="9" t="n">
        <f aca="false">IF(AND(ISNUMBER(P155),P155&gt;0),P155*EXP('Read me'!$B$22),"")</f>
        <v>6.18014347303079</v>
      </c>
    </row>
    <row r="156" customFormat="false" ht="15" hidden="false" customHeight="false" outlineLevel="0" collapsed="false">
      <c r="A156" s="14" t="s">
        <v>135</v>
      </c>
      <c r="B156" s="14" t="s">
        <v>98</v>
      </c>
      <c r="C156" s="14" t="s">
        <v>136</v>
      </c>
      <c r="D156" s="14" t="s">
        <v>570</v>
      </c>
      <c r="E156" s="15" t="n">
        <v>17.5</v>
      </c>
      <c r="F156" s="14" t="s">
        <v>388</v>
      </c>
      <c r="G156" s="8" t="n">
        <v>7</v>
      </c>
      <c r="H156" s="14" t="s">
        <v>647</v>
      </c>
      <c r="I156" s="14" t="s">
        <v>648</v>
      </c>
      <c r="J156" s="14" t="s">
        <v>649</v>
      </c>
      <c r="K156" s="8" t="n">
        <v>3</v>
      </c>
      <c r="L156" s="8" t="n">
        <v>0</v>
      </c>
      <c r="M156" s="8" t="n">
        <v>3</v>
      </c>
      <c r="N156" s="8" t="n">
        <v>23</v>
      </c>
      <c r="O156" s="8" t="n">
        <v>4</v>
      </c>
      <c r="P156" s="9" t="n">
        <v>14.5364446896306</v>
      </c>
      <c r="Q156" s="10" t="n">
        <v>0.0687926120417421</v>
      </c>
      <c r="R156" s="9" t="n">
        <v>6.5</v>
      </c>
      <c r="S156" s="11" t="n">
        <f aca="false">IF(AND(ISNUMBER(R156),R156&gt;1,P156&gt;0),R156/P156-1,"")</f>
        <v>-0.552848021728676</v>
      </c>
      <c r="T156" s="9" t="n">
        <f aca="false">IF(AND(ISNUMBER(P156),P156&gt;0),P156*EXP('Read me'!$B$22),"")</f>
        <v>17.7548536377576</v>
      </c>
    </row>
    <row r="157" customFormat="false" ht="15" hidden="false" customHeight="false" outlineLevel="0" collapsed="false">
      <c r="A157" s="14" t="s">
        <v>135</v>
      </c>
      <c r="B157" s="14" t="s">
        <v>98</v>
      </c>
      <c r="C157" s="14" t="s">
        <v>136</v>
      </c>
      <c r="D157" s="14" t="s">
        <v>570</v>
      </c>
      <c r="E157" s="15" t="n">
        <v>17.5</v>
      </c>
      <c r="F157" s="14" t="s">
        <v>388</v>
      </c>
      <c r="G157" s="8" t="n">
        <v>7</v>
      </c>
      <c r="H157" s="14" t="s">
        <v>650</v>
      </c>
      <c r="I157" s="14" t="s">
        <v>651</v>
      </c>
      <c r="J157" s="14" t="s">
        <v>652</v>
      </c>
      <c r="K157" s="8" t="n">
        <v>7</v>
      </c>
      <c r="L157" s="8" t="n">
        <v>0</v>
      </c>
      <c r="M157" s="8" t="n">
        <v>3</v>
      </c>
      <c r="N157" s="8"/>
      <c r="O157" s="8" t="n">
        <v>5</v>
      </c>
      <c r="P157" s="9" t="n">
        <v>251.880314788666</v>
      </c>
      <c r="Q157" s="10" t="n">
        <v>0.0039701395515525</v>
      </c>
      <c r="R157" s="9" t="n">
        <v>126</v>
      </c>
      <c r="S157" s="11" t="n">
        <f aca="false">IF(AND(ISNUMBER(R157),R157&gt;1,P157&gt;0),R157/P157-1,"")</f>
        <v>-0.499762416504373</v>
      </c>
      <c r="T157" s="9" t="n">
        <f aca="false">IF(AND(ISNUMBER(P157),P157&gt;0),P157*EXP('Read me'!$B$22),"")</f>
        <v>307.647311209128</v>
      </c>
    </row>
    <row r="158" customFormat="false" ht="15" hidden="false" customHeight="false" outlineLevel="0" collapsed="false">
      <c r="A158" s="14" t="s">
        <v>135</v>
      </c>
      <c r="B158" s="14" t="s">
        <v>98</v>
      </c>
      <c r="C158" s="14" t="s">
        <v>136</v>
      </c>
      <c r="D158" s="14" t="s">
        <v>570</v>
      </c>
      <c r="E158" s="15" t="n">
        <v>17.5</v>
      </c>
      <c r="F158" s="14" t="s">
        <v>388</v>
      </c>
      <c r="G158" s="8" t="n">
        <v>7</v>
      </c>
      <c r="H158" s="14" t="s">
        <v>653</v>
      </c>
      <c r="I158" s="14" t="s">
        <v>654</v>
      </c>
      <c r="J158" s="14" t="s">
        <v>655</v>
      </c>
      <c r="K158" s="8" t="n">
        <v>6</v>
      </c>
      <c r="L158" s="8" t="n">
        <v>0</v>
      </c>
      <c r="M158" s="8" t="n">
        <v>3</v>
      </c>
      <c r="N158" s="8" t="n">
        <v>66</v>
      </c>
      <c r="O158" s="8" t="n">
        <v>6</v>
      </c>
      <c r="P158" s="9" t="n">
        <v>371.892148504602</v>
      </c>
      <c r="Q158" s="10" t="n">
        <v>0.0026889516329426</v>
      </c>
      <c r="R158" s="9" t="n">
        <v>81</v>
      </c>
      <c r="S158" s="11" t="n">
        <f aca="false">IF(AND(ISNUMBER(R158),R158&gt;1,P158&gt;0),R158/P158-1,"")</f>
        <v>-0.782194917731646</v>
      </c>
      <c r="T158" s="9" t="n">
        <f aca="false">IF(AND(ISNUMBER(P158),P158&gt;0),P158*EXP('Read me'!$B$22),"")</f>
        <v>454.230095921633</v>
      </c>
    </row>
    <row r="159" customFormat="false" ht="15" hidden="false" customHeight="false" outlineLevel="0" collapsed="false">
      <c r="A159" s="14" t="s">
        <v>135</v>
      </c>
      <c r="B159" s="14" t="s">
        <v>98</v>
      </c>
      <c r="C159" s="14" t="s">
        <v>136</v>
      </c>
      <c r="D159" s="14" t="s">
        <v>570</v>
      </c>
      <c r="E159" s="15" t="n">
        <v>17.5</v>
      </c>
      <c r="F159" s="14" t="s">
        <v>388</v>
      </c>
      <c r="G159" s="8" t="n">
        <v>7</v>
      </c>
      <c r="H159" s="14" t="s">
        <v>656</v>
      </c>
      <c r="I159" s="14" t="s">
        <v>529</v>
      </c>
      <c r="J159" s="14" t="s">
        <v>530</v>
      </c>
      <c r="K159" s="8" t="n">
        <v>4</v>
      </c>
      <c r="L159" s="8" t="n">
        <v>0</v>
      </c>
      <c r="M159" s="8" t="n">
        <v>3</v>
      </c>
      <c r="N159" s="8" t="n">
        <v>26</v>
      </c>
      <c r="O159" s="8" t="n">
        <v>7</v>
      </c>
      <c r="P159" s="9" t="n">
        <v>674.018763175905</v>
      </c>
      <c r="Q159" s="10" t="n">
        <v>0.0014836382229006</v>
      </c>
      <c r="R159" s="9" t="n">
        <v>126</v>
      </c>
      <c r="S159" s="11" t="n">
        <f aca="false">IF(AND(ISNUMBER(R159),R159&gt;1,P159&gt;0),R159/P159-1,"")</f>
        <v>-0.813061583914517</v>
      </c>
      <c r="T159" s="9" t="n">
        <f aca="false">IF(AND(ISNUMBER(P159),P159&gt;0),P159*EXP('Read me'!$B$22),"")</f>
        <v>823.248376394757</v>
      </c>
    </row>
    <row r="160" customFormat="false" ht="15" hidden="false" customHeight="false" outlineLevel="0" collapsed="false">
      <c r="A160" s="14" t="s">
        <v>141</v>
      </c>
      <c r="B160" s="14" t="s">
        <v>49</v>
      </c>
      <c r="C160" s="14" t="s">
        <v>142</v>
      </c>
      <c r="D160" s="14"/>
      <c r="E160" s="15" t="n">
        <v>8</v>
      </c>
      <c r="F160" s="14" t="s">
        <v>388</v>
      </c>
      <c r="G160" s="8" t="n">
        <v>6</v>
      </c>
      <c r="H160" s="14" t="s">
        <v>143</v>
      </c>
      <c r="I160" s="14" t="s">
        <v>144</v>
      </c>
      <c r="J160" s="14" t="s">
        <v>73</v>
      </c>
      <c r="K160" s="8" t="n">
        <v>5</v>
      </c>
      <c r="L160" s="8" t="n">
        <v>0</v>
      </c>
      <c r="M160" s="8" t="n">
        <v>2</v>
      </c>
      <c r="N160" s="8" t="n">
        <v>11</v>
      </c>
      <c r="O160" s="8" t="n">
        <v>1</v>
      </c>
      <c r="P160" s="9" t="n">
        <v>2.43164762533301</v>
      </c>
      <c r="Q160" s="10" t="n">
        <v>0.411243796009733</v>
      </c>
      <c r="R160" s="9" t="n">
        <v>1.83333333333333</v>
      </c>
      <c r="S160" s="11" t="n">
        <f aca="false">IF(AND(ISNUMBER(R160),R160&gt;1,P160&gt;0),R160/P160-1,"")</f>
        <v>-0.246053040648824</v>
      </c>
      <c r="T160" s="9" t="n">
        <f aca="false">IF(AND(ISNUMBER(P160),P160&gt;0),P160*EXP('Read me'!$B$22),"")</f>
        <v>2.97002111645537</v>
      </c>
    </row>
    <row r="161" customFormat="false" ht="15" hidden="false" customHeight="false" outlineLevel="0" collapsed="false">
      <c r="A161" s="14" t="s">
        <v>141</v>
      </c>
      <c r="B161" s="14" t="s">
        <v>49</v>
      </c>
      <c r="C161" s="14" t="s">
        <v>142</v>
      </c>
      <c r="D161" s="14"/>
      <c r="E161" s="15" t="n">
        <v>8</v>
      </c>
      <c r="F161" s="14" t="s">
        <v>388</v>
      </c>
      <c r="G161" s="8" t="n">
        <v>6</v>
      </c>
      <c r="H161" s="14" t="s">
        <v>145</v>
      </c>
      <c r="I161" s="14" t="s">
        <v>171</v>
      </c>
      <c r="J161" s="14" t="s">
        <v>73</v>
      </c>
      <c r="K161" s="8" t="n">
        <v>3</v>
      </c>
      <c r="L161" s="8" t="n">
        <v>101</v>
      </c>
      <c r="M161" s="8" t="n">
        <v>2</v>
      </c>
      <c r="N161" s="8" t="n">
        <v>14</v>
      </c>
      <c r="O161" s="8" t="n">
        <v>2</v>
      </c>
      <c r="P161" s="9" t="n">
        <v>4.51984941589422</v>
      </c>
      <c r="Q161" s="10" t="n">
        <v>0.221246308888845</v>
      </c>
      <c r="R161" s="9" t="n">
        <v>5</v>
      </c>
      <c r="S161" s="11" t="n">
        <f aca="false">IF(AND(ISNUMBER(R161),R161&gt;1,P161&gt;0),R161/P161-1,"")</f>
        <v>0.106231544444226</v>
      </c>
      <c r="T161" s="9" t="n">
        <f aca="false">IF(AND(ISNUMBER(P161),P161&gt;0),P161*EXP('Read me'!$B$22),"")</f>
        <v>5.52055654304184</v>
      </c>
    </row>
    <row r="162" customFormat="false" ht="15" hidden="false" customHeight="false" outlineLevel="0" collapsed="false">
      <c r="A162" s="14" t="s">
        <v>141</v>
      </c>
      <c r="B162" s="14" t="s">
        <v>49</v>
      </c>
      <c r="C162" s="14" t="s">
        <v>142</v>
      </c>
      <c r="D162" s="14"/>
      <c r="E162" s="15" t="n">
        <v>8</v>
      </c>
      <c r="F162" s="14" t="s">
        <v>388</v>
      </c>
      <c r="G162" s="8" t="n">
        <v>6</v>
      </c>
      <c r="H162" s="14" t="s">
        <v>657</v>
      </c>
      <c r="I162" s="14" t="s">
        <v>212</v>
      </c>
      <c r="J162" s="14" t="s">
        <v>213</v>
      </c>
      <c r="K162" s="8" t="n">
        <v>2</v>
      </c>
      <c r="L162" s="8" t="n">
        <v>98</v>
      </c>
      <c r="M162" s="8" t="n">
        <v>2</v>
      </c>
      <c r="N162" s="8" t="n">
        <v>35</v>
      </c>
      <c r="O162" s="8" t="n">
        <v>3</v>
      </c>
      <c r="P162" s="9" t="n">
        <v>5.48449772800948</v>
      </c>
      <c r="Q162" s="10" t="n">
        <v>0.182332102152759</v>
      </c>
      <c r="R162" s="9" t="n">
        <v>5</v>
      </c>
      <c r="S162" s="11" t="n">
        <f aca="false">IF(AND(ISNUMBER(R162),R162&gt;1,P162&gt;0),R162/P162-1,"")</f>
        <v>-0.0883394892362041</v>
      </c>
      <c r="T162" s="9" t="n">
        <f aca="false">IF(AND(ISNUMBER(P162),P162&gt;0),P162*EXP('Read me'!$B$22),"")</f>
        <v>6.69878065211396</v>
      </c>
    </row>
    <row r="163" customFormat="false" ht="15" hidden="false" customHeight="false" outlineLevel="0" collapsed="false">
      <c r="A163" s="14" t="s">
        <v>141</v>
      </c>
      <c r="B163" s="14" t="s">
        <v>49</v>
      </c>
      <c r="C163" s="14" t="s">
        <v>142</v>
      </c>
      <c r="D163" s="14"/>
      <c r="E163" s="15" t="n">
        <v>8</v>
      </c>
      <c r="F163" s="14" t="s">
        <v>388</v>
      </c>
      <c r="G163" s="8" t="n">
        <v>6</v>
      </c>
      <c r="H163" s="14" t="s">
        <v>658</v>
      </c>
      <c r="I163" s="14" t="s">
        <v>397</v>
      </c>
      <c r="J163" s="14" t="s">
        <v>73</v>
      </c>
      <c r="K163" s="8" t="n">
        <v>1</v>
      </c>
      <c r="L163" s="8" t="n">
        <v>90</v>
      </c>
      <c r="M163" s="8" t="n">
        <v>2</v>
      </c>
      <c r="N163" s="8" t="n">
        <v>25</v>
      </c>
      <c r="O163" s="8" t="n">
        <v>4</v>
      </c>
      <c r="P163" s="9" t="n">
        <v>9.63977691358029</v>
      </c>
      <c r="Q163" s="10" t="n">
        <v>0.103736840485512</v>
      </c>
      <c r="R163" s="9" t="n">
        <v>17</v>
      </c>
      <c r="S163" s="11" t="n">
        <f aca="false">IF(AND(ISNUMBER(R163),R163&gt;1,P163&gt;0),R163/P163-1,"")</f>
        <v>0.763526288253705</v>
      </c>
      <c r="T163" s="9" t="n">
        <f aca="false">IF(AND(ISNUMBER(P163),P163&gt;0),P163*EXP('Read me'!$B$22),"")</f>
        <v>11.7740501102957</v>
      </c>
    </row>
    <row r="164" customFormat="false" ht="15" hidden="false" customHeight="false" outlineLevel="0" collapsed="false">
      <c r="A164" s="14" t="s">
        <v>141</v>
      </c>
      <c r="B164" s="14" t="s">
        <v>49</v>
      </c>
      <c r="C164" s="14" t="s">
        <v>142</v>
      </c>
      <c r="D164" s="14"/>
      <c r="E164" s="15" t="n">
        <v>8</v>
      </c>
      <c r="F164" s="14" t="s">
        <v>388</v>
      </c>
      <c r="G164" s="8" t="n">
        <v>6</v>
      </c>
      <c r="H164" s="14" t="s">
        <v>659</v>
      </c>
      <c r="I164" s="14" t="s">
        <v>415</v>
      </c>
      <c r="J164" s="14" t="s">
        <v>53</v>
      </c>
      <c r="K164" s="8" t="n">
        <v>6</v>
      </c>
      <c r="L164" s="8" t="n">
        <v>0</v>
      </c>
      <c r="M164" s="8" t="n">
        <v>2</v>
      </c>
      <c r="N164" s="8" t="n">
        <v>50</v>
      </c>
      <c r="O164" s="8" t="n">
        <v>5</v>
      </c>
      <c r="P164" s="9" t="n">
        <v>18.3593218703962</v>
      </c>
      <c r="Q164" s="10" t="n">
        <v>0.0544682427302756</v>
      </c>
      <c r="R164" s="9" t="n">
        <v>15</v>
      </c>
      <c r="S164" s="11" t="n">
        <f aca="false">IF(AND(ISNUMBER(R164),R164&gt;1,P164&gt;0),R164/P164-1,"")</f>
        <v>-0.182976359045866</v>
      </c>
      <c r="T164" s="9" t="n">
        <f aca="false">IF(AND(ISNUMBER(P164),P164&gt;0),P164*EXP('Read me'!$B$22),"")</f>
        <v>22.4241263704523</v>
      </c>
    </row>
    <row r="165" customFormat="false" ht="15" hidden="false" customHeight="false" outlineLevel="0" collapsed="false">
      <c r="A165" s="14" t="s">
        <v>141</v>
      </c>
      <c r="B165" s="14" t="s">
        <v>49</v>
      </c>
      <c r="C165" s="14" t="s">
        <v>142</v>
      </c>
      <c r="D165" s="14"/>
      <c r="E165" s="15" t="n">
        <v>8</v>
      </c>
      <c r="F165" s="14" t="s">
        <v>388</v>
      </c>
      <c r="G165" s="8" t="n">
        <v>6</v>
      </c>
      <c r="H165" s="14" t="s">
        <v>660</v>
      </c>
      <c r="I165" s="14" t="s">
        <v>52</v>
      </c>
      <c r="J165" s="14" t="s">
        <v>53</v>
      </c>
      <c r="K165" s="8" t="n">
        <v>4</v>
      </c>
      <c r="L165" s="8" t="n">
        <v>0</v>
      </c>
      <c r="M165" s="8" t="n">
        <v>2</v>
      </c>
      <c r="N165" s="8" t="n">
        <v>41</v>
      </c>
      <c r="O165" s="8" t="n">
        <v>6</v>
      </c>
      <c r="P165" s="9" t="n">
        <v>37.0745101216569</v>
      </c>
      <c r="Q165" s="10" t="n">
        <v>0.0269727097328753</v>
      </c>
      <c r="R165" s="9" t="n">
        <v>15</v>
      </c>
      <c r="S165" s="11" t="n">
        <f aca="false">IF(AND(ISNUMBER(R165),R165&gt;1,P165&gt;0),R165/P165-1,"")</f>
        <v>-0.59540935400687</v>
      </c>
      <c r="T165" s="9" t="n">
        <f aca="false">IF(AND(ISNUMBER(P165),P165&gt;0),P165*EXP('Read me'!$B$22),"")</f>
        <v>45.2829089200289</v>
      </c>
    </row>
    <row r="166" customFormat="false" ht="15" hidden="false" customHeight="false" outlineLevel="0" collapsed="false">
      <c r="A166" s="14" t="s">
        <v>146</v>
      </c>
      <c r="B166" s="14" t="s">
        <v>56</v>
      </c>
      <c r="C166" s="14" t="s">
        <v>147</v>
      </c>
      <c r="D166" s="14" t="s">
        <v>570</v>
      </c>
      <c r="E166" s="15" t="n">
        <v>6</v>
      </c>
      <c r="F166" s="14" t="s">
        <v>419</v>
      </c>
      <c r="G166" s="8" t="n">
        <v>11</v>
      </c>
      <c r="H166" s="14" t="s">
        <v>148</v>
      </c>
      <c r="I166" s="14" t="s">
        <v>59</v>
      </c>
      <c r="J166" s="14" t="s">
        <v>60</v>
      </c>
      <c r="K166" s="8" t="n">
        <v>1</v>
      </c>
      <c r="L166" s="8" t="n">
        <v>85</v>
      </c>
      <c r="M166" s="8" t="n">
        <v>3</v>
      </c>
      <c r="N166" s="8" t="n">
        <v>9</v>
      </c>
      <c r="O166" s="8" t="n">
        <v>1</v>
      </c>
      <c r="P166" s="9" t="n">
        <v>6.40532918566609</v>
      </c>
      <c r="Q166" s="10" t="n">
        <v>0.156120001176178</v>
      </c>
      <c r="R166" s="9" t="n">
        <v>7.5</v>
      </c>
      <c r="S166" s="11" t="n">
        <f aca="false">IF(AND(ISNUMBER(R166),R166&gt;1,P166&gt;0),R166/P166-1,"")</f>
        <v>0.170900008821338</v>
      </c>
      <c r="T166" s="9" t="n">
        <f aca="false">IF(AND(ISNUMBER(P166),P166&gt;0),P166*EXP('Read me'!$B$22),"")</f>
        <v>7.8234867342964</v>
      </c>
    </row>
    <row r="167" customFormat="false" ht="15" hidden="false" customHeight="false" outlineLevel="0" collapsed="false">
      <c r="A167" s="14" t="s">
        <v>146</v>
      </c>
      <c r="B167" s="14" t="s">
        <v>56</v>
      </c>
      <c r="C167" s="14" t="s">
        <v>147</v>
      </c>
      <c r="D167" s="14" t="s">
        <v>570</v>
      </c>
      <c r="E167" s="15" t="n">
        <v>6</v>
      </c>
      <c r="F167" s="14" t="s">
        <v>419</v>
      </c>
      <c r="G167" s="8" t="n">
        <v>11</v>
      </c>
      <c r="H167" s="14" t="s">
        <v>149</v>
      </c>
      <c r="I167" s="14" t="s">
        <v>661</v>
      </c>
      <c r="J167" s="14" t="s">
        <v>621</v>
      </c>
      <c r="K167" s="8" t="n">
        <v>11</v>
      </c>
      <c r="L167" s="8" t="n">
        <v>85</v>
      </c>
      <c r="M167" s="8" t="n">
        <v>6</v>
      </c>
      <c r="N167" s="8" t="n">
        <v>8</v>
      </c>
      <c r="O167" s="8" t="n">
        <v>2</v>
      </c>
      <c r="P167" s="9" t="n">
        <v>6.47735479313968</v>
      </c>
      <c r="Q167" s="10" t="n">
        <v>0.154384008894977</v>
      </c>
      <c r="R167" s="9" t="n">
        <v>4.5</v>
      </c>
      <c r="S167" s="11" t="n">
        <f aca="false">IF(AND(ISNUMBER(R167),R167&gt;1,P167&gt;0),R167/P167-1,"")</f>
        <v>-0.305271959972602</v>
      </c>
      <c r="T167" s="9" t="n">
        <f aca="false">IF(AND(ISNUMBER(P167),P167&gt;0),P167*EXP('Read me'!$B$22),"")</f>
        <v>7.9114590099228</v>
      </c>
    </row>
    <row r="168" customFormat="false" ht="15" hidden="false" customHeight="false" outlineLevel="0" collapsed="false">
      <c r="A168" s="14" t="s">
        <v>146</v>
      </c>
      <c r="B168" s="14" t="s">
        <v>56</v>
      </c>
      <c r="C168" s="14" t="s">
        <v>147</v>
      </c>
      <c r="D168" s="14" t="s">
        <v>570</v>
      </c>
      <c r="E168" s="15" t="n">
        <v>6</v>
      </c>
      <c r="F168" s="14" t="s">
        <v>419</v>
      </c>
      <c r="G168" s="8" t="n">
        <v>11</v>
      </c>
      <c r="H168" s="14" t="s">
        <v>662</v>
      </c>
      <c r="I168" s="14" t="s">
        <v>420</v>
      </c>
      <c r="J168" s="14" t="s">
        <v>91</v>
      </c>
      <c r="K168" s="8" t="n">
        <v>13</v>
      </c>
      <c r="L168" s="8" t="n">
        <v>83</v>
      </c>
      <c r="M168" s="8" t="n">
        <v>3</v>
      </c>
      <c r="N168" s="8" t="n">
        <v>28</v>
      </c>
      <c r="O168" s="8" t="n">
        <v>3</v>
      </c>
      <c r="P168" s="9" t="n">
        <v>7.55160460545009</v>
      </c>
      <c r="Q168" s="10" t="n">
        <v>0.132422187369064</v>
      </c>
      <c r="R168" s="9" t="n">
        <v>5.5</v>
      </c>
      <c r="S168" s="11" t="n">
        <f aca="false">IF(AND(ISNUMBER(R168),R168&gt;1,P168&gt;0),R168/P168-1,"")</f>
        <v>-0.271677969470147</v>
      </c>
      <c r="T168" s="9" t="n">
        <f aca="false">IF(AND(ISNUMBER(P168),P168&gt;0),P168*EXP('Read me'!$B$22),"")</f>
        <v>9.22355069363178</v>
      </c>
    </row>
    <row r="169" customFormat="false" ht="15" hidden="false" customHeight="false" outlineLevel="0" collapsed="false">
      <c r="A169" s="14" t="s">
        <v>146</v>
      </c>
      <c r="B169" s="14" t="s">
        <v>56</v>
      </c>
      <c r="C169" s="14" t="s">
        <v>147</v>
      </c>
      <c r="D169" s="14" t="s">
        <v>570</v>
      </c>
      <c r="E169" s="15" t="n">
        <v>6</v>
      </c>
      <c r="F169" s="14" t="s">
        <v>419</v>
      </c>
      <c r="G169" s="8" t="n">
        <v>11</v>
      </c>
      <c r="H169" s="14" t="s">
        <v>663</v>
      </c>
      <c r="I169" s="14" t="s">
        <v>485</v>
      </c>
      <c r="J169" s="14" t="s">
        <v>236</v>
      </c>
      <c r="K169" s="8" t="n">
        <v>10</v>
      </c>
      <c r="L169" s="8" t="n">
        <v>83</v>
      </c>
      <c r="M169" s="8" t="n">
        <v>4</v>
      </c>
      <c r="N169" s="8" t="n">
        <v>7</v>
      </c>
      <c r="O169" s="8" t="n">
        <v>4</v>
      </c>
      <c r="P169" s="9" t="n">
        <v>9.05923923731799</v>
      </c>
      <c r="Q169" s="10" t="n">
        <v>0.110384544861192</v>
      </c>
      <c r="R169" s="9" t="n">
        <v>13</v>
      </c>
      <c r="S169" s="11" t="n">
        <f aca="false">IF(AND(ISNUMBER(R169),R169&gt;1,P169&gt;0),R169/P169-1,"")</f>
        <v>0.434999083195498</v>
      </c>
      <c r="T169" s="9" t="n">
        <f aca="false">IF(AND(ISNUMBER(P169),P169&gt;0),P169*EXP('Read me'!$B$22),"")</f>
        <v>11.064979791293</v>
      </c>
    </row>
    <row r="170" customFormat="false" ht="15" hidden="false" customHeight="false" outlineLevel="0" collapsed="false">
      <c r="A170" s="14" t="s">
        <v>146</v>
      </c>
      <c r="B170" s="14" t="s">
        <v>56</v>
      </c>
      <c r="C170" s="14" t="s">
        <v>147</v>
      </c>
      <c r="D170" s="14" t="s">
        <v>570</v>
      </c>
      <c r="E170" s="15" t="n">
        <v>6</v>
      </c>
      <c r="F170" s="14" t="s">
        <v>419</v>
      </c>
      <c r="G170" s="8" t="n">
        <v>11</v>
      </c>
      <c r="H170" s="14" t="s">
        <v>664</v>
      </c>
      <c r="I170" s="14" t="s">
        <v>423</v>
      </c>
      <c r="J170" s="14" t="s">
        <v>665</v>
      </c>
      <c r="K170" s="8" t="n">
        <v>9</v>
      </c>
      <c r="L170" s="8" t="n">
        <v>77</v>
      </c>
      <c r="M170" s="8" t="n">
        <v>4</v>
      </c>
      <c r="N170" s="8" t="n">
        <v>13</v>
      </c>
      <c r="O170" s="8" t="n">
        <v>5</v>
      </c>
      <c r="P170" s="9" t="n">
        <v>10.1817863874086</v>
      </c>
      <c r="Q170" s="10" t="n">
        <v>0.0982145924055785</v>
      </c>
      <c r="R170" s="9" t="n">
        <v>8.5</v>
      </c>
      <c r="S170" s="11" t="n">
        <f aca="false">IF(AND(ISNUMBER(R170),R170&gt;1,P170&gt;0),R170/P170-1,"")</f>
        <v>-0.165175964552582</v>
      </c>
      <c r="T170" s="9" t="n">
        <f aca="false">IF(AND(ISNUMBER(P170),P170&gt;0),P170*EXP('Read me'!$B$22),"")</f>
        <v>12.4360619765785</v>
      </c>
    </row>
    <row r="171" customFormat="false" ht="15" hidden="false" customHeight="false" outlineLevel="0" collapsed="false">
      <c r="A171" s="14" t="s">
        <v>146</v>
      </c>
      <c r="B171" s="14" t="s">
        <v>56</v>
      </c>
      <c r="C171" s="14" t="s">
        <v>147</v>
      </c>
      <c r="D171" s="14" t="s">
        <v>570</v>
      </c>
      <c r="E171" s="15" t="n">
        <v>6</v>
      </c>
      <c r="F171" s="14" t="s">
        <v>419</v>
      </c>
      <c r="G171" s="8" t="n">
        <v>11</v>
      </c>
      <c r="H171" s="14" t="s">
        <v>666</v>
      </c>
      <c r="I171" s="14" t="s">
        <v>667</v>
      </c>
      <c r="J171" s="14" t="s">
        <v>376</v>
      </c>
      <c r="K171" s="8" t="n">
        <v>6</v>
      </c>
      <c r="L171" s="8" t="n">
        <v>90</v>
      </c>
      <c r="M171" s="8" t="n">
        <v>4</v>
      </c>
      <c r="N171" s="8" t="n">
        <v>45</v>
      </c>
      <c r="O171" s="8" t="n">
        <v>6</v>
      </c>
      <c r="P171" s="9" t="n">
        <v>10.8743445158677</v>
      </c>
      <c r="Q171" s="10" t="n">
        <v>0.0919595657964314</v>
      </c>
      <c r="R171" s="9" t="n">
        <v>12</v>
      </c>
      <c r="S171" s="11" t="n">
        <f aca="false">IF(AND(ISNUMBER(R171),R171&gt;1,P171&gt;0),R171/P171-1,"")</f>
        <v>0.103514789557177</v>
      </c>
      <c r="T171" s="9" t="n">
        <f aca="false">IF(AND(ISNUMBER(P171),P171&gt;0),P171*EXP('Read me'!$B$22),"")</f>
        <v>13.2819543848647</v>
      </c>
    </row>
    <row r="172" customFormat="false" ht="15" hidden="false" customHeight="false" outlineLevel="0" collapsed="false">
      <c r="A172" s="14" t="s">
        <v>146</v>
      </c>
      <c r="B172" s="14" t="s">
        <v>56</v>
      </c>
      <c r="C172" s="14" t="s">
        <v>147</v>
      </c>
      <c r="D172" s="14" t="s">
        <v>570</v>
      </c>
      <c r="E172" s="15" t="n">
        <v>6</v>
      </c>
      <c r="F172" s="14" t="s">
        <v>419</v>
      </c>
      <c r="G172" s="8" t="n">
        <v>11</v>
      </c>
      <c r="H172" s="14" t="s">
        <v>668</v>
      </c>
      <c r="I172" s="14" t="s">
        <v>432</v>
      </c>
      <c r="J172" s="14" t="s">
        <v>669</v>
      </c>
      <c r="K172" s="8" t="n">
        <v>5</v>
      </c>
      <c r="L172" s="8" t="n">
        <v>90</v>
      </c>
      <c r="M172" s="8" t="n">
        <v>6</v>
      </c>
      <c r="N172" s="8" t="n">
        <v>42</v>
      </c>
      <c r="O172" s="8" t="n">
        <v>7</v>
      </c>
      <c r="P172" s="9" t="n">
        <v>16.1712078560206</v>
      </c>
      <c r="Q172" s="10" t="n">
        <v>0.0618382998291434</v>
      </c>
      <c r="R172" s="9" t="n">
        <v>10</v>
      </c>
      <c r="S172" s="11" t="n">
        <f aca="false">IF(AND(ISNUMBER(R172),R172&gt;1,P172&gt;0),R172/P172-1,"")</f>
        <v>-0.381617001708566</v>
      </c>
      <c r="T172" s="9" t="n">
        <f aca="false">IF(AND(ISNUMBER(P172),P172&gt;0),P172*EXP('Read me'!$B$22),"")</f>
        <v>19.7515578781249</v>
      </c>
    </row>
    <row r="173" customFormat="false" ht="15" hidden="false" customHeight="false" outlineLevel="0" collapsed="false">
      <c r="A173" s="14" t="s">
        <v>146</v>
      </c>
      <c r="B173" s="14" t="s">
        <v>56</v>
      </c>
      <c r="C173" s="14" t="s">
        <v>147</v>
      </c>
      <c r="D173" s="14" t="s">
        <v>570</v>
      </c>
      <c r="E173" s="15" t="n">
        <v>6</v>
      </c>
      <c r="F173" s="14" t="s">
        <v>419</v>
      </c>
      <c r="G173" s="8" t="n">
        <v>11</v>
      </c>
      <c r="H173" s="14" t="s">
        <v>670</v>
      </c>
      <c r="I173" s="14" t="s">
        <v>425</v>
      </c>
      <c r="J173" s="14" t="s">
        <v>376</v>
      </c>
      <c r="K173" s="8" t="n">
        <v>8</v>
      </c>
      <c r="L173" s="8" t="n">
        <v>88</v>
      </c>
      <c r="M173" s="8" t="n">
        <v>3</v>
      </c>
      <c r="N173" s="8" t="n">
        <v>21</v>
      </c>
      <c r="O173" s="8" t="n">
        <v>8</v>
      </c>
      <c r="P173" s="9" t="n">
        <v>18.0377097239244</v>
      </c>
      <c r="Q173" s="10" t="n">
        <v>0.0554394108401492</v>
      </c>
      <c r="R173" s="9" t="n">
        <v>17</v>
      </c>
      <c r="S173" s="11" t="n">
        <f aca="false">IF(AND(ISNUMBER(R173),R173&gt;1,P173&gt;0),R173/P173-1,"")</f>
        <v>-0.0575300157174633</v>
      </c>
      <c r="T173" s="9" t="n">
        <f aca="false">IF(AND(ISNUMBER(P173),P173&gt;0),P173*EXP('Read me'!$B$22),"")</f>
        <v>22.0313084076938</v>
      </c>
    </row>
    <row r="174" customFormat="false" ht="15" hidden="false" customHeight="false" outlineLevel="0" collapsed="false">
      <c r="A174" s="14" t="s">
        <v>146</v>
      </c>
      <c r="B174" s="14" t="s">
        <v>56</v>
      </c>
      <c r="C174" s="14" t="s">
        <v>147</v>
      </c>
      <c r="D174" s="14" t="s">
        <v>570</v>
      </c>
      <c r="E174" s="15" t="n">
        <v>6</v>
      </c>
      <c r="F174" s="14" t="s">
        <v>419</v>
      </c>
      <c r="G174" s="8" t="n">
        <v>11</v>
      </c>
      <c r="H174" s="14" t="s">
        <v>671</v>
      </c>
      <c r="I174" s="14" t="s">
        <v>482</v>
      </c>
      <c r="J174" s="14" t="s">
        <v>672</v>
      </c>
      <c r="K174" s="8" t="n">
        <v>12</v>
      </c>
      <c r="L174" s="8" t="n">
        <v>85</v>
      </c>
      <c r="M174" s="8" t="n">
        <v>3</v>
      </c>
      <c r="N174" s="8" t="n">
        <v>21</v>
      </c>
      <c r="O174" s="8" t="n">
        <v>9</v>
      </c>
      <c r="P174" s="9" t="n">
        <v>19.7401847186542</v>
      </c>
      <c r="Q174" s="10" t="n">
        <v>0.0506580872596907</v>
      </c>
      <c r="R174" s="9" t="n">
        <v>13</v>
      </c>
      <c r="S174" s="11" t="n">
        <f aca="false">IF(AND(ISNUMBER(R174),R174&gt;1,P174&gt;0),R174/P174-1,"")</f>
        <v>-0.341444865624021</v>
      </c>
      <c r="T174" s="9" t="n">
        <f aca="false">IF(AND(ISNUMBER(P174),P174&gt;0),P174*EXP('Read me'!$B$22),"")</f>
        <v>24.1107160619555</v>
      </c>
    </row>
    <row r="175" customFormat="false" ht="15" hidden="false" customHeight="false" outlineLevel="0" collapsed="false">
      <c r="A175" s="14" t="s">
        <v>146</v>
      </c>
      <c r="B175" s="14" t="s">
        <v>56</v>
      </c>
      <c r="C175" s="14" t="s">
        <v>147</v>
      </c>
      <c r="D175" s="14" t="s">
        <v>570</v>
      </c>
      <c r="E175" s="15" t="n">
        <v>6</v>
      </c>
      <c r="F175" s="14" t="s">
        <v>419</v>
      </c>
      <c r="G175" s="8" t="n">
        <v>11</v>
      </c>
      <c r="H175" s="14" t="s">
        <v>673</v>
      </c>
      <c r="I175" s="14" t="s">
        <v>427</v>
      </c>
      <c r="J175" s="14" t="s">
        <v>674</v>
      </c>
      <c r="K175" s="8" t="n">
        <v>2</v>
      </c>
      <c r="L175" s="8" t="n">
        <v>77</v>
      </c>
      <c r="M175" s="8" t="n">
        <v>3</v>
      </c>
      <c r="N175" s="8" t="n">
        <v>7</v>
      </c>
      <c r="O175" s="8" t="n">
        <v>10</v>
      </c>
      <c r="P175" s="9" t="n">
        <v>21.2332337562616</v>
      </c>
      <c r="Q175" s="10" t="n">
        <v>0.047095982245526</v>
      </c>
      <c r="R175" s="9" t="n">
        <v>9.5</v>
      </c>
      <c r="S175" s="11" t="n">
        <f aca="false">IF(AND(ISNUMBER(R175),R175&gt;1,P175&gt;0),R175/P175-1,"")</f>
        <v>-0.552588168667503</v>
      </c>
      <c r="T175" s="9" t="n">
        <f aca="false">IF(AND(ISNUMBER(P175),P175&gt;0),P175*EXP('Read me'!$B$22),"")</f>
        <v>25.9343302745575</v>
      </c>
    </row>
    <row r="176" customFormat="false" ht="15" hidden="false" customHeight="false" outlineLevel="0" collapsed="false">
      <c r="A176" s="14" t="s">
        <v>146</v>
      </c>
      <c r="B176" s="14" t="s">
        <v>56</v>
      </c>
      <c r="C176" s="14" t="s">
        <v>147</v>
      </c>
      <c r="D176" s="14" t="s">
        <v>570</v>
      </c>
      <c r="E176" s="15" t="n">
        <v>6</v>
      </c>
      <c r="F176" s="14" t="s">
        <v>419</v>
      </c>
      <c r="G176" s="8" t="n">
        <v>11</v>
      </c>
      <c r="H176" s="14" t="s">
        <v>675</v>
      </c>
      <c r="I176" s="14" t="s">
        <v>187</v>
      </c>
      <c r="J176" s="14" t="s">
        <v>676</v>
      </c>
      <c r="K176" s="8" t="n">
        <v>14</v>
      </c>
      <c r="L176" s="8" t="n">
        <v>87</v>
      </c>
      <c r="M176" s="8" t="n">
        <v>3</v>
      </c>
      <c r="N176" s="8" t="n">
        <v>38</v>
      </c>
      <c r="O176" s="8" t="n">
        <v>11</v>
      </c>
      <c r="P176" s="9" t="n">
        <v>24.1060748354343</v>
      </c>
      <c r="Q176" s="10" t="n">
        <v>0.0414833193220685</v>
      </c>
      <c r="R176" s="9" t="n">
        <v>26</v>
      </c>
      <c r="S176" s="11" t="n">
        <f aca="false">IF(AND(ISNUMBER(R176),R176&gt;1,P176&gt;0),R176/P176-1,"")</f>
        <v>0.0785663023737824</v>
      </c>
      <c r="T176" s="9" t="n">
        <f aca="false">IF(AND(ISNUMBER(P176),P176&gt;0),P176*EXP('Read me'!$B$22),"")</f>
        <v>29.4432262924149</v>
      </c>
    </row>
    <row r="177" customFormat="false" ht="15" hidden="false" customHeight="false" outlineLevel="0" collapsed="false">
      <c r="A177" s="14" t="s">
        <v>150</v>
      </c>
      <c r="B177" s="14" t="s">
        <v>117</v>
      </c>
      <c r="C177" s="14" t="s">
        <v>151</v>
      </c>
      <c r="D177" s="14"/>
      <c r="E177" s="15" t="n">
        <v>20</v>
      </c>
      <c r="F177" s="14" t="s">
        <v>388</v>
      </c>
      <c r="G177" s="8" t="n">
        <v>6</v>
      </c>
      <c r="H177" s="14" t="s">
        <v>152</v>
      </c>
      <c r="I177" s="14" t="s">
        <v>153</v>
      </c>
      <c r="J177" s="14" t="s">
        <v>154</v>
      </c>
      <c r="K177" s="8" t="n">
        <v>3</v>
      </c>
      <c r="L177" s="8" t="n">
        <v>125</v>
      </c>
      <c r="M177" s="8" t="n">
        <v>5</v>
      </c>
      <c r="N177" s="8" t="n">
        <v>58</v>
      </c>
      <c r="O177" s="8" t="n">
        <v>1</v>
      </c>
      <c r="P177" s="9" t="n">
        <v>1.72523602794721</v>
      </c>
      <c r="Q177" s="10" t="n">
        <v>0.579630835318144</v>
      </c>
      <c r="R177" s="9" t="n">
        <v>1.72727272727273</v>
      </c>
      <c r="S177" s="11" t="n">
        <f aca="false">IF(AND(ISNUMBER(R177),R177&gt;1,P177&gt;0),R177/P177-1,"")</f>
        <v>0.00118053373133953</v>
      </c>
      <c r="T177" s="9" t="n">
        <f aca="false">IF(AND(ISNUMBER(P177),P177&gt;0),P177*EXP('Read me'!$B$22),"")</f>
        <v>2.10720804301202</v>
      </c>
    </row>
    <row r="178" customFormat="false" ht="15" hidden="false" customHeight="false" outlineLevel="0" collapsed="false">
      <c r="A178" s="14" t="s">
        <v>150</v>
      </c>
      <c r="B178" s="14" t="s">
        <v>117</v>
      </c>
      <c r="C178" s="14" t="s">
        <v>151</v>
      </c>
      <c r="D178" s="14"/>
      <c r="E178" s="15" t="n">
        <v>20</v>
      </c>
      <c r="F178" s="14" t="s">
        <v>388</v>
      </c>
      <c r="G178" s="8" t="n">
        <v>6</v>
      </c>
      <c r="H178" s="14" t="s">
        <v>155</v>
      </c>
      <c r="I178" s="14" t="s">
        <v>677</v>
      </c>
      <c r="J178" s="14" t="s">
        <v>678</v>
      </c>
      <c r="K178" s="8" t="n">
        <v>2</v>
      </c>
      <c r="L178" s="8" t="n">
        <v>0</v>
      </c>
      <c r="M178" s="8" t="n">
        <v>6</v>
      </c>
      <c r="N178" s="8" t="n">
        <v>36</v>
      </c>
      <c r="O178" s="8" t="n">
        <v>2</v>
      </c>
      <c r="P178" s="9" t="n">
        <v>4.40663266037417</v>
      </c>
      <c r="Q178" s="10" t="n">
        <v>0.22693064683887</v>
      </c>
      <c r="R178" s="9" t="n">
        <v>4.5</v>
      </c>
      <c r="S178" s="11" t="n">
        <f aca="false">IF(AND(ISNUMBER(R178),R178&gt;1,P178&gt;0),R178/P178-1,"")</f>
        <v>0.0211879107749144</v>
      </c>
      <c r="T178" s="9" t="n">
        <f aca="false">IF(AND(ISNUMBER(P178),P178&gt;0),P178*EXP('Read me'!$B$22),"")</f>
        <v>5.3822732855797</v>
      </c>
    </row>
    <row r="179" customFormat="false" ht="15" hidden="false" customHeight="false" outlineLevel="0" collapsed="false">
      <c r="A179" s="14" t="s">
        <v>150</v>
      </c>
      <c r="B179" s="14" t="s">
        <v>117</v>
      </c>
      <c r="C179" s="14" t="s">
        <v>151</v>
      </c>
      <c r="D179" s="14"/>
      <c r="E179" s="15" t="n">
        <v>20</v>
      </c>
      <c r="F179" s="14" t="s">
        <v>388</v>
      </c>
      <c r="G179" s="8" t="n">
        <v>6</v>
      </c>
      <c r="H179" s="14" t="s">
        <v>679</v>
      </c>
      <c r="I179" s="14" t="s">
        <v>587</v>
      </c>
      <c r="J179" s="14" t="s">
        <v>418</v>
      </c>
      <c r="K179" s="8" t="n">
        <v>4</v>
      </c>
      <c r="L179" s="8" t="n">
        <v>120</v>
      </c>
      <c r="M179" s="8" t="n">
        <v>6</v>
      </c>
      <c r="N179" s="8" t="n">
        <v>36</v>
      </c>
      <c r="O179" s="8" t="n">
        <v>3</v>
      </c>
      <c r="P179" s="9" t="n">
        <v>9.44226043774033</v>
      </c>
      <c r="Q179" s="10" t="n">
        <v>0.10590684366246</v>
      </c>
      <c r="R179" s="9" t="n">
        <v>6</v>
      </c>
      <c r="S179" s="11" t="n">
        <f aca="false">IF(AND(ISNUMBER(R179),R179&gt;1,P179&gt;0),R179/P179-1,"")</f>
        <v>-0.364558938025238</v>
      </c>
      <c r="T179" s="9" t="n">
        <f aca="false">IF(AND(ISNUMBER(P179),P179&gt;0),P179*EXP('Read me'!$B$22),"")</f>
        <v>11.5328029419227</v>
      </c>
    </row>
    <row r="180" customFormat="false" ht="15" hidden="false" customHeight="false" outlineLevel="0" collapsed="false">
      <c r="A180" s="14" t="s">
        <v>150</v>
      </c>
      <c r="B180" s="14" t="s">
        <v>117</v>
      </c>
      <c r="C180" s="14" t="s">
        <v>151</v>
      </c>
      <c r="D180" s="14"/>
      <c r="E180" s="15" t="n">
        <v>20</v>
      </c>
      <c r="F180" s="14" t="s">
        <v>388</v>
      </c>
      <c r="G180" s="8" t="n">
        <v>6</v>
      </c>
      <c r="H180" s="14" t="s">
        <v>680</v>
      </c>
      <c r="I180" s="14" t="s">
        <v>681</v>
      </c>
      <c r="J180" s="14" t="s">
        <v>154</v>
      </c>
      <c r="K180" s="8" t="n">
        <v>1</v>
      </c>
      <c r="L180" s="8" t="n">
        <v>122</v>
      </c>
      <c r="M180" s="8" t="n">
        <v>6</v>
      </c>
      <c r="N180" s="8" t="n">
        <v>29</v>
      </c>
      <c r="O180" s="8" t="n">
        <v>4</v>
      </c>
      <c r="P180" s="9" t="n">
        <v>18.556575916728</v>
      </c>
      <c r="Q180" s="10" t="n">
        <v>0.0538892522245195</v>
      </c>
      <c r="R180" s="9" t="n">
        <v>12</v>
      </c>
      <c r="S180" s="11" t="n">
        <f aca="false">IF(AND(ISNUMBER(R180),R180&gt;1,P180&gt;0),R180/P180-1,"")</f>
        <v>-0.353328973305765</v>
      </c>
      <c r="T180" s="9" t="n">
        <f aca="false">IF(AND(ISNUMBER(P180),P180&gt;0),P180*EXP('Read me'!$B$22),"")</f>
        <v>22.6650530067001</v>
      </c>
    </row>
    <row r="181" customFormat="false" ht="15" hidden="false" customHeight="false" outlineLevel="0" collapsed="false">
      <c r="A181" s="14" t="s">
        <v>150</v>
      </c>
      <c r="B181" s="14" t="s">
        <v>117</v>
      </c>
      <c r="C181" s="14" t="s">
        <v>151</v>
      </c>
      <c r="D181" s="14"/>
      <c r="E181" s="15" t="n">
        <v>20</v>
      </c>
      <c r="F181" s="14" t="s">
        <v>388</v>
      </c>
      <c r="G181" s="8" t="n">
        <v>6</v>
      </c>
      <c r="H181" s="14" t="s">
        <v>682</v>
      </c>
      <c r="I181" s="14" t="s">
        <v>595</v>
      </c>
      <c r="J181" s="14" t="s">
        <v>585</v>
      </c>
      <c r="K181" s="8" t="n">
        <v>5</v>
      </c>
      <c r="L181" s="8" t="n">
        <v>0</v>
      </c>
      <c r="M181" s="8" t="n">
        <v>5</v>
      </c>
      <c r="N181" s="8" t="n">
        <v>23</v>
      </c>
      <c r="O181" s="8" t="n">
        <v>5</v>
      </c>
      <c r="P181" s="9" t="n">
        <v>32.3446091939729</v>
      </c>
      <c r="Q181" s="10" t="n">
        <v>0.0309170531015826</v>
      </c>
      <c r="R181" s="9" t="n">
        <v>13</v>
      </c>
      <c r="S181" s="11" t="n">
        <f aca="false">IF(AND(ISNUMBER(R181),R181&gt;1,P181&gt;0),R181/P181-1,"")</f>
        <v>-0.598078309679425</v>
      </c>
      <c r="T181" s="9" t="n">
        <f aca="false">IF(AND(ISNUMBER(P181),P181&gt;0),P181*EXP('Read me'!$B$22),"")</f>
        <v>39.5057948811313</v>
      </c>
    </row>
    <row r="182" customFormat="false" ht="15" hidden="false" customHeight="false" outlineLevel="0" collapsed="false">
      <c r="A182" s="14" t="s">
        <v>150</v>
      </c>
      <c r="B182" s="14" t="s">
        <v>117</v>
      </c>
      <c r="C182" s="14" t="s">
        <v>151</v>
      </c>
      <c r="D182" s="14"/>
      <c r="E182" s="15" t="n">
        <v>20</v>
      </c>
      <c r="F182" s="14" t="s">
        <v>388</v>
      </c>
      <c r="G182" s="8" t="n">
        <v>6</v>
      </c>
      <c r="H182" s="14" t="s">
        <v>683</v>
      </c>
      <c r="I182" s="14" t="s">
        <v>684</v>
      </c>
      <c r="J182" s="14" t="s">
        <v>685</v>
      </c>
      <c r="K182" s="8" t="n">
        <v>6</v>
      </c>
      <c r="L182" s="8" t="n">
        <v>0</v>
      </c>
      <c r="M182" s="8" t="n">
        <v>5</v>
      </c>
      <c r="N182" s="8" t="n">
        <v>7</v>
      </c>
      <c r="O182" s="8" t="n">
        <v>6</v>
      </c>
      <c r="P182" s="9" t="n">
        <v>366.922810604851</v>
      </c>
      <c r="Q182" s="10" t="n">
        <v>0.0027253688544235</v>
      </c>
      <c r="R182" s="9" t="n">
        <v>201</v>
      </c>
      <c r="S182" s="11" t="n">
        <f aca="false">IF(AND(ISNUMBER(R182),R182&gt;1,P182&gt;0),R182/P182-1,"")</f>
        <v>-0.452200860260873</v>
      </c>
      <c r="T182" s="9" t="n">
        <f aca="false">IF(AND(ISNUMBER(P182),P182&gt;0),P182*EXP('Read me'!$B$22),"")</f>
        <v>448.160532904647</v>
      </c>
    </row>
    <row r="183" customFormat="false" ht="15" hidden="false" customHeight="false" outlineLevel="0" collapsed="false">
      <c r="A183" s="14" t="s">
        <v>156</v>
      </c>
      <c r="B183" s="14" t="s">
        <v>63</v>
      </c>
      <c r="C183" s="14" t="s">
        <v>157</v>
      </c>
      <c r="D183" s="14" t="s">
        <v>366</v>
      </c>
      <c r="E183" s="15" t="n">
        <v>6</v>
      </c>
      <c r="F183" s="14" t="s">
        <v>388</v>
      </c>
      <c r="G183" s="8" t="n">
        <v>12</v>
      </c>
      <c r="H183" s="14" t="s">
        <v>158</v>
      </c>
      <c r="I183" s="14" t="s">
        <v>159</v>
      </c>
      <c r="J183" s="14" t="s">
        <v>160</v>
      </c>
      <c r="K183" s="8" t="n">
        <v>3</v>
      </c>
      <c r="L183" s="8" t="n">
        <v>99</v>
      </c>
      <c r="M183" s="8" t="n">
        <v>6</v>
      </c>
      <c r="N183" s="8" t="n">
        <v>13</v>
      </c>
      <c r="O183" s="8" t="n">
        <v>1</v>
      </c>
      <c r="P183" s="9" t="n">
        <v>7.33535194452838</v>
      </c>
      <c r="Q183" s="10" t="n">
        <v>0.136326110534604</v>
      </c>
      <c r="R183" s="9" t="n">
        <v>6.5</v>
      </c>
      <c r="S183" s="11" t="n">
        <f aca="false">IF(AND(ISNUMBER(R183),R183&gt;1,P183&gt;0),R183/P183-1,"")</f>
        <v>-0.113880281525073</v>
      </c>
      <c r="T183" s="9" t="n">
        <f aca="false">IF(AND(ISNUMBER(P183),P183&gt;0),P183*EXP('Read me'!$B$22),"")</f>
        <v>8.95941909712253</v>
      </c>
    </row>
    <row r="184" customFormat="false" ht="15" hidden="false" customHeight="false" outlineLevel="0" collapsed="false">
      <c r="A184" s="14" t="s">
        <v>156</v>
      </c>
      <c r="B184" s="14" t="s">
        <v>63</v>
      </c>
      <c r="C184" s="14" t="s">
        <v>157</v>
      </c>
      <c r="D184" s="14" t="s">
        <v>366</v>
      </c>
      <c r="E184" s="15" t="n">
        <v>6</v>
      </c>
      <c r="F184" s="14" t="s">
        <v>388</v>
      </c>
      <c r="G184" s="8" t="n">
        <v>12</v>
      </c>
      <c r="H184" s="14" t="s">
        <v>161</v>
      </c>
      <c r="I184" s="14" t="s">
        <v>66</v>
      </c>
      <c r="J184" s="14" t="s">
        <v>674</v>
      </c>
      <c r="K184" s="8" t="n">
        <v>5</v>
      </c>
      <c r="L184" s="8" t="n">
        <v>95</v>
      </c>
      <c r="M184" s="8" t="n">
        <v>5</v>
      </c>
      <c r="N184" s="8" t="n">
        <v>38</v>
      </c>
      <c r="O184" s="8" t="n">
        <v>2</v>
      </c>
      <c r="P184" s="9" t="n">
        <v>8.19243745821569</v>
      </c>
      <c r="Q184" s="10" t="n">
        <v>0.122063794212693</v>
      </c>
      <c r="R184" s="9" t="n">
        <v>9</v>
      </c>
      <c r="S184" s="11" t="n">
        <f aca="false">IF(AND(ISNUMBER(R184),R184&gt;1,P184&gt;0),R184/P184-1,"")</f>
        <v>0.0985741479142397</v>
      </c>
      <c r="T184" s="9" t="n">
        <f aca="false">IF(AND(ISNUMBER(P184),P184&gt;0),P184*EXP('Read me'!$B$22),"")</f>
        <v>10.0062657075193</v>
      </c>
    </row>
    <row r="185" customFormat="false" ht="15" hidden="false" customHeight="false" outlineLevel="0" collapsed="false">
      <c r="A185" s="14" t="s">
        <v>156</v>
      </c>
      <c r="B185" s="14" t="s">
        <v>63</v>
      </c>
      <c r="C185" s="14" t="s">
        <v>157</v>
      </c>
      <c r="D185" s="14" t="s">
        <v>366</v>
      </c>
      <c r="E185" s="15" t="n">
        <v>6</v>
      </c>
      <c r="F185" s="14" t="s">
        <v>388</v>
      </c>
      <c r="G185" s="8" t="n">
        <v>12</v>
      </c>
      <c r="H185" s="14" t="s">
        <v>686</v>
      </c>
      <c r="I185" s="14" t="s">
        <v>90</v>
      </c>
      <c r="J185" s="14" t="s">
        <v>160</v>
      </c>
      <c r="K185" s="8" t="n">
        <v>9</v>
      </c>
      <c r="L185" s="8" t="n">
        <v>87</v>
      </c>
      <c r="M185" s="8" t="n">
        <v>5</v>
      </c>
      <c r="N185" s="8" t="n">
        <v>8</v>
      </c>
      <c r="O185" s="8" t="n">
        <v>3</v>
      </c>
      <c r="P185" s="9" t="n">
        <v>8.29665489819866</v>
      </c>
      <c r="Q185" s="10" t="n">
        <v>0.120530504434639</v>
      </c>
      <c r="R185" s="9" t="n">
        <v>6</v>
      </c>
      <c r="S185" s="11" t="n">
        <f aca="false">IF(AND(ISNUMBER(R185),R185&gt;1,P185&gt;0),R185/P185-1,"")</f>
        <v>-0.276816973392168</v>
      </c>
      <c r="T185" s="9" t="n">
        <f aca="false">IF(AND(ISNUMBER(P185),P185&gt;0),P185*EXP('Read me'!$B$22),"")</f>
        <v>10.1335571761629</v>
      </c>
    </row>
    <row r="186" customFormat="false" ht="15" hidden="false" customHeight="false" outlineLevel="0" collapsed="false">
      <c r="A186" s="14" t="s">
        <v>156</v>
      </c>
      <c r="B186" s="14" t="s">
        <v>63</v>
      </c>
      <c r="C186" s="14" t="s">
        <v>157</v>
      </c>
      <c r="D186" s="14" t="s">
        <v>366</v>
      </c>
      <c r="E186" s="15" t="n">
        <v>6</v>
      </c>
      <c r="F186" s="14" t="s">
        <v>388</v>
      </c>
      <c r="G186" s="8" t="n">
        <v>12</v>
      </c>
      <c r="H186" s="14" t="s">
        <v>687</v>
      </c>
      <c r="I186" s="14" t="s">
        <v>235</v>
      </c>
      <c r="J186" s="14" t="s">
        <v>236</v>
      </c>
      <c r="K186" s="8" t="n">
        <v>2</v>
      </c>
      <c r="L186" s="8" t="n">
        <v>89</v>
      </c>
      <c r="M186" s="8" t="n">
        <v>4</v>
      </c>
      <c r="N186" s="8" t="n">
        <v>7</v>
      </c>
      <c r="O186" s="8" t="n">
        <v>4</v>
      </c>
      <c r="P186" s="9" t="n">
        <v>8.77919417706893</v>
      </c>
      <c r="Q186" s="10" t="n">
        <v>0.113905670592408</v>
      </c>
      <c r="R186" s="9" t="n">
        <v>8.5</v>
      </c>
      <c r="S186" s="11" t="n">
        <f aca="false">IF(AND(ISNUMBER(R186),R186&gt;1,P186&gt;0),R186/P186-1,"")</f>
        <v>-0.0318017999645325</v>
      </c>
      <c r="T186" s="9" t="n">
        <f aca="false">IF(AND(ISNUMBER(P186),P186&gt;0),P186*EXP('Read me'!$B$22),"")</f>
        <v>10.7229319822957</v>
      </c>
    </row>
    <row r="187" customFormat="false" ht="15" hidden="false" customHeight="false" outlineLevel="0" collapsed="false">
      <c r="A187" s="14" t="s">
        <v>156</v>
      </c>
      <c r="B187" s="14" t="s">
        <v>63</v>
      </c>
      <c r="C187" s="14" t="s">
        <v>157</v>
      </c>
      <c r="D187" s="14" t="s">
        <v>366</v>
      </c>
      <c r="E187" s="15" t="n">
        <v>6</v>
      </c>
      <c r="F187" s="14" t="s">
        <v>388</v>
      </c>
      <c r="G187" s="8" t="n">
        <v>12</v>
      </c>
      <c r="H187" s="14" t="s">
        <v>688</v>
      </c>
      <c r="I187" s="14" t="s">
        <v>126</v>
      </c>
      <c r="J187" s="14" t="s">
        <v>127</v>
      </c>
      <c r="K187" s="8" t="n">
        <v>10</v>
      </c>
      <c r="L187" s="8" t="n">
        <v>85</v>
      </c>
      <c r="M187" s="8" t="n">
        <v>4</v>
      </c>
      <c r="N187" s="8" t="n">
        <v>7</v>
      </c>
      <c r="O187" s="8" t="n">
        <v>5</v>
      </c>
      <c r="P187" s="9" t="n">
        <v>12.430688979598</v>
      </c>
      <c r="Q187" s="10" t="n">
        <v>0.0804460639021103</v>
      </c>
      <c r="R187" s="9" t="n">
        <v>7.5</v>
      </c>
      <c r="S187" s="11" t="n">
        <f aca="false">IF(AND(ISNUMBER(R187),R187&gt;1,P187&gt;0),R187/P187-1,"")</f>
        <v>-0.396654520734172</v>
      </c>
      <c r="T187" s="9" t="n">
        <f aca="false">IF(AND(ISNUMBER(P187),P187&gt;0),P187*EXP('Read me'!$B$22),"")</f>
        <v>15.1828778055122</v>
      </c>
    </row>
    <row r="188" customFormat="false" ht="15" hidden="false" customHeight="false" outlineLevel="0" collapsed="false">
      <c r="A188" s="14" t="s">
        <v>156</v>
      </c>
      <c r="B188" s="14" t="s">
        <v>63</v>
      </c>
      <c r="C188" s="14" t="s">
        <v>157</v>
      </c>
      <c r="D188" s="14" t="s">
        <v>366</v>
      </c>
      <c r="E188" s="15" t="n">
        <v>6</v>
      </c>
      <c r="F188" s="14" t="s">
        <v>388</v>
      </c>
      <c r="G188" s="8" t="n">
        <v>12</v>
      </c>
      <c r="H188" s="14" t="s">
        <v>689</v>
      </c>
      <c r="I188" s="14" t="s">
        <v>690</v>
      </c>
      <c r="J188" s="14" t="s">
        <v>127</v>
      </c>
      <c r="K188" s="8" t="n">
        <v>8</v>
      </c>
      <c r="L188" s="8" t="n">
        <v>92</v>
      </c>
      <c r="M188" s="8" t="n">
        <v>4</v>
      </c>
      <c r="N188" s="8" t="n">
        <v>21</v>
      </c>
      <c r="O188" s="8" t="n">
        <v>6</v>
      </c>
      <c r="P188" s="9" t="n">
        <v>12.5286389983052</v>
      </c>
      <c r="Q188" s="10" t="n">
        <v>0.0798171293893355</v>
      </c>
      <c r="R188" s="9" t="n">
        <v>15</v>
      </c>
      <c r="S188" s="11" t="n">
        <f aca="false">IF(AND(ISNUMBER(R188),R188&gt;1,P188&gt;0),R188/P188-1,"")</f>
        <v>0.197256940840034</v>
      </c>
      <c r="T188" s="9" t="n">
        <f aca="false">IF(AND(ISNUMBER(P188),P188&gt;0),P188*EXP('Read me'!$B$22),"")</f>
        <v>15.302514228523</v>
      </c>
    </row>
    <row r="189" customFormat="false" ht="15" hidden="false" customHeight="false" outlineLevel="0" collapsed="false">
      <c r="A189" s="14" t="s">
        <v>156</v>
      </c>
      <c r="B189" s="14" t="s">
        <v>63</v>
      </c>
      <c r="C189" s="14" t="s">
        <v>157</v>
      </c>
      <c r="D189" s="14" t="s">
        <v>366</v>
      </c>
      <c r="E189" s="15" t="n">
        <v>6</v>
      </c>
      <c r="F189" s="14" t="s">
        <v>388</v>
      </c>
      <c r="G189" s="8" t="n">
        <v>12</v>
      </c>
      <c r="H189" s="14" t="s">
        <v>691</v>
      </c>
      <c r="I189" s="14" t="s">
        <v>449</v>
      </c>
      <c r="J189" s="14" t="s">
        <v>692</v>
      </c>
      <c r="K189" s="8" t="n">
        <v>12</v>
      </c>
      <c r="L189" s="8" t="n">
        <v>91</v>
      </c>
      <c r="M189" s="8" t="n">
        <v>5</v>
      </c>
      <c r="N189" s="8" t="n">
        <v>47</v>
      </c>
      <c r="O189" s="8" t="n">
        <v>7</v>
      </c>
      <c r="P189" s="9" t="n">
        <v>12.9352598956526</v>
      </c>
      <c r="Q189" s="10" t="n">
        <v>0.0773080717408769</v>
      </c>
      <c r="R189" s="9" t="n">
        <v>9.5</v>
      </c>
      <c r="S189" s="11" t="n">
        <f aca="false">IF(AND(ISNUMBER(R189),R189&gt;1,P189&gt;0),R189/P189-1,"")</f>
        <v>-0.265573318461669</v>
      </c>
      <c r="T189" s="9" t="n">
        <f aca="false">IF(AND(ISNUMBER(P189),P189&gt;0),P189*EXP('Read me'!$B$22),"")</f>
        <v>15.7991621140687</v>
      </c>
    </row>
    <row r="190" customFormat="false" ht="15" hidden="false" customHeight="false" outlineLevel="0" collapsed="false">
      <c r="A190" s="14" t="s">
        <v>156</v>
      </c>
      <c r="B190" s="14" t="s">
        <v>63</v>
      </c>
      <c r="C190" s="14" t="s">
        <v>157</v>
      </c>
      <c r="D190" s="14" t="s">
        <v>366</v>
      </c>
      <c r="E190" s="15" t="n">
        <v>6</v>
      </c>
      <c r="F190" s="14" t="s">
        <v>388</v>
      </c>
      <c r="G190" s="8" t="n">
        <v>12</v>
      </c>
      <c r="H190" s="14" t="s">
        <v>693</v>
      </c>
      <c r="I190" s="14" t="s">
        <v>631</v>
      </c>
      <c r="J190" s="14" t="s">
        <v>236</v>
      </c>
      <c r="K190" s="8" t="n">
        <v>4</v>
      </c>
      <c r="L190" s="8" t="n">
        <v>82</v>
      </c>
      <c r="M190" s="8" t="n">
        <v>4</v>
      </c>
      <c r="N190" s="8" t="n">
        <v>1</v>
      </c>
      <c r="O190" s="8" t="n">
        <v>8</v>
      </c>
      <c r="P190" s="9" t="n">
        <v>13.9047326730541</v>
      </c>
      <c r="Q190" s="10" t="n">
        <v>0.0719179594108913</v>
      </c>
      <c r="R190" s="9" t="n">
        <v>10</v>
      </c>
      <c r="S190" s="11" t="n">
        <f aca="false">IF(AND(ISNUMBER(R190),R190&gt;1,P190&gt;0),R190/P190-1,"")</f>
        <v>-0.280820405891087</v>
      </c>
      <c r="T190" s="9" t="n">
        <f aca="false">IF(AND(ISNUMBER(P190),P190&gt;0),P190*EXP('Read me'!$B$22),"")</f>
        <v>16.9832788383481</v>
      </c>
    </row>
    <row r="191" customFormat="false" ht="15" hidden="false" customHeight="false" outlineLevel="0" collapsed="false">
      <c r="A191" s="14" t="s">
        <v>156</v>
      </c>
      <c r="B191" s="14" t="s">
        <v>63</v>
      </c>
      <c r="C191" s="14" t="s">
        <v>157</v>
      </c>
      <c r="D191" s="14" t="s">
        <v>366</v>
      </c>
      <c r="E191" s="15" t="n">
        <v>6</v>
      </c>
      <c r="F191" s="14" t="s">
        <v>388</v>
      </c>
      <c r="G191" s="8" t="n">
        <v>12</v>
      </c>
      <c r="H191" s="14" t="s">
        <v>694</v>
      </c>
      <c r="I191" s="14" t="s">
        <v>695</v>
      </c>
      <c r="J191" s="14" t="s">
        <v>67</v>
      </c>
      <c r="K191" s="8" t="n">
        <v>1</v>
      </c>
      <c r="L191" s="8" t="n">
        <v>83</v>
      </c>
      <c r="M191" s="8" t="n">
        <v>3</v>
      </c>
      <c r="N191" s="8" t="n">
        <v>25</v>
      </c>
      <c r="O191" s="8" t="n">
        <v>9</v>
      </c>
      <c r="P191" s="9" t="n">
        <v>15.1413750253872</v>
      </c>
      <c r="Q191" s="10" t="n">
        <v>0.0660441999701691</v>
      </c>
      <c r="R191" s="9" t="n">
        <v>12</v>
      </c>
      <c r="S191" s="11" t="n">
        <f aca="false">IF(AND(ISNUMBER(R191),R191&gt;1,P191&gt;0),R191/P191-1,"")</f>
        <v>-0.20746960035797</v>
      </c>
      <c r="T191" s="9" t="n">
        <f aca="false">IF(AND(ISNUMBER(P191),P191&gt;0),P191*EXP('Read me'!$B$22),"")</f>
        <v>18.4937172183455</v>
      </c>
    </row>
    <row r="192" customFormat="false" ht="15" hidden="false" customHeight="false" outlineLevel="0" collapsed="false">
      <c r="A192" s="14" t="s">
        <v>156</v>
      </c>
      <c r="B192" s="14" t="s">
        <v>63</v>
      </c>
      <c r="C192" s="14" t="s">
        <v>157</v>
      </c>
      <c r="D192" s="14" t="s">
        <v>366</v>
      </c>
      <c r="E192" s="15" t="n">
        <v>6</v>
      </c>
      <c r="F192" s="14" t="s">
        <v>388</v>
      </c>
      <c r="G192" s="8" t="n">
        <v>12</v>
      </c>
      <c r="H192" s="14" t="s">
        <v>696</v>
      </c>
      <c r="I192" s="14" t="s">
        <v>444</v>
      </c>
      <c r="J192" s="14" t="s">
        <v>697</v>
      </c>
      <c r="K192" s="8" t="n">
        <v>6</v>
      </c>
      <c r="L192" s="8" t="n">
        <v>91</v>
      </c>
      <c r="M192" s="8" t="n">
        <v>3</v>
      </c>
      <c r="N192" s="8" t="n">
        <v>14</v>
      </c>
      <c r="O192" s="8" t="n">
        <v>10</v>
      </c>
      <c r="P192" s="9" t="n">
        <v>17.8219003286451</v>
      </c>
      <c r="Q192" s="10" t="n">
        <v>0.0561107391220621</v>
      </c>
      <c r="R192" s="9" t="n">
        <v>12</v>
      </c>
      <c r="S192" s="11" t="n">
        <f aca="false">IF(AND(ISNUMBER(R192),R192&gt;1,P192&gt;0),R192/P192-1,"")</f>
        <v>-0.326671130535254</v>
      </c>
      <c r="T192" s="9" t="n">
        <f aca="false">IF(AND(ISNUMBER(P192),P192&gt;0),P192*EXP('Read me'!$B$22),"")</f>
        <v>21.7677182170628</v>
      </c>
    </row>
    <row r="193" customFormat="false" ht="15" hidden="false" customHeight="false" outlineLevel="0" collapsed="false">
      <c r="A193" s="14" t="s">
        <v>156</v>
      </c>
      <c r="B193" s="14" t="s">
        <v>63</v>
      </c>
      <c r="C193" s="14" t="s">
        <v>157</v>
      </c>
      <c r="D193" s="14" t="s">
        <v>366</v>
      </c>
      <c r="E193" s="15" t="n">
        <v>6</v>
      </c>
      <c r="F193" s="14" t="s">
        <v>388</v>
      </c>
      <c r="G193" s="8" t="n">
        <v>12</v>
      </c>
      <c r="H193" s="14" t="s">
        <v>698</v>
      </c>
      <c r="I193" s="14" t="s">
        <v>699</v>
      </c>
      <c r="J193" s="14" t="s">
        <v>643</v>
      </c>
      <c r="K193" s="8" t="n">
        <v>11</v>
      </c>
      <c r="L193" s="8" t="n">
        <v>85</v>
      </c>
      <c r="M193" s="8" t="n">
        <v>6</v>
      </c>
      <c r="N193" s="8" t="n">
        <v>7</v>
      </c>
      <c r="O193" s="8" t="n">
        <v>11</v>
      </c>
      <c r="P193" s="9" t="n">
        <v>19.6010213259328</v>
      </c>
      <c r="Q193" s="10" t="n">
        <v>0.0510177497065915</v>
      </c>
      <c r="R193" s="9" t="n">
        <v>17</v>
      </c>
      <c r="S193" s="11" t="n">
        <f aca="false">IF(AND(ISNUMBER(R193),R193&gt;1,P193&gt;0),R193/P193-1,"")</f>
        <v>-0.132698254987944</v>
      </c>
      <c r="T193" s="9" t="n">
        <f aca="false">IF(AND(ISNUMBER(P193),P193&gt;0),P193*EXP('Read me'!$B$22),"")</f>
        <v>23.9407415102506</v>
      </c>
    </row>
    <row r="194" customFormat="false" ht="15" hidden="false" customHeight="false" outlineLevel="0" collapsed="false">
      <c r="A194" s="14" t="s">
        <v>156</v>
      </c>
      <c r="B194" s="14" t="s">
        <v>63</v>
      </c>
      <c r="C194" s="14" t="s">
        <v>157</v>
      </c>
      <c r="D194" s="14" t="s">
        <v>366</v>
      </c>
      <c r="E194" s="15" t="n">
        <v>6</v>
      </c>
      <c r="F194" s="14" t="s">
        <v>388</v>
      </c>
      <c r="G194" s="8" t="n">
        <v>12</v>
      </c>
      <c r="H194" s="14" t="s">
        <v>700</v>
      </c>
      <c r="I194" s="14" t="s">
        <v>634</v>
      </c>
      <c r="J194" s="14" t="s">
        <v>701</v>
      </c>
      <c r="K194" s="8" t="n">
        <v>7</v>
      </c>
      <c r="L194" s="8" t="n">
        <v>85</v>
      </c>
      <c r="M194" s="8" t="n">
        <v>4</v>
      </c>
      <c r="N194" s="8" t="n">
        <v>27</v>
      </c>
      <c r="O194" s="8" t="n">
        <v>12</v>
      </c>
      <c r="P194" s="9" t="n">
        <v>40.7963330243946</v>
      </c>
      <c r="Q194" s="10" t="n">
        <v>0.0245120069836188</v>
      </c>
      <c r="R194" s="9" t="n">
        <v>23</v>
      </c>
      <c r="S194" s="11" t="n">
        <f aca="false">IF(AND(ISNUMBER(R194),R194&gt;1,P194&gt;0),R194/P194-1,"")</f>
        <v>-0.436223839376767</v>
      </c>
      <c r="T194" s="9" t="n">
        <f aca="false">IF(AND(ISNUMBER(P194),P194&gt;0),P194*EXP('Read me'!$B$22),"")</f>
        <v>49.8287536788164</v>
      </c>
    </row>
    <row r="195" customFormat="false" ht="15" hidden="false" customHeight="false" outlineLevel="0" collapsed="false">
      <c r="A195" s="14" t="s">
        <v>162</v>
      </c>
      <c r="B195" s="14" t="s">
        <v>42</v>
      </c>
      <c r="C195" s="14" t="s">
        <v>163</v>
      </c>
      <c r="D195" s="14" t="s">
        <v>366</v>
      </c>
      <c r="E195" s="15" t="n">
        <v>9</v>
      </c>
      <c r="F195" s="14" t="s">
        <v>367</v>
      </c>
      <c r="G195" s="8" t="n">
        <v>27</v>
      </c>
      <c r="H195" s="14" t="s">
        <v>164</v>
      </c>
      <c r="I195" s="14" t="s">
        <v>165</v>
      </c>
      <c r="J195" s="14" t="s">
        <v>166</v>
      </c>
      <c r="K195" s="8" t="n">
        <v>28</v>
      </c>
      <c r="L195" s="8" t="n">
        <v>99</v>
      </c>
      <c r="M195" s="8" t="n">
        <v>3</v>
      </c>
      <c r="N195" s="8" t="n">
        <v>21</v>
      </c>
      <c r="O195" s="8" t="n">
        <v>1</v>
      </c>
      <c r="P195" s="9" t="n">
        <v>8.58236549340676</v>
      </c>
      <c r="Q195" s="10" t="n">
        <v>0.116517992710545</v>
      </c>
      <c r="R195" s="9" t="n">
        <v>5</v>
      </c>
      <c r="S195" s="11" t="n">
        <f aca="false">IF(AND(ISNUMBER(R195),R195&gt;1,P195&gt;0),R195/P195-1,"")</f>
        <v>-0.417410036447276</v>
      </c>
      <c r="T195" s="9" t="n">
        <f aca="false">IF(AND(ISNUMBER(P195),P195&gt;0),P195*EXP('Read me'!$B$22),"")</f>
        <v>10.4825248851857</v>
      </c>
    </row>
    <row r="196" customFormat="false" ht="15" hidden="false" customHeight="false" outlineLevel="0" collapsed="false">
      <c r="A196" s="14" t="s">
        <v>162</v>
      </c>
      <c r="B196" s="14" t="s">
        <v>42</v>
      </c>
      <c r="C196" s="14" t="s">
        <v>163</v>
      </c>
      <c r="D196" s="14" t="s">
        <v>366</v>
      </c>
      <c r="E196" s="15" t="n">
        <v>9</v>
      </c>
      <c r="F196" s="14" t="s">
        <v>367</v>
      </c>
      <c r="G196" s="8" t="n">
        <v>27</v>
      </c>
      <c r="H196" s="14" t="s">
        <v>167</v>
      </c>
      <c r="I196" s="14" t="s">
        <v>72</v>
      </c>
      <c r="J196" s="14" t="s">
        <v>384</v>
      </c>
      <c r="K196" s="8" t="n">
        <v>13</v>
      </c>
      <c r="L196" s="8" t="n">
        <v>105</v>
      </c>
      <c r="M196" s="8" t="n">
        <v>3</v>
      </c>
      <c r="N196" s="8" t="n">
        <v>16</v>
      </c>
      <c r="O196" s="8" t="n">
        <v>2</v>
      </c>
      <c r="P196" s="9" t="n">
        <v>10.9016318319471</v>
      </c>
      <c r="Q196" s="10" t="n">
        <v>0.0917293865189537</v>
      </c>
      <c r="R196" s="9" t="n">
        <v>11</v>
      </c>
      <c r="S196" s="11" t="n">
        <f aca="false">IF(AND(ISNUMBER(R196),R196&gt;1,P196&gt;0),R196/P196-1,"")</f>
        <v>0.0090232517084905</v>
      </c>
      <c r="T196" s="9" t="n">
        <f aca="false">IF(AND(ISNUMBER(P196),P196&gt;0),P196*EXP('Read me'!$B$22),"")</f>
        <v>13.3152831879868</v>
      </c>
    </row>
    <row r="197" customFormat="false" ht="15" hidden="false" customHeight="false" outlineLevel="0" collapsed="false">
      <c r="A197" s="14" t="s">
        <v>162</v>
      </c>
      <c r="B197" s="14" t="s">
        <v>42</v>
      </c>
      <c r="C197" s="14" t="s">
        <v>163</v>
      </c>
      <c r="D197" s="14" t="s">
        <v>366</v>
      </c>
      <c r="E197" s="15" t="n">
        <v>9</v>
      </c>
      <c r="F197" s="14" t="s">
        <v>367</v>
      </c>
      <c r="G197" s="8" t="n">
        <v>27</v>
      </c>
      <c r="H197" s="14" t="s">
        <v>702</v>
      </c>
      <c r="I197" s="14" t="s">
        <v>132</v>
      </c>
      <c r="J197" s="14" t="s">
        <v>703</v>
      </c>
      <c r="K197" s="8" t="n">
        <v>5</v>
      </c>
      <c r="L197" s="8" t="n">
        <v>93</v>
      </c>
      <c r="M197" s="8" t="n">
        <v>4</v>
      </c>
      <c r="N197" s="8" t="n">
        <v>14</v>
      </c>
      <c r="O197" s="8" t="n">
        <v>3</v>
      </c>
      <c r="P197" s="9" t="n">
        <v>12.8928499117167</v>
      </c>
      <c r="Q197" s="10" t="n">
        <v>0.0775623703717538</v>
      </c>
      <c r="R197" s="9" t="n">
        <v>26</v>
      </c>
      <c r="S197" s="11" t="n">
        <f aca="false">IF(AND(ISNUMBER(R197),R197&gt;1,P197&gt;0),R197/P197-1,"")</f>
        <v>1.0166216296656</v>
      </c>
      <c r="T197" s="9" t="n">
        <f aca="false">IF(AND(ISNUMBER(P197),P197&gt;0),P197*EXP('Read me'!$B$22),"")</f>
        <v>15.7473624427158</v>
      </c>
    </row>
    <row r="198" customFormat="false" ht="15" hidden="false" customHeight="false" outlineLevel="0" collapsed="false">
      <c r="A198" s="14" t="s">
        <v>162</v>
      </c>
      <c r="B198" s="14" t="s">
        <v>42</v>
      </c>
      <c r="C198" s="14" t="s">
        <v>163</v>
      </c>
      <c r="D198" s="14" t="s">
        <v>366</v>
      </c>
      <c r="E198" s="15" t="n">
        <v>9</v>
      </c>
      <c r="F198" s="14" t="s">
        <v>367</v>
      </c>
      <c r="G198" s="8" t="n">
        <v>27</v>
      </c>
      <c r="H198" s="14" t="s">
        <v>704</v>
      </c>
      <c r="I198" s="14" t="s">
        <v>705</v>
      </c>
      <c r="J198" s="14" t="s">
        <v>114</v>
      </c>
      <c r="K198" s="8" t="n">
        <v>26</v>
      </c>
      <c r="L198" s="8" t="n">
        <v>104</v>
      </c>
      <c r="M198" s="8" t="n">
        <v>5</v>
      </c>
      <c r="N198" s="8" t="n">
        <v>57</v>
      </c>
      <c r="O198" s="8" t="n">
        <v>4</v>
      </c>
      <c r="P198" s="9" t="n">
        <v>13.6465062616571</v>
      </c>
      <c r="Q198" s="10" t="n">
        <v>0.0732788290882719</v>
      </c>
      <c r="R198" s="9" t="n">
        <v>9.5</v>
      </c>
      <c r="S198" s="11" t="n">
        <f aca="false">IF(AND(ISNUMBER(R198),R198&gt;1,P198&gt;0),R198/P198-1,"")</f>
        <v>-0.303851123661416</v>
      </c>
      <c r="T198" s="9" t="n">
        <f aca="false">IF(AND(ISNUMBER(P198),P198&gt;0),P198*EXP('Read me'!$B$22),"")</f>
        <v>16.667880387238</v>
      </c>
    </row>
    <row r="199" customFormat="false" ht="15" hidden="false" customHeight="false" outlineLevel="0" collapsed="false">
      <c r="A199" s="14" t="s">
        <v>162</v>
      </c>
      <c r="B199" s="14" t="s">
        <v>42</v>
      </c>
      <c r="C199" s="14" t="s">
        <v>163</v>
      </c>
      <c r="D199" s="14" t="s">
        <v>366</v>
      </c>
      <c r="E199" s="15" t="n">
        <v>9</v>
      </c>
      <c r="F199" s="14" t="s">
        <v>367</v>
      </c>
      <c r="G199" s="8" t="n">
        <v>27</v>
      </c>
      <c r="H199" s="14" t="s">
        <v>706</v>
      </c>
      <c r="I199" s="14" t="s">
        <v>707</v>
      </c>
      <c r="J199" s="14" t="s">
        <v>307</v>
      </c>
      <c r="K199" s="8" t="n">
        <v>24</v>
      </c>
      <c r="L199" s="8" t="n">
        <v>106</v>
      </c>
      <c r="M199" s="8" t="n">
        <v>5</v>
      </c>
      <c r="N199" s="8" t="n">
        <v>77</v>
      </c>
      <c r="O199" s="8" t="n">
        <v>5</v>
      </c>
      <c r="P199" s="9" t="n">
        <v>15.7319795155723</v>
      </c>
      <c r="Q199" s="10" t="n">
        <v>0.063564791640502</v>
      </c>
      <c r="R199" s="9" t="n">
        <v>9.5</v>
      </c>
      <c r="S199" s="11" t="n">
        <f aca="false">IF(AND(ISNUMBER(R199),R199&gt;1,P199&gt;0),R199/P199-1,"")</f>
        <v>-0.39613447941523</v>
      </c>
      <c r="T199" s="9" t="n">
        <f aca="false">IF(AND(ISNUMBER(P199),P199&gt;0),P199*EXP('Read me'!$B$22),"")</f>
        <v>19.2150831716393</v>
      </c>
    </row>
    <row r="200" customFormat="false" ht="15" hidden="false" customHeight="false" outlineLevel="0" collapsed="false">
      <c r="A200" s="14" t="s">
        <v>162</v>
      </c>
      <c r="B200" s="14" t="s">
        <v>42</v>
      </c>
      <c r="C200" s="14" t="s">
        <v>163</v>
      </c>
      <c r="D200" s="14" t="s">
        <v>366</v>
      </c>
      <c r="E200" s="15" t="n">
        <v>9</v>
      </c>
      <c r="F200" s="14" t="s">
        <v>367</v>
      </c>
      <c r="G200" s="8" t="n">
        <v>27</v>
      </c>
      <c r="H200" s="14" t="s">
        <v>708</v>
      </c>
      <c r="I200" s="14" t="s">
        <v>246</v>
      </c>
      <c r="J200" s="14" t="s">
        <v>709</v>
      </c>
      <c r="K200" s="8" t="n">
        <v>1</v>
      </c>
      <c r="L200" s="8" t="n">
        <v>92</v>
      </c>
      <c r="M200" s="8" t="n">
        <v>4</v>
      </c>
      <c r="N200" s="8" t="n">
        <v>28</v>
      </c>
      <c r="O200" s="8" t="n">
        <v>6</v>
      </c>
      <c r="P200" s="9" t="n">
        <v>18.1566362540199</v>
      </c>
      <c r="Q200" s="10" t="n">
        <v>0.0550762809812088</v>
      </c>
      <c r="R200" s="9" t="n">
        <v>13</v>
      </c>
      <c r="S200" s="11" t="n">
        <f aca="false">IF(AND(ISNUMBER(R200),R200&gt;1,P200&gt;0),R200/P200-1,"")</f>
        <v>-0.284008347244285</v>
      </c>
      <c r="T200" s="9" t="n">
        <f aca="false">IF(AND(ISNUMBER(P200),P200&gt;0),P200*EXP('Read me'!$B$22),"")</f>
        <v>22.1765655995708</v>
      </c>
    </row>
    <row r="201" customFormat="false" ht="15" hidden="false" customHeight="false" outlineLevel="0" collapsed="false">
      <c r="A201" s="14" t="s">
        <v>162</v>
      </c>
      <c r="B201" s="14" t="s">
        <v>42</v>
      </c>
      <c r="C201" s="14" t="s">
        <v>163</v>
      </c>
      <c r="D201" s="14" t="s">
        <v>366</v>
      </c>
      <c r="E201" s="15" t="n">
        <v>9</v>
      </c>
      <c r="F201" s="14" t="s">
        <v>367</v>
      </c>
      <c r="G201" s="8" t="n">
        <v>27</v>
      </c>
      <c r="H201" s="14" t="s">
        <v>710</v>
      </c>
      <c r="I201" s="14" t="s">
        <v>639</v>
      </c>
      <c r="J201" s="14" t="s">
        <v>166</v>
      </c>
      <c r="K201" s="8" t="n">
        <v>18</v>
      </c>
      <c r="L201" s="8" t="n">
        <v>97</v>
      </c>
      <c r="M201" s="8" t="n">
        <v>3</v>
      </c>
      <c r="N201" s="8" t="n">
        <v>19</v>
      </c>
      <c r="O201" s="8" t="n">
        <v>7</v>
      </c>
      <c r="P201" s="9" t="n">
        <v>18.3092841805485</v>
      </c>
      <c r="Q201" s="10" t="n">
        <v>0.0546170997259622</v>
      </c>
      <c r="R201" s="9" t="n">
        <v>13</v>
      </c>
      <c r="S201" s="11" t="n">
        <f aca="false">IF(AND(ISNUMBER(R201),R201&gt;1,P201&gt;0),R201/P201-1,"")</f>
        <v>-0.289977703562491</v>
      </c>
      <c r="T201" s="9" t="n">
        <f aca="false">IF(AND(ISNUMBER(P201),P201&gt;0),P201*EXP('Read me'!$B$22),"")</f>
        <v>22.3630101980603</v>
      </c>
    </row>
    <row r="202" customFormat="false" ht="15" hidden="false" customHeight="false" outlineLevel="0" collapsed="false">
      <c r="A202" s="14" t="s">
        <v>162</v>
      </c>
      <c r="B202" s="14" t="s">
        <v>42</v>
      </c>
      <c r="C202" s="14" t="s">
        <v>163</v>
      </c>
      <c r="D202" s="14" t="s">
        <v>366</v>
      </c>
      <c r="E202" s="15" t="n">
        <v>9</v>
      </c>
      <c r="F202" s="14" t="s">
        <v>367</v>
      </c>
      <c r="G202" s="8" t="n">
        <v>27</v>
      </c>
      <c r="H202" s="14" t="s">
        <v>711</v>
      </c>
      <c r="I202" s="14" t="s">
        <v>642</v>
      </c>
      <c r="J202" s="14" t="s">
        <v>532</v>
      </c>
      <c r="K202" s="8" t="n">
        <v>9</v>
      </c>
      <c r="L202" s="8" t="n">
        <v>91</v>
      </c>
      <c r="M202" s="8" t="n">
        <v>4</v>
      </c>
      <c r="N202" s="8" t="n">
        <v>13</v>
      </c>
      <c r="O202" s="8" t="n">
        <v>8</v>
      </c>
      <c r="P202" s="9" t="n">
        <v>20.336599394433</v>
      </c>
      <c r="Q202" s="10" t="n">
        <v>0.0491724295003689</v>
      </c>
      <c r="R202" s="9" t="n">
        <v>34</v>
      </c>
      <c r="S202" s="11" t="n">
        <f aca="false">IF(AND(ISNUMBER(R202),R202&gt;1,P202&gt;0),R202/P202-1,"")</f>
        <v>0.671862603012543</v>
      </c>
      <c r="T202" s="9" t="n">
        <f aca="false">IF(AND(ISNUMBER(P202),P202&gt;0),P202*EXP('Read me'!$B$22),"")</f>
        <v>24.8391785919589</v>
      </c>
    </row>
    <row r="203" customFormat="false" ht="15" hidden="false" customHeight="false" outlineLevel="0" collapsed="false">
      <c r="A203" s="14" t="s">
        <v>162</v>
      </c>
      <c r="B203" s="14" t="s">
        <v>42</v>
      </c>
      <c r="C203" s="14" t="s">
        <v>163</v>
      </c>
      <c r="D203" s="14" t="s">
        <v>366</v>
      </c>
      <c r="E203" s="15" t="n">
        <v>9</v>
      </c>
      <c r="F203" s="14" t="s">
        <v>367</v>
      </c>
      <c r="G203" s="8" t="n">
        <v>27</v>
      </c>
      <c r="H203" s="14" t="s">
        <v>712</v>
      </c>
      <c r="I203" s="14" t="s">
        <v>369</v>
      </c>
      <c r="J203" s="14" t="s">
        <v>230</v>
      </c>
      <c r="K203" s="8" t="n">
        <v>11</v>
      </c>
      <c r="L203" s="8" t="n">
        <v>94</v>
      </c>
      <c r="M203" s="8" t="n">
        <v>4</v>
      </c>
      <c r="N203" s="8" t="n">
        <v>22</v>
      </c>
      <c r="O203" s="8" t="n">
        <v>9</v>
      </c>
      <c r="P203" s="9" t="n">
        <v>23.5220308202117</v>
      </c>
      <c r="Q203" s="10" t="n">
        <v>0.0425133360143688</v>
      </c>
      <c r="R203" s="9" t="n">
        <v>15</v>
      </c>
      <c r="S203" s="11" t="n">
        <f aca="false">IF(AND(ISNUMBER(R203),R203&gt;1,P203&gt;0),R203/P203-1,"")</f>
        <v>-0.362299959784467</v>
      </c>
      <c r="T203" s="9" t="n">
        <f aca="false">IF(AND(ISNUMBER(P203),P203&gt;0),P203*EXP('Read me'!$B$22),"")</f>
        <v>28.7298733213351</v>
      </c>
    </row>
    <row r="204" customFormat="false" ht="15" hidden="false" customHeight="false" outlineLevel="0" collapsed="false">
      <c r="A204" s="14" t="s">
        <v>162</v>
      </c>
      <c r="B204" s="14" t="s">
        <v>42</v>
      </c>
      <c r="C204" s="14" t="s">
        <v>163</v>
      </c>
      <c r="D204" s="14" t="s">
        <v>366</v>
      </c>
      <c r="E204" s="15" t="n">
        <v>9</v>
      </c>
      <c r="F204" s="14" t="s">
        <v>367</v>
      </c>
      <c r="G204" s="8" t="n">
        <v>27</v>
      </c>
      <c r="H204" s="14" t="s">
        <v>713</v>
      </c>
      <c r="I204" s="14" t="s">
        <v>45</v>
      </c>
      <c r="J204" s="14" t="s">
        <v>714</v>
      </c>
      <c r="K204" s="8" t="n">
        <v>25</v>
      </c>
      <c r="L204" s="8" t="n">
        <v>100</v>
      </c>
      <c r="M204" s="8" t="n">
        <v>8</v>
      </c>
      <c r="N204" s="8" t="n">
        <v>35</v>
      </c>
      <c r="O204" s="8" t="n">
        <v>10</v>
      </c>
      <c r="P204" s="9" t="n">
        <v>24.3272067239393</v>
      </c>
      <c r="Q204" s="10" t="n">
        <v>0.0411062400771209</v>
      </c>
      <c r="R204" s="9" t="n">
        <v>9</v>
      </c>
      <c r="S204" s="11" t="n">
        <f aca="false">IF(AND(ISNUMBER(R204),R204&gt;1,P204&gt;0),R204/P204-1,"")</f>
        <v>-0.630043839305912</v>
      </c>
      <c r="T204" s="9" t="n">
        <f aca="false">IF(AND(ISNUMBER(P204),P204&gt;0),P204*EXP('Read me'!$B$22),"")</f>
        <v>29.7133173909521</v>
      </c>
    </row>
    <row r="205" customFormat="false" ht="15" hidden="false" customHeight="false" outlineLevel="0" collapsed="false">
      <c r="A205" s="14" t="s">
        <v>162</v>
      </c>
      <c r="B205" s="14" t="s">
        <v>42</v>
      </c>
      <c r="C205" s="14" t="s">
        <v>163</v>
      </c>
      <c r="D205" s="14" t="s">
        <v>366</v>
      </c>
      <c r="E205" s="15" t="n">
        <v>9</v>
      </c>
      <c r="F205" s="14" t="s">
        <v>367</v>
      </c>
      <c r="G205" s="8" t="n">
        <v>27</v>
      </c>
      <c r="H205" s="14" t="s">
        <v>715</v>
      </c>
      <c r="I205" s="14" t="s">
        <v>375</v>
      </c>
      <c r="J205" s="14" t="s">
        <v>439</v>
      </c>
      <c r="K205" s="8" t="n">
        <v>16</v>
      </c>
      <c r="L205" s="8" t="n">
        <v>108</v>
      </c>
      <c r="M205" s="8" t="n">
        <v>5</v>
      </c>
      <c r="N205" s="8" t="n">
        <v>14</v>
      </c>
      <c r="O205" s="8" t="n">
        <v>11</v>
      </c>
      <c r="P205" s="9" t="n">
        <v>24.9754885207642</v>
      </c>
      <c r="Q205" s="10" t="n">
        <v>0.0400392568565221</v>
      </c>
      <c r="R205" s="9" t="n">
        <v>26</v>
      </c>
      <c r="S205" s="11" t="n">
        <f aca="false">IF(AND(ISNUMBER(R205),R205&gt;1,P205&gt;0),R205/P205-1,"")</f>
        <v>0.0410206782695766</v>
      </c>
      <c r="T205" s="9" t="n">
        <f aca="false">IF(AND(ISNUMBER(P205),P205&gt;0),P205*EXP('Read me'!$B$22),"")</f>
        <v>30.5051305656591</v>
      </c>
    </row>
    <row r="206" customFormat="false" ht="15" hidden="false" customHeight="false" outlineLevel="0" collapsed="false">
      <c r="A206" s="14" t="s">
        <v>162</v>
      </c>
      <c r="B206" s="14" t="s">
        <v>42</v>
      </c>
      <c r="C206" s="14" t="s">
        <v>163</v>
      </c>
      <c r="D206" s="14" t="s">
        <v>366</v>
      </c>
      <c r="E206" s="15" t="n">
        <v>9</v>
      </c>
      <c r="F206" s="14" t="s">
        <v>367</v>
      </c>
      <c r="G206" s="8" t="n">
        <v>27</v>
      </c>
      <c r="H206" s="14" t="s">
        <v>716</v>
      </c>
      <c r="I206" s="14" t="s">
        <v>717</v>
      </c>
      <c r="J206" s="14" t="s">
        <v>718</v>
      </c>
      <c r="K206" s="8" t="n">
        <v>19</v>
      </c>
      <c r="L206" s="8" t="n">
        <v>93</v>
      </c>
      <c r="M206" s="8" t="n">
        <v>3</v>
      </c>
      <c r="N206" s="8" t="n">
        <v>9</v>
      </c>
      <c r="O206" s="8" t="n">
        <v>12</v>
      </c>
      <c r="P206" s="9" t="n">
        <v>28.305055325925</v>
      </c>
      <c r="Q206" s="10" t="n">
        <v>0.0353293780381374</v>
      </c>
      <c r="R206" s="9" t="n">
        <v>17</v>
      </c>
      <c r="S206" s="11" t="n">
        <f aca="false">IF(AND(ISNUMBER(R206),R206&gt;1,P206&gt;0),R206/P206-1,"")</f>
        <v>-0.399400573351664</v>
      </c>
      <c r="T206" s="9" t="n">
        <f aca="false">IF(AND(ISNUMBER(P206),P206&gt;0),P206*EXP('Read me'!$B$22),"")</f>
        <v>34.571872644961</v>
      </c>
    </row>
    <row r="207" customFormat="false" ht="15" hidden="false" customHeight="false" outlineLevel="0" collapsed="false">
      <c r="A207" s="14" t="s">
        <v>162</v>
      </c>
      <c r="B207" s="14" t="s">
        <v>42</v>
      </c>
      <c r="C207" s="14" t="s">
        <v>163</v>
      </c>
      <c r="D207" s="14" t="s">
        <v>366</v>
      </c>
      <c r="E207" s="15" t="n">
        <v>9</v>
      </c>
      <c r="F207" s="14" t="s">
        <v>367</v>
      </c>
      <c r="G207" s="8" t="n">
        <v>27</v>
      </c>
      <c r="H207" s="14" t="s">
        <v>719</v>
      </c>
      <c r="I207" s="14" t="s">
        <v>373</v>
      </c>
      <c r="J207" s="14" t="s">
        <v>720</v>
      </c>
      <c r="K207" s="8" t="n">
        <v>3</v>
      </c>
      <c r="L207" s="8" t="n">
        <v>89</v>
      </c>
      <c r="M207" s="8" t="n">
        <v>4</v>
      </c>
      <c r="N207" s="8" t="n">
        <v>37</v>
      </c>
      <c r="O207" s="8" t="n">
        <v>13</v>
      </c>
      <c r="P207" s="9" t="n">
        <v>29.652347782113</v>
      </c>
      <c r="Q207" s="10" t="n">
        <v>0.0337241424304089</v>
      </c>
      <c r="R207" s="9" t="n">
        <v>26</v>
      </c>
      <c r="S207" s="11" t="n">
        <f aca="false">IF(AND(ISNUMBER(R207),R207&gt;1,P207&gt;0),R207/P207-1,"")</f>
        <v>-0.123172296809366</v>
      </c>
      <c r="T207" s="9" t="n">
        <f aca="false">IF(AND(ISNUMBER(P207),P207&gt;0),P207*EXP('Read me'!$B$22),"")</f>
        <v>36.2174593669974</v>
      </c>
    </row>
    <row r="208" customFormat="false" ht="15" hidden="false" customHeight="false" outlineLevel="0" collapsed="false">
      <c r="A208" s="14" t="s">
        <v>162</v>
      </c>
      <c r="B208" s="14" t="s">
        <v>42</v>
      </c>
      <c r="C208" s="14" t="s">
        <v>163</v>
      </c>
      <c r="D208" s="14" t="s">
        <v>366</v>
      </c>
      <c r="E208" s="15" t="n">
        <v>9</v>
      </c>
      <c r="F208" s="14" t="s">
        <v>367</v>
      </c>
      <c r="G208" s="8" t="n">
        <v>27</v>
      </c>
      <c r="H208" s="14" t="s">
        <v>721</v>
      </c>
      <c r="I208" s="14" t="s">
        <v>722</v>
      </c>
      <c r="J208" s="14" t="s">
        <v>60</v>
      </c>
      <c r="K208" s="8" t="n">
        <v>6</v>
      </c>
      <c r="L208" s="8" t="n">
        <v>91</v>
      </c>
      <c r="M208" s="8" t="n">
        <v>3</v>
      </c>
      <c r="N208" s="8" t="n">
        <v>22</v>
      </c>
      <c r="O208" s="8" t="n">
        <v>14</v>
      </c>
      <c r="P208" s="9" t="n">
        <v>31.3018038403938</v>
      </c>
      <c r="Q208" s="10" t="n">
        <v>0.0319470406593481</v>
      </c>
      <c r="R208" s="9" t="n">
        <v>21</v>
      </c>
      <c r="S208" s="11" t="n">
        <f aca="false">IF(AND(ISNUMBER(R208),R208&gt;1,P208&gt;0),R208/P208-1,"")</f>
        <v>-0.32911214615369</v>
      </c>
      <c r="T208" s="9" t="n">
        <f aca="false">IF(AND(ISNUMBER(P208),P208&gt;0),P208*EXP('Read me'!$B$22),"")</f>
        <v>38.2321095460456</v>
      </c>
    </row>
    <row r="209" customFormat="false" ht="15" hidden="false" customHeight="false" outlineLevel="0" collapsed="false">
      <c r="A209" s="14" t="s">
        <v>162</v>
      </c>
      <c r="B209" s="14" t="s">
        <v>42</v>
      </c>
      <c r="C209" s="14" t="s">
        <v>163</v>
      </c>
      <c r="D209" s="14" t="s">
        <v>366</v>
      </c>
      <c r="E209" s="15" t="n">
        <v>9</v>
      </c>
      <c r="F209" s="14" t="s">
        <v>367</v>
      </c>
      <c r="G209" s="8" t="n">
        <v>27</v>
      </c>
      <c r="H209" s="14" t="s">
        <v>723</v>
      </c>
      <c r="I209" s="14" t="s">
        <v>206</v>
      </c>
      <c r="J209" s="14" t="s">
        <v>428</v>
      </c>
      <c r="K209" s="8" t="n">
        <v>7</v>
      </c>
      <c r="L209" s="8" t="n">
        <v>98</v>
      </c>
      <c r="M209" s="8" t="n">
        <v>3</v>
      </c>
      <c r="N209" s="8" t="n">
        <v>19</v>
      </c>
      <c r="O209" s="8" t="n">
        <v>15</v>
      </c>
      <c r="P209" s="9" t="n">
        <v>31.9625034279898</v>
      </c>
      <c r="Q209" s="10" t="n">
        <v>0.0312866607039389</v>
      </c>
      <c r="R209" s="9" t="n">
        <v>23</v>
      </c>
      <c r="S209" s="11" t="n">
        <f aca="false">IF(AND(ISNUMBER(R209),R209&gt;1,P209&gt;0),R209/P209-1,"")</f>
        <v>-0.280406803809405</v>
      </c>
      <c r="T209" s="9" t="n">
        <f aca="false">IF(AND(ISNUMBER(P209),P209&gt;0),P209*EXP('Read me'!$B$22),"")</f>
        <v>39.0390898446506</v>
      </c>
    </row>
    <row r="210" customFormat="false" ht="15" hidden="false" customHeight="false" outlineLevel="0" collapsed="false">
      <c r="A210" s="14" t="s">
        <v>162</v>
      </c>
      <c r="B210" s="14" t="s">
        <v>42</v>
      </c>
      <c r="C210" s="14" t="s">
        <v>163</v>
      </c>
      <c r="D210" s="14" t="s">
        <v>366</v>
      </c>
      <c r="E210" s="15" t="n">
        <v>9</v>
      </c>
      <c r="F210" s="14" t="s">
        <v>367</v>
      </c>
      <c r="G210" s="8" t="n">
        <v>27</v>
      </c>
      <c r="H210" s="14" t="s">
        <v>724</v>
      </c>
      <c r="I210" s="14" t="s">
        <v>725</v>
      </c>
      <c r="J210" s="14" t="s">
        <v>188</v>
      </c>
      <c r="K210" s="8" t="n">
        <v>17</v>
      </c>
      <c r="L210" s="8" t="n">
        <v>97</v>
      </c>
      <c r="M210" s="8" t="n">
        <v>3</v>
      </c>
      <c r="N210" s="8" t="n">
        <v>36</v>
      </c>
      <c r="O210" s="8" t="n">
        <v>16</v>
      </c>
      <c r="P210" s="9" t="n">
        <v>33.9169916668005</v>
      </c>
      <c r="Q210" s="10" t="n">
        <v>0.0294837469615221</v>
      </c>
      <c r="R210" s="9" t="n">
        <v>34</v>
      </c>
      <c r="S210" s="11" t="n">
        <f aca="false">IF(AND(ISNUMBER(R210),R210&gt;1,P210&gt;0),R210/P210-1,"")</f>
        <v>0.00244739669175131</v>
      </c>
      <c r="T210" s="9" t="n">
        <f aca="false">IF(AND(ISNUMBER(P210),P210&gt;0),P210*EXP('Read me'!$B$22),"")</f>
        <v>41.4263071703256</v>
      </c>
    </row>
    <row r="211" customFormat="false" ht="15" hidden="false" customHeight="false" outlineLevel="0" collapsed="false">
      <c r="A211" s="14" t="s">
        <v>162</v>
      </c>
      <c r="B211" s="14" t="s">
        <v>42</v>
      </c>
      <c r="C211" s="14" t="s">
        <v>163</v>
      </c>
      <c r="D211" s="14" t="s">
        <v>366</v>
      </c>
      <c r="E211" s="15" t="n">
        <v>9</v>
      </c>
      <c r="F211" s="14" t="s">
        <v>367</v>
      </c>
      <c r="G211" s="8" t="n">
        <v>27</v>
      </c>
      <c r="H211" s="14" t="s">
        <v>726</v>
      </c>
      <c r="I211" s="14" t="s">
        <v>383</v>
      </c>
      <c r="J211" s="14" t="s">
        <v>727</v>
      </c>
      <c r="K211" s="8" t="n">
        <v>8</v>
      </c>
      <c r="L211" s="8" t="n">
        <v>100</v>
      </c>
      <c r="M211" s="8" t="n">
        <v>4</v>
      </c>
      <c r="N211" s="8" t="n">
        <v>22</v>
      </c>
      <c r="O211" s="8" t="n">
        <v>17</v>
      </c>
      <c r="P211" s="9" t="n">
        <v>38.415547259961</v>
      </c>
      <c r="Q211" s="10" t="n">
        <v>0.0260311272733646</v>
      </c>
      <c r="R211" s="9" t="n">
        <v>26</v>
      </c>
      <c r="S211" s="11" t="n">
        <f aca="false">IF(AND(ISNUMBER(R211),R211&gt;1,P211&gt;0),R211/P211-1,"")</f>
        <v>-0.323190690892519</v>
      </c>
      <c r="T211" s="9" t="n">
        <f aca="false">IF(AND(ISNUMBER(P211),P211&gt;0),P211*EXP('Read me'!$B$22),"")</f>
        <v>46.9208553795488</v>
      </c>
    </row>
    <row r="212" customFormat="false" ht="15" hidden="false" customHeight="false" outlineLevel="0" collapsed="false">
      <c r="A212" s="14" t="s">
        <v>162</v>
      </c>
      <c r="B212" s="14" t="s">
        <v>42</v>
      </c>
      <c r="C212" s="14" t="s">
        <v>163</v>
      </c>
      <c r="D212" s="14" t="s">
        <v>366</v>
      </c>
      <c r="E212" s="15" t="n">
        <v>9</v>
      </c>
      <c r="F212" s="14" t="s">
        <v>367</v>
      </c>
      <c r="G212" s="8" t="n">
        <v>27</v>
      </c>
      <c r="H212" s="14" t="s">
        <v>728</v>
      </c>
      <c r="I212" s="14" t="s">
        <v>729</v>
      </c>
      <c r="J212" s="14" t="s">
        <v>582</v>
      </c>
      <c r="K212" s="8" t="n">
        <v>23</v>
      </c>
      <c r="L212" s="8" t="n">
        <v>90</v>
      </c>
      <c r="M212" s="8" t="n">
        <v>4</v>
      </c>
      <c r="N212" s="8" t="n">
        <v>35</v>
      </c>
      <c r="O212" s="8" t="n">
        <v>18</v>
      </c>
      <c r="P212" s="9" t="n">
        <v>50.927243937332</v>
      </c>
      <c r="Q212" s="10" t="n">
        <v>0.0196358554417462</v>
      </c>
      <c r="R212" s="9" t="n">
        <v>51</v>
      </c>
      <c r="S212" s="11" t="n">
        <f aca="false">IF(AND(ISNUMBER(R212),R212&gt;1,P212&gt;0),R212/P212-1,"")</f>
        <v>0.00142862752905937</v>
      </c>
      <c r="T212" s="9" t="n">
        <f aca="false">IF(AND(ISNUMBER(P212),P212&gt;0),P212*EXP('Read me'!$B$22),"")</f>
        <v>62.2026762105531</v>
      </c>
    </row>
    <row r="213" customFormat="false" ht="15" hidden="false" customHeight="false" outlineLevel="0" collapsed="false">
      <c r="A213" s="14" t="s">
        <v>162</v>
      </c>
      <c r="B213" s="14" t="s">
        <v>42</v>
      </c>
      <c r="C213" s="14" t="s">
        <v>163</v>
      </c>
      <c r="D213" s="14" t="s">
        <v>366</v>
      </c>
      <c r="E213" s="15" t="n">
        <v>9</v>
      </c>
      <c r="F213" s="14" t="s">
        <v>367</v>
      </c>
      <c r="G213" s="8" t="n">
        <v>27</v>
      </c>
      <c r="H213" s="14" t="s">
        <v>730</v>
      </c>
      <c r="I213" s="14" t="s">
        <v>378</v>
      </c>
      <c r="J213" s="14" t="s">
        <v>381</v>
      </c>
      <c r="K213" s="8" t="n">
        <v>21</v>
      </c>
      <c r="L213" s="8" t="n">
        <v>99</v>
      </c>
      <c r="M213" s="8" t="n">
        <v>4</v>
      </c>
      <c r="N213" s="8" t="n">
        <v>63</v>
      </c>
      <c r="O213" s="8" t="n">
        <v>19</v>
      </c>
      <c r="P213" s="9" t="n">
        <v>53.728845122168</v>
      </c>
      <c r="Q213" s="10" t="n">
        <v>0.0186119764481483</v>
      </c>
      <c r="R213" s="9" t="n">
        <v>29</v>
      </c>
      <c r="S213" s="11" t="n">
        <f aca="false">IF(AND(ISNUMBER(R213),R213&gt;1,P213&gt;0),R213/P213-1,"")</f>
        <v>-0.460252683003699</v>
      </c>
      <c r="T213" s="9" t="n">
        <f aca="false">IF(AND(ISNUMBER(P213),P213&gt;0),P213*EXP('Read me'!$B$22),"")</f>
        <v>65.6245596249766</v>
      </c>
    </row>
    <row r="214" customFormat="false" ht="15" hidden="false" customHeight="false" outlineLevel="0" collapsed="false">
      <c r="A214" s="14" t="s">
        <v>162</v>
      </c>
      <c r="B214" s="14" t="s">
        <v>42</v>
      </c>
      <c r="C214" s="14" t="s">
        <v>163</v>
      </c>
      <c r="D214" s="14" t="s">
        <v>366</v>
      </c>
      <c r="E214" s="15" t="n">
        <v>9</v>
      </c>
      <c r="F214" s="14" t="s">
        <v>367</v>
      </c>
      <c r="G214" s="8" t="n">
        <v>27</v>
      </c>
      <c r="H214" s="14" t="s">
        <v>731</v>
      </c>
      <c r="I214" s="14" t="s">
        <v>732</v>
      </c>
      <c r="J214" s="14" t="s">
        <v>733</v>
      </c>
      <c r="K214" s="8" t="n">
        <v>20</v>
      </c>
      <c r="L214" s="8" t="n">
        <v>91</v>
      </c>
      <c r="M214" s="8" t="n">
        <v>4</v>
      </c>
      <c r="N214" s="8" t="n">
        <v>23</v>
      </c>
      <c r="O214" s="8" t="n">
        <v>20</v>
      </c>
      <c r="P214" s="9" t="n">
        <v>62.2744341099781</v>
      </c>
      <c r="Q214" s="10" t="n">
        <v>0.0160579540270727</v>
      </c>
      <c r="R214" s="9" t="n">
        <v>34</v>
      </c>
      <c r="S214" s="11" t="n">
        <f aca="false">IF(AND(ISNUMBER(R214),R214&gt;1,P214&gt;0),R214/P214-1,"")</f>
        <v>-0.454029563079526</v>
      </c>
      <c r="T214" s="9" t="n">
        <f aca="false">IF(AND(ISNUMBER(P214),P214&gt;0),P214*EXP('Read me'!$B$22),"")</f>
        <v>76.062165584791</v>
      </c>
    </row>
    <row r="215" customFormat="false" ht="15" hidden="false" customHeight="false" outlineLevel="0" collapsed="false">
      <c r="A215" s="14" t="s">
        <v>162</v>
      </c>
      <c r="B215" s="14" t="s">
        <v>42</v>
      </c>
      <c r="C215" s="14" t="s">
        <v>163</v>
      </c>
      <c r="D215" s="14" t="s">
        <v>366</v>
      </c>
      <c r="E215" s="15" t="n">
        <v>9</v>
      </c>
      <c r="F215" s="14" t="s">
        <v>367</v>
      </c>
      <c r="G215" s="8" t="n">
        <v>27</v>
      </c>
      <c r="H215" s="14" t="s">
        <v>734</v>
      </c>
      <c r="I215" s="14" t="s">
        <v>735</v>
      </c>
      <c r="J215" s="14" t="s">
        <v>665</v>
      </c>
      <c r="K215" s="8" t="n">
        <v>4</v>
      </c>
      <c r="L215" s="8" t="n">
        <v>84</v>
      </c>
      <c r="M215" s="8" t="n">
        <v>4</v>
      </c>
      <c r="N215" s="8" t="n">
        <v>7</v>
      </c>
      <c r="O215" s="8" t="n">
        <v>21</v>
      </c>
      <c r="P215" s="9" t="n">
        <v>68.0251484755541</v>
      </c>
      <c r="Q215" s="10" t="n">
        <v>0.0147004456794293</v>
      </c>
      <c r="R215" s="9" t="n">
        <v>41</v>
      </c>
      <c r="S215" s="11" t="n">
        <f aca="false">IF(AND(ISNUMBER(R215),R215&gt;1,P215&gt;0),R215/P215-1,"")</f>
        <v>-0.397281727143396</v>
      </c>
      <c r="T215" s="9" t="n">
        <f aca="false">IF(AND(ISNUMBER(P215),P215&gt;0),P215*EXP('Read me'!$B$22),"")</f>
        <v>83.0861039722969</v>
      </c>
    </row>
    <row r="216" customFormat="false" ht="15" hidden="false" customHeight="false" outlineLevel="0" collapsed="false">
      <c r="A216" s="14" t="s">
        <v>162</v>
      </c>
      <c r="B216" s="14" t="s">
        <v>42</v>
      </c>
      <c r="C216" s="14" t="s">
        <v>163</v>
      </c>
      <c r="D216" s="14" t="s">
        <v>366</v>
      </c>
      <c r="E216" s="15" t="n">
        <v>9</v>
      </c>
      <c r="F216" s="14" t="s">
        <v>367</v>
      </c>
      <c r="G216" s="8" t="n">
        <v>27</v>
      </c>
      <c r="H216" s="14" t="s">
        <v>736</v>
      </c>
      <c r="I216" s="14" t="s">
        <v>737</v>
      </c>
      <c r="J216" s="14" t="s">
        <v>428</v>
      </c>
      <c r="K216" s="8" t="n">
        <v>22</v>
      </c>
      <c r="L216" s="8" t="n">
        <v>99</v>
      </c>
      <c r="M216" s="8" t="n">
        <v>5</v>
      </c>
      <c r="N216" s="8" t="n">
        <v>22</v>
      </c>
      <c r="O216" s="8" t="n">
        <v>22</v>
      </c>
      <c r="P216" s="9" t="n">
        <v>106.654095217819</v>
      </c>
      <c r="Q216" s="10" t="n">
        <v>0.0093761050427337</v>
      </c>
      <c r="R216" s="9" t="n">
        <v>67</v>
      </c>
      <c r="S216" s="11" t="n">
        <f aca="false">IF(AND(ISNUMBER(R216),R216&gt;1,P216&gt;0),R216/P216-1,"")</f>
        <v>-0.371800962136837</v>
      </c>
      <c r="T216" s="9" t="n">
        <f aca="false">IF(AND(ISNUMBER(P216),P216&gt;0),P216*EXP('Read me'!$B$22),"")</f>
        <v>130.267606068121</v>
      </c>
    </row>
    <row r="217" customFormat="false" ht="15" hidden="false" customHeight="false" outlineLevel="0" collapsed="false">
      <c r="A217" s="14" t="s">
        <v>162</v>
      </c>
      <c r="B217" s="14" t="s">
        <v>42</v>
      </c>
      <c r="C217" s="14" t="s">
        <v>163</v>
      </c>
      <c r="D217" s="14" t="s">
        <v>366</v>
      </c>
      <c r="E217" s="15" t="n">
        <v>9</v>
      </c>
      <c r="F217" s="14" t="s">
        <v>367</v>
      </c>
      <c r="G217" s="8" t="n">
        <v>27</v>
      </c>
      <c r="H217" s="14" t="s">
        <v>738</v>
      </c>
      <c r="I217" s="14" t="s">
        <v>739</v>
      </c>
      <c r="J217" s="14" t="s">
        <v>740</v>
      </c>
      <c r="K217" s="8" t="n">
        <v>27</v>
      </c>
      <c r="L217" s="8" t="n">
        <v>83</v>
      </c>
      <c r="M217" s="8" t="n">
        <v>5</v>
      </c>
      <c r="N217" s="8" t="n">
        <v>19</v>
      </c>
      <c r="O217" s="8" t="n">
        <v>23</v>
      </c>
      <c r="P217" s="9" t="n">
        <v>112.972556504368</v>
      </c>
      <c r="Q217" s="10" t="n">
        <v>0.0088517072724766</v>
      </c>
      <c r="R217" s="9" t="n">
        <v>51</v>
      </c>
      <c r="S217" s="11" t="n">
        <f aca="false">IF(AND(ISNUMBER(R217),R217&gt;1,P217&gt;0),R217/P217-1,"")</f>
        <v>-0.548562929103689</v>
      </c>
      <c r="T217" s="9" t="n">
        <f aca="false">IF(AND(ISNUMBER(P217),P217&gt;0),P217*EXP('Read me'!$B$22),"")</f>
        <v>137.984992110841</v>
      </c>
    </row>
    <row r="218" customFormat="false" ht="15" hidden="false" customHeight="false" outlineLevel="0" collapsed="false">
      <c r="A218" s="14" t="s">
        <v>162</v>
      </c>
      <c r="B218" s="14" t="s">
        <v>42</v>
      </c>
      <c r="C218" s="14" t="s">
        <v>163</v>
      </c>
      <c r="D218" s="14" t="s">
        <v>366</v>
      </c>
      <c r="E218" s="15" t="n">
        <v>9</v>
      </c>
      <c r="F218" s="14" t="s">
        <v>367</v>
      </c>
      <c r="G218" s="8" t="n">
        <v>27</v>
      </c>
      <c r="H218" s="14" t="s">
        <v>741</v>
      </c>
      <c r="I218" s="14" t="s">
        <v>742</v>
      </c>
      <c r="J218" s="14" t="s">
        <v>665</v>
      </c>
      <c r="K218" s="8" t="n">
        <v>2</v>
      </c>
      <c r="L218" s="8" t="n">
        <v>82</v>
      </c>
      <c r="M218" s="8" t="n">
        <v>5</v>
      </c>
      <c r="N218" s="8" t="n">
        <v>7</v>
      </c>
      <c r="O218" s="8" t="n">
        <v>24</v>
      </c>
      <c r="P218" s="9" t="n">
        <v>153.446272492538</v>
      </c>
      <c r="Q218" s="10" t="n">
        <v>0.0065169390155673</v>
      </c>
      <c r="R218" s="9" t="n">
        <v>101</v>
      </c>
      <c r="S218" s="11" t="n">
        <f aca="false">IF(AND(ISNUMBER(R218),R218&gt;1,P218&gt;0),R218/P218-1,"")</f>
        <v>-0.341789159427698</v>
      </c>
      <c r="T218" s="9" t="n">
        <f aca="false">IF(AND(ISNUMBER(P218),P218&gt;0),P218*EXP('Read me'!$B$22),"")</f>
        <v>187.419700451783</v>
      </c>
    </row>
    <row r="219" customFormat="false" ht="15" hidden="false" customHeight="false" outlineLevel="0" collapsed="false">
      <c r="A219" s="14" t="s">
        <v>162</v>
      </c>
      <c r="B219" s="14" t="s">
        <v>42</v>
      </c>
      <c r="C219" s="14" t="s">
        <v>163</v>
      </c>
      <c r="D219" s="14" t="s">
        <v>366</v>
      </c>
      <c r="E219" s="15" t="n">
        <v>9</v>
      </c>
      <c r="F219" s="14" t="s">
        <v>367</v>
      </c>
      <c r="G219" s="8" t="n">
        <v>27</v>
      </c>
      <c r="H219" s="14" t="s">
        <v>743</v>
      </c>
      <c r="I219" s="14" t="s">
        <v>386</v>
      </c>
      <c r="J219" s="14" t="s">
        <v>744</v>
      </c>
      <c r="K219" s="8" t="n">
        <v>14</v>
      </c>
      <c r="L219" s="8" t="n">
        <v>83</v>
      </c>
      <c r="M219" s="8" t="n">
        <v>4</v>
      </c>
      <c r="N219" s="8" t="n">
        <v>20</v>
      </c>
      <c r="O219" s="8" t="n">
        <v>25</v>
      </c>
      <c r="P219" s="9" t="n">
        <v>216.386784066029</v>
      </c>
      <c r="Q219" s="10" t="n">
        <v>0.0046213543230757</v>
      </c>
      <c r="R219" s="9" t="n">
        <v>151</v>
      </c>
      <c r="S219" s="11" t="n">
        <f aca="false">IF(AND(ISNUMBER(R219),R219&gt;1,P219&gt;0),R219/P219-1,"")</f>
        <v>-0.302175497215564</v>
      </c>
      <c r="T219" s="9" t="n">
        <f aca="false">IF(AND(ISNUMBER(P219),P219&gt;0),P219*EXP('Read me'!$B$22),"")</f>
        <v>264.295414887657</v>
      </c>
    </row>
    <row r="220" customFormat="false" ht="15" hidden="false" customHeight="false" outlineLevel="0" collapsed="false">
      <c r="A220" s="14" t="s">
        <v>162</v>
      </c>
      <c r="B220" s="14" t="s">
        <v>42</v>
      </c>
      <c r="C220" s="14" t="s">
        <v>163</v>
      </c>
      <c r="D220" s="14" t="s">
        <v>366</v>
      </c>
      <c r="E220" s="15" t="n">
        <v>9</v>
      </c>
      <c r="F220" s="14" t="s">
        <v>367</v>
      </c>
      <c r="G220" s="8" t="n">
        <v>27</v>
      </c>
      <c r="H220" s="14" t="s">
        <v>745</v>
      </c>
      <c r="I220" s="14" t="s">
        <v>746</v>
      </c>
      <c r="J220" s="14" t="s">
        <v>665</v>
      </c>
      <c r="K220" s="8" t="n">
        <v>10</v>
      </c>
      <c r="L220" s="8" t="n">
        <v>85</v>
      </c>
      <c r="M220" s="8" t="n">
        <v>4</v>
      </c>
      <c r="N220" s="8" t="n">
        <v>9</v>
      </c>
      <c r="O220" s="8" t="n">
        <v>26</v>
      </c>
      <c r="P220" s="9" t="n">
        <v>230.738671680879</v>
      </c>
      <c r="Q220" s="10" t="n">
        <v>0.0043339072411019</v>
      </c>
      <c r="R220" s="9" t="n">
        <v>51</v>
      </c>
      <c r="S220" s="11" t="n">
        <f aca="false">IF(AND(ISNUMBER(R220),R220&gt;1,P220&gt;0),R220/P220-1,"")</f>
        <v>-0.778970730703802</v>
      </c>
      <c r="T220" s="9" t="n">
        <f aca="false">IF(AND(ISNUMBER(P220),P220&gt;0),P220*EXP('Read me'!$B$22),"")</f>
        <v>281.824850005239</v>
      </c>
    </row>
    <row r="221" customFormat="false" ht="15" hidden="false" customHeight="false" outlineLevel="0" collapsed="false">
      <c r="A221" s="14" t="s">
        <v>162</v>
      </c>
      <c r="B221" s="14" t="s">
        <v>42</v>
      </c>
      <c r="C221" s="14" t="s">
        <v>163</v>
      </c>
      <c r="D221" s="14" t="s">
        <v>366</v>
      </c>
      <c r="E221" s="15" t="n">
        <v>9</v>
      </c>
      <c r="F221" s="14" t="s">
        <v>367</v>
      </c>
      <c r="G221" s="8" t="n">
        <v>27</v>
      </c>
      <c r="H221" s="14" t="s">
        <v>747</v>
      </c>
      <c r="I221" s="14" t="s">
        <v>748</v>
      </c>
      <c r="J221" s="14" t="s">
        <v>703</v>
      </c>
      <c r="K221" s="8" t="n">
        <v>12</v>
      </c>
      <c r="L221" s="8" t="n">
        <v>89</v>
      </c>
      <c r="M221" s="8" t="n">
        <v>4</v>
      </c>
      <c r="N221" s="8" t="n">
        <v>10</v>
      </c>
      <c r="O221" s="8" t="n">
        <v>27</v>
      </c>
      <c r="P221" s="9" t="n">
        <v>231.822456019612</v>
      </c>
      <c r="Q221" s="10" t="n">
        <v>0.0043136459563494</v>
      </c>
      <c r="R221" s="9" t="n">
        <v>151</v>
      </c>
      <c r="S221" s="11" t="n">
        <f aca="false">IF(AND(ISNUMBER(R221),R221&gt;1,P221&gt;0),R221/P221-1,"")</f>
        <v>-0.348639460591233</v>
      </c>
      <c r="T221" s="9" t="n">
        <f aca="false">IF(AND(ISNUMBER(P221),P221&gt;0),P221*EXP('Read me'!$B$22),"")</f>
        <v>283.148587185819</v>
      </c>
    </row>
    <row r="222" customFormat="false" ht="15" hidden="false" customHeight="false" outlineLevel="0" collapsed="false">
      <c r="A222" s="14" t="s">
        <v>168</v>
      </c>
      <c r="B222" s="14" t="s">
        <v>49</v>
      </c>
      <c r="C222" s="14" t="s">
        <v>169</v>
      </c>
      <c r="D222" s="14"/>
      <c r="E222" s="15" t="n">
        <v>7</v>
      </c>
      <c r="F222" s="14" t="s">
        <v>388</v>
      </c>
      <c r="G222" s="8" t="n">
        <v>11</v>
      </c>
      <c r="H222" s="14" t="s">
        <v>170</v>
      </c>
      <c r="I222" s="14" t="s">
        <v>171</v>
      </c>
      <c r="J222" s="14" t="s">
        <v>172</v>
      </c>
      <c r="K222" s="8" t="n">
        <v>8</v>
      </c>
      <c r="L222" s="8" t="n">
        <v>99</v>
      </c>
      <c r="M222" s="8" t="n">
        <v>4</v>
      </c>
      <c r="N222" s="8" t="n">
        <v>14</v>
      </c>
      <c r="O222" s="8" t="n">
        <v>1</v>
      </c>
      <c r="P222" s="9" t="n">
        <v>4.16719240541826</v>
      </c>
      <c r="Q222" s="10" t="n">
        <v>0.239969721268397</v>
      </c>
      <c r="R222" s="9" t="n">
        <v>4.5</v>
      </c>
      <c r="S222" s="11" t="n">
        <f aca="false">IF(AND(ISNUMBER(R222),R222&gt;1,P222&gt;0),R222/P222-1,"")</f>
        <v>0.0798637457077869</v>
      </c>
      <c r="T222" s="9" t="n">
        <f aca="false">IF(AND(ISNUMBER(P222),P222&gt;0),P222*EXP('Read me'!$B$22),"")</f>
        <v>5.08982029776197</v>
      </c>
    </row>
    <row r="223" customFormat="false" ht="15" hidden="false" customHeight="false" outlineLevel="0" collapsed="false">
      <c r="A223" s="14" t="s">
        <v>168</v>
      </c>
      <c r="B223" s="14" t="s">
        <v>49</v>
      </c>
      <c r="C223" s="14" t="s">
        <v>169</v>
      </c>
      <c r="D223" s="14"/>
      <c r="E223" s="15" t="n">
        <v>7</v>
      </c>
      <c r="F223" s="14" t="s">
        <v>388</v>
      </c>
      <c r="G223" s="8" t="n">
        <v>11</v>
      </c>
      <c r="H223" s="14" t="s">
        <v>173</v>
      </c>
      <c r="I223" s="14" t="s">
        <v>394</v>
      </c>
      <c r="J223" s="14" t="s">
        <v>395</v>
      </c>
      <c r="K223" s="8" t="n">
        <v>2</v>
      </c>
      <c r="L223" s="8" t="n">
        <v>95</v>
      </c>
      <c r="M223" s="8" t="n">
        <v>4</v>
      </c>
      <c r="N223" s="8" t="n">
        <v>13</v>
      </c>
      <c r="O223" s="8" t="n">
        <v>2</v>
      </c>
      <c r="P223" s="9" t="n">
        <v>8.88438838013731</v>
      </c>
      <c r="Q223" s="10" t="n">
        <v>0.112556988417535</v>
      </c>
      <c r="R223" s="9" t="n">
        <v>6</v>
      </c>
      <c r="S223" s="11" t="n">
        <f aca="false">IF(AND(ISNUMBER(R223),R223&gt;1,P223&gt;0),R223/P223-1,"")</f>
        <v>-0.324658069494789</v>
      </c>
      <c r="T223" s="9" t="n">
        <f aca="false">IF(AND(ISNUMBER(P223),P223&gt;0),P223*EXP('Read me'!$B$22),"")</f>
        <v>10.8514164720659</v>
      </c>
    </row>
    <row r="224" customFormat="false" ht="15" hidden="false" customHeight="false" outlineLevel="0" collapsed="false">
      <c r="A224" s="14" t="s">
        <v>168</v>
      </c>
      <c r="B224" s="14" t="s">
        <v>49</v>
      </c>
      <c r="C224" s="14" t="s">
        <v>169</v>
      </c>
      <c r="D224" s="14"/>
      <c r="E224" s="15" t="n">
        <v>7</v>
      </c>
      <c r="F224" s="14" t="s">
        <v>388</v>
      </c>
      <c r="G224" s="8" t="n">
        <v>11</v>
      </c>
      <c r="H224" s="14" t="s">
        <v>749</v>
      </c>
      <c r="I224" s="14" t="s">
        <v>78</v>
      </c>
      <c r="J224" s="14" t="s">
        <v>79</v>
      </c>
      <c r="K224" s="8" t="n">
        <v>11</v>
      </c>
      <c r="L224" s="8" t="n">
        <v>74</v>
      </c>
      <c r="M224" s="8" t="n">
        <v>3</v>
      </c>
      <c r="N224" s="8" t="n">
        <v>26</v>
      </c>
      <c r="O224" s="8" t="n">
        <v>3</v>
      </c>
      <c r="P224" s="9" t="n">
        <v>9.18345359307714</v>
      </c>
      <c r="Q224" s="10" t="n">
        <v>0.108891495978576</v>
      </c>
      <c r="R224" s="9" t="n">
        <v>13</v>
      </c>
      <c r="S224" s="11" t="n">
        <f aca="false">IF(AND(ISNUMBER(R224),R224&gt;1,P224&gt;0),R224/P224-1,"")</f>
        <v>0.415589447721491</v>
      </c>
      <c r="T224" s="9" t="n">
        <f aca="false">IF(AND(ISNUMBER(P224),P224&gt;0),P224*EXP('Read me'!$B$22),"")</f>
        <v>11.2166955480203</v>
      </c>
    </row>
    <row r="225" customFormat="false" ht="15" hidden="false" customHeight="false" outlineLevel="0" collapsed="false">
      <c r="A225" s="14" t="s">
        <v>168</v>
      </c>
      <c r="B225" s="14" t="s">
        <v>49</v>
      </c>
      <c r="C225" s="14" t="s">
        <v>169</v>
      </c>
      <c r="D225" s="14"/>
      <c r="E225" s="15" t="n">
        <v>7</v>
      </c>
      <c r="F225" s="14" t="s">
        <v>388</v>
      </c>
      <c r="G225" s="8" t="n">
        <v>11</v>
      </c>
      <c r="H225" s="14" t="s">
        <v>750</v>
      </c>
      <c r="I225" s="14" t="s">
        <v>400</v>
      </c>
      <c r="J225" s="14" t="s">
        <v>536</v>
      </c>
      <c r="K225" s="8" t="n">
        <v>1</v>
      </c>
      <c r="L225" s="8" t="n">
        <v>90</v>
      </c>
      <c r="M225" s="8" t="n">
        <v>7</v>
      </c>
      <c r="N225" s="8" t="n">
        <v>14</v>
      </c>
      <c r="O225" s="8" t="n">
        <v>4</v>
      </c>
      <c r="P225" s="9" t="n">
        <v>10.3644781658091</v>
      </c>
      <c r="Q225" s="10" t="n">
        <v>0.0964833910595573</v>
      </c>
      <c r="R225" s="9" t="n">
        <v>6.5</v>
      </c>
      <c r="S225" s="11" t="n">
        <f aca="false">IF(AND(ISNUMBER(R225),R225&gt;1,P225&gt;0),R225/P225-1,"")</f>
        <v>-0.372857958112877</v>
      </c>
      <c r="T225" s="9" t="n">
        <f aca="false">IF(AND(ISNUMBER(P225),P225&gt;0),P225*EXP('Read me'!$B$22),"")</f>
        <v>12.6592022186101</v>
      </c>
    </row>
    <row r="226" customFormat="false" ht="15" hidden="false" customHeight="false" outlineLevel="0" collapsed="false">
      <c r="A226" s="14" t="s">
        <v>168</v>
      </c>
      <c r="B226" s="14" t="s">
        <v>49</v>
      </c>
      <c r="C226" s="14" t="s">
        <v>169</v>
      </c>
      <c r="D226" s="14"/>
      <c r="E226" s="15" t="n">
        <v>7</v>
      </c>
      <c r="F226" s="14" t="s">
        <v>388</v>
      </c>
      <c r="G226" s="8" t="n">
        <v>11</v>
      </c>
      <c r="H226" s="14" t="s">
        <v>751</v>
      </c>
      <c r="I226" s="14" t="s">
        <v>107</v>
      </c>
      <c r="J226" s="14" t="s">
        <v>538</v>
      </c>
      <c r="K226" s="8" t="n">
        <v>9</v>
      </c>
      <c r="L226" s="8" t="n">
        <v>87</v>
      </c>
      <c r="M226" s="8" t="n">
        <v>4</v>
      </c>
      <c r="N226" s="8" t="n">
        <v>13</v>
      </c>
      <c r="O226" s="8" t="n">
        <v>5</v>
      </c>
      <c r="P226" s="9" t="n">
        <v>10.6079267034909</v>
      </c>
      <c r="Q226" s="10" t="n">
        <v>0.0942691279786949</v>
      </c>
      <c r="R226" s="9" t="n">
        <v>6</v>
      </c>
      <c r="S226" s="11" t="n">
        <f aca="false">IF(AND(ISNUMBER(R226),R226&gt;1,P226&gt;0),R226/P226-1,"")</f>
        <v>-0.43438523212783</v>
      </c>
      <c r="T226" s="9" t="n">
        <f aca="false">IF(AND(ISNUMBER(P226),P226&gt;0),P226*EXP('Read me'!$B$22),"")</f>
        <v>12.9565509340047</v>
      </c>
    </row>
    <row r="227" customFormat="false" ht="15" hidden="false" customHeight="false" outlineLevel="0" collapsed="false">
      <c r="A227" s="14" t="s">
        <v>168</v>
      </c>
      <c r="B227" s="14" t="s">
        <v>49</v>
      </c>
      <c r="C227" s="14" t="s">
        <v>169</v>
      </c>
      <c r="D227" s="14"/>
      <c r="E227" s="15" t="n">
        <v>7</v>
      </c>
      <c r="F227" s="14" t="s">
        <v>388</v>
      </c>
      <c r="G227" s="8" t="n">
        <v>11</v>
      </c>
      <c r="H227" s="14" t="s">
        <v>752</v>
      </c>
      <c r="I227" s="14" t="s">
        <v>531</v>
      </c>
      <c r="J227" s="14" t="s">
        <v>532</v>
      </c>
      <c r="K227" s="8" t="n">
        <v>6</v>
      </c>
      <c r="L227" s="8" t="n">
        <v>88</v>
      </c>
      <c r="M227" s="8" t="n">
        <v>5</v>
      </c>
      <c r="N227" s="8" t="n">
        <v>7</v>
      </c>
      <c r="O227" s="8" t="n">
        <v>6</v>
      </c>
      <c r="P227" s="9" t="n">
        <v>12.827323376938</v>
      </c>
      <c r="Q227" s="10" t="n">
        <v>0.0779585865744898</v>
      </c>
      <c r="R227" s="9" t="n">
        <v>12</v>
      </c>
      <c r="S227" s="11" t="n">
        <f aca="false">IF(AND(ISNUMBER(R227),R227&gt;1,P227&gt;0),R227/P227-1,"")</f>
        <v>-0.0644969611061227</v>
      </c>
      <c r="T227" s="9" t="n">
        <f aca="false">IF(AND(ISNUMBER(P227),P227&gt;0),P227*EXP('Read me'!$B$22),"")</f>
        <v>15.6673281524045</v>
      </c>
    </row>
    <row r="228" customFormat="false" ht="15" hidden="false" customHeight="false" outlineLevel="0" collapsed="false">
      <c r="A228" s="14" t="s">
        <v>168</v>
      </c>
      <c r="B228" s="14" t="s">
        <v>49</v>
      </c>
      <c r="C228" s="14" t="s">
        <v>169</v>
      </c>
      <c r="D228" s="14"/>
      <c r="E228" s="15" t="n">
        <v>7</v>
      </c>
      <c r="F228" s="14" t="s">
        <v>388</v>
      </c>
      <c r="G228" s="8" t="n">
        <v>11</v>
      </c>
      <c r="H228" s="14" t="s">
        <v>753</v>
      </c>
      <c r="I228" s="14" t="s">
        <v>412</v>
      </c>
      <c r="J228" s="14" t="s">
        <v>754</v>
      </c>
      <c r="K228" s="8" t="n">
        <v>3</v>
      </c>
      <c r="L228" s="8" t="n">
        <v>79</v>
      </c>
      <c r="M228" s="8" t="n">
        <v>3</v>
      </c>
      <c r="N228" s="8" t="n">
        <v>37</v>
      </c>
      <c r="O228" s="8" t="n">
        <v>7</v>
      </c>
      <c r="P228" s="9" t="n">
        <v>12.9022157383496</v>
      </c>
      <c r="Q228" s="10" t="n">
        <v>0.0775060671964792</v>
      </c>
      <c r="R228" s="9" t="n">
        <v>13</v>
      </c>
      <c r="S228" s="11" t="n">
        <f aca="false">IF(AND(ISNUMBER(R228),R228&gt;1,P228&gt;0),R228/P228-1,"")</f>
        <v>0.00757887355423104</v>
      </c>
      <c r="T228" s="9" t="n">
        <f aca="false">IF(AND(ISNUMBER(P228),P228&gt;0),P228*EXP('Read me'!$B$22),"")</f>
        <v>15.7588018891978</v>
      </c>
    </row>
    <row r="229" customFormat="false" ht="15" hidden="false" customHeight="false" outlineLevel="0" collapsed="false">
      <c r="A229" s="14" t="s">
        <v>168</v>
      </c>
      <c r="B229" s="14" t="s">
        <v>49</v>
      </c>
      <c r="C229" s="14" t="s">
        <v>169</v>
      </c>
      <c r="D229" s="14"/>
      <c r="E229" s="15" t="n">
        <v>7</v>
      </c>
      <c r="F229" s="14" t="s">
        <v>388</v>
      </c>
      <c r="G229" s="8" t="n">
        <v>11</v>
      </c>
      <c r="H229" s="14" t="s">
        <v>755</v>
      </c>
      <c r="I229" s="14" t="s">
        <v>212</v>
      </c>
      <c r="J229" s="14" t="s">
        <v>561</v>
      </c>
      <c r="K229" s="8" t="n">
        <v>5</v>
      </c>
      <c r="L229" s="8" t="n">
        <v>87</v>
      </c>
      <c r="M229" s="8" t="n">
        <v>4</v>
      </c>
      <c r="N229" s="8" t="n">
        <v>13</v>
      </c>
      <c r="O229" s="8" t="n">
        <v>8</v>
      </c>
      <c r="P229" s="9" t="n">
        <v>13.761690943084</v>
      </c>
      <c r="Q229" s="10" t="n">
        <v>0.0726654888658542</v>
      </c>
      <c r="R229" s="9" t="n">
        <v>8.5</v>
      </c>
      <c r="S229" s="11" t="n">
        <f aca="false">IF(AND(ISNUMBER(R229),R229&gt;1,P229&gt;0),R229/P229-1,"")</f>
        <v>-0.382343344640239</v>
      </c>
      <c r="T229" s="9" t="n">
        <f aca="false">IF(AND(ISNUMBER(P229),P229&gt;0),P229*EXP('Read me'!$B$22),"")</f>
        <v>16.8085672748307</v>
      </c>
    </row>
    <row r="230" customFormat="false" ht="15" hidden="false" customHeight="false" outlineLevel="0" collapsed="false">
      <c r="A230" s="14" t="s">
        <v>168</v>
      </c>
      <c r="B230" s="14" t="s">
        <v>49</v>
      </c>
      <c r="C230" s="14" t="s">
        <v>169</v>
      </c>
      <c r="D230" s="14"/>
      <c r="E230" s="15" t="n">
        <v>7</v>
      </c>
      <c r="F230" s="14" t="s">
        <v>388</v>
      </c>
      <c r="G230" s="8" t="n">
        <v>11</v>
      </c>
      <c r="H230" s="14" t="s">
        <v>756</v>
      </c>
      <c r="I230" s="14" t="s">
        <v>415</v>
      </c>
      <c r="J230" s="14" t="s">
        <v>532</v>
      </c>
      <c r="K230" s="8" t="n">
        <v>10</v>
      </c>
      <c r="L230" s="8" t="n">
        <v>79</v>
      </c>
      <c r="M230" s="8" t="n">
        <v>5</v>
      </c>
      <c r="N230" s="8" t="n">
        <v>4</v>
      </c>
      <c r="O230" s="8" t="n">
        <v>9</v>
      </c>
      <c r="P230" s="9" t="n">
        <v>14.3995225817761</v>
      </c>
      <c r="Q230" s="10" t="n">
        <v>0.0694467468848997</v>
      </c>
      <c r="R230" s="9" t="n">
        <v>12</v>
      </c>
      <c r="S230" s="11" t="n">
        <f aca="false">IF(AND(ISNUMBER(R230),R230&gt;1,P230&gt;0),R230/P230-1,"")</f>
        <v>-0.166639037381203</v>
      </c>
      <c r="T230" s="9" t="n">
        <f aca="false">IF(AND(ISNUMBER(P230),P230&gt;0),P230*EXP('Read me'!$B$22),"")</f>
        <v>17.5876165975709</v>
      </c>
    </row>
    <row r="231" customFormat="false" ht="15" hidden="false" customHeight="false" outlineLevel="0" collapsed="false">
      <c r="A231" s="14" t="s">
        <v>168</v>
      </c>
      <c r="B231" s="14" t="s">
        <v>49</v>
      </c>
      <c r="C231" s="14" t="s">
        <v>169</v>
      </c>
      <c r="D231" s="14"/>
      <c r="E231" s="15" t="n">
        <v>7</v>
      </c>
      <c r="F231" s="14" t="s">
        <v>388</v>
      </c>
      <c r="G231" s="8" t="n">
        <v>11</v>
      </c>
      <c r="H231" s="14" t="s">
        <v>757</v>
      </c>
      <c r="I231" s="14" t="s">
        <v>252</v>
      </c>
      <c r="J231" s="14" t="s">
        <v>545</v>
      </c>
      <c r="K231" s="8" t="n">
        <v>7</v>
      </c>
      <c r="L231" s="8" t="n">
        <v>80</v>
      </c>
      <c r="M231" s="8" t="n">
        <v>4</v>
      </c>
      <c r="N231" s="8" t="n">
        <v>5</v>
      </c>
      <c r="O231" s="8" t="n">
        <v>10</v>
      </c>
      <c r="P231" s="9" t="n">
        <v>31.9477165759997</v>
      </c>
      <c r="Q231" s="10" t="n">
        <v>0.031301141589294</v>
      </c>
      <c r="R231" s="9" t="n">
        <v>26</v>
      </c>
      <c r="S231" s="11" t="n">
        <f aca="false">IF(AND(ISNUMBER(R231),R231&gt;1,P231&gt;0),R231/P231-1,"")</f>
        <v>-0.186170318678356</v>
      </c>
      <c r="T231" s="9" t="n">
        <f aca="false">IF(AND(ISNUMBER(P231),P231&gt;0),P231*EXP('Read me'!$B$22),"")</f>
        <v>39.0210291428454</v>
      </c>
    </row>
    <row r="232" customFormat="false" ht="15" hidden="false" customHeight="false" outlineLevel="0" collapsed="false">
      <c r="A232" s="14" t="s">
        <v>168</v>
      </c>
      <c r="B232" s="14" t="s">
        <v>49</v>
      </c>
      <c r="C232" s="14" t="s">
        <v>169</v>
      </c>
      <c r="D232" s="14"/>
      <c r="E232" s="15" t="n">
        <v>7</v>
      </c>
      <c r="F232" s="14" t="s">
        <v>388</v>
      </c>
      <c r="G232" s="8" t="n">
        <v>11</v>
      </c>
      <c r="H232" s="14" t="s">
        <v>758</v>
      </c>
      <c r="I232" s="14" t="s">
        <v>466</v>
      </c>
      <c r="J232" s="14" t="s">
        <v>759</v>
      </c>
      <c r="K232" s="8" t="n">
        <v>4</v>
      </c>
      <c r="L232" s="8" t="n">
        <v>86</v>
      </c>
      <c r="M232" s="8" t="n">
        <v>5</v>
      </c>
      <c r="N232" s="8" t="n">
        <v>106</v>
      </c>
      <c r="O232" s="8" t="n">
        <v>11</v>
      </c>
      <c r="P232" s="9" t="n">
        <v>52.7669840657226</v>
      </c>
      <c r="Q232" s="10" t="n">
        <v>0.018951244186222</v>
      </c>
      <c r="R232" s="9" t="n">
        <v>17</v>
      </c>
      <c r="S232" s="11" t="n">
        <f aca="false">IF(AND(ISNUMBER(R232),R232&gt;1,P232&gt;0),R232/P232-1,"")</f>
        <v>-0.677828848834224</v>
      </c>
      <c r="T232" s="9" t="n">
        <f aca="false">IF(AND(ISNUMBER(P232),P232&gt;0),P232*EXP('Read me'!$B$22),"")</f>
        <v>64.4497398776674</v>
      </c>
    </row>
    <row r="233" customFormat="false" ht="15" hidden="false" customHeight="false" outlineLevel="0" collapsed="false">
      <c r="A233" s="14" t="s">
        <v>174</v>
      </c>
      <c r="B233" s="14" t="s">
        <v>98</v>
      </c>
      <c r="C233" s="14" t="s">
        <v>175</v>
      </c>
      <c r="D233" s="14" t="s">
        <v>570</v>
      </c>
      <c r="E233" s="15" t="n">
        <v>22.5</v>
      </c>
      <c r="F233" s="14" t="s">
        <v>388</v>
      </c>
      <c r="G233" s="8" t="n">
        <v>4</v>
      </c>
      <c r="H233" s="14" t="s">
        <v>176</v>
      </c>
      <c r="I233" s="14" t="s">
        <v>177</v>
      </c>
      <c r="J233" s="14" t="s">
        <v>178</v>
      </c>
      <c r="K233" s="8" t="n">
        <v>4</v>
      </c>
      <c r="L233" s="8" t="n">
        <v>118</v>
      </c>
      <c r="M233" s="8" t="n">
        <v>7</v>
      </c>
      <c r="N233" s="8" t="n">
        <v>70</v>
      </c>
      <c r="O233" s="8" t="n">
        <v>1</v>
      </c>
      <c r="P233" s="9" t="n">
        <v>3.03344045606776</v>
      </c>
      <c r="Q233" s="10" t="n">
        <v>0.32965868771207</v>
      </c>
      <c r="R233" s="9" t="n">
        <v>2.75</v>
      </c>
      <c r="S233" s="11" t="n">
        <f aca="false">IF(AND(ISNUMBER(R233),R233&gt;1,P233&gt;0),R233/P233-1,"")</f>
        <v>-0.093438608791808</v>
      </c>
      <c r="T233" s="9" t="n">
        <f aca="false">IF(AND(ISNUMBER(P233),P233&gt;0),P233*EXP('Read me'!$B$22),"")</f>
        <v>3.7050525397558</v>
      </c>
    </row>
    <row r="234" customFormat="false" ht="15" hidden="false" customHeight="false" outlineLevel="0" collapsed="false">
      <c r="A234" s="14" t="s">
        <v>174</v>
      </c>
      <c r="B234" s="14" t="s">
        <v>98</v>
      </c>
      <c r="C234" s="14" t="s">
        <v>175</v>
      </c>
      <c r="D234" s="14" t="s">
        <v>570</v>
      </c>
      <c r="E234" s="15" t="n">
        <v>22.5</v>
      </c>
      <c r="F234" s="14" t="s">
        <v>388</v>
      </c>
      <c r="G234" s="8" t="n">
        <v>4</v>
      </c>
      <c r="H234" s="14" t="s">
        <v>179</v>
      </c>
      <c r="I234" s="14" t="s">
        <v>648</v>
      </c>
      <c r="J234" s="14" t="s">
        <v>760</v>
      </c>
      <c r="K234" s="8" t="n">
        <v>2</v>
      </c>
      <c r="L234" s="8" t="n">
        <v>131</v>
      </c>
      <c r="M234" s="8" t="n">
        <v>7</v>
      </c>
      <c r="N234" s="8" t="n">
        <v>148</v>
      </c>
      <c r="O234" s="8" t="n">
        <v>2</v>
      </c>
      <c r="P234" s="9" t="n">
        <v>3.50635945716669</v>
      </c>
      <c r="Q234" s="10" t="n">
        <v>0.285196087912803</v>
      </c>
      <c r="R234" s="9" t="n">
        <v>3.5</v>
      </c>
      <c r="S234" s="11" t="n">
        <f aca="false">IF(AND(ISNUMBER(R234),R234&gt;1,P234&gt;0),R234/P234-1,"")</f>
        <v>-0.0018136923051888</v>
      </c>
      <c r="T234" s="9" t="n">
        <f aca="false">IF(AND(ISNUMBER(P234),P234&gt;0),P234*EXP('Read me'!$B$22),"")</f>
        <v>4.28267711208439</v>
      </c>
    </row>
    <row r="235" customFormat="false" ht="15" hidden="false" customHeight="false" outlineLevel="0" collapsed="false">
      <c r="A235" s="14" t="s">
        <v>174</v>
      </c>
      <c r="B235" s="14" t="s">
        <v>98</v>
      </c>
      <c r="C235" s="14" t="s">
        <v>175</v>
      </c>
      <c r="D235" s="14" t="s">
        <v>570</v>
      </c>
      <c r="E235" s="15" t="n">
        <v>22.5</v>
      </c>
      <c r="F235" s="14" t="s">
        <v>388</v>
      </c>
      <c r="G235" s="8" t="n">
        <v>4</v>
      </c>
      <c r="H235" s="14" t="s">
        <v>761</v>
      </c>
      <c r="I235" s="14" t="s">
        <v>762</v>
      </c>
      <c r="J235" s="14" t="s">
        <v>219</v>
      </c>
      <c r="K235" s="8" t="n">
        <v>1</v>
      </c>
      <c r="L235" s="8" t="n">
        <v>132</v>
      </c>
      <c r="M235" s="8" t="n">
        <v>10</v>
      </c>
      <c r="N235" s="8" t="n">
        <v>22</v>
      </c>
      <c r="O235" s="8" t="n">
        <v>3</v>
      </c>
      <c r="P235" s="9" t="n">
        <v>5.09343881954867</v>
      </c>
      <c r="Q235" s="10" t="n">
        <v>0.196331012392255</v>
      </c>
      <c r="R235" s="9" t="n">
        <v>4.5</v>
      </c>
      <c r="S235" s="11" t="n">
        <f aca="false">IF(AND(ISNUMBER(R235),R235&gt;1,P235&gt;0),R235/P235-1,"")</f>
        <v>-0.116510444234854</v>
      </c>
      <c r="T235" s="9" t="n">
        <f aca="false">IF(AND(ISNUMBER(P235),P235&gt;0),P235*EXP('Read me'!$B$22),"")</f>
        <v>6.22114022271682</v>
      </c>
    </row>
    <row r="236" customFormat="false" ht="15" hidden="false" customHeight="false" outlineLevel="0" collapsed="false">
      <c r="A236" s="14" t="s">
        <v>174</v>
      </c>
      <c r="B236" s="14" t="s">
        <v>98</v>
      </c>
      <c r="C236" s="14" t="s">
        <v>175</v>
      </c>
      <c r="D236" s="14" t="s">
        <v>570</v>
      </c>
      <c r="E236" s="15" t="n">
        <v>22.5</v>
      </c>
      <c r="F236" s="14" t="s">
        <v>388</v>
      </c>
      <c r="G236" s="8" t="n">
        <v>4</v>
      </c>
      <c r="H236" s="14" t="s">
        <v>763</v>
      </c>
      <c r="I236" s="14" t="s">
        <v>764</v>
      </c>
      <c r="J236" s="14" t="s">
        <v>765</v>
      </c>
      <c r="K236" s="8" t="n">
        <v>3</v>
      </c>
      <c r="L236" s="8" t="n">
        <v>127</v>
      </c>
      <c r="M236" s="8" t="n">
        <v>9</v>
      </c>
      <c r="N236" s="8" t="n">
        <v>83</v>
      </c>
      <c r="O236" s="8" t="n">
        <v>4</v>
      </c>
      <c r="P236" s="9" t="n">
        <v>5.29621149540752</v>
      </c>
      <c r="Q236" s="10" t="n">
        <v>0.188814211982872</v>
      </c>
      <c r="R236" s="9" t="n">
        <v>4.5</v>
      </c>
      <c r="S236" s="11" t="n">
        <f aca="false">IF(AND(ISNUMBER(R236),R236&gt;1,P236&gt;0),R236/P236-1,"")</f>
        <v>-0.150336046077075</v>
      </c>
      <c r="T236" s="9" t="n">
        <f aca="false">IF(AND(ISNUMBER(P236),P236&gt;0),P236*EXP('Read me'!$B$22),"")</f>
        <v>6.46880732829034</v>
      </c>
    </row>
    <row r="237" customFormat="false" ht="15" hidden="false" customHeight="false" outlineLevel="0" collapsed="false">
      <c r="A237" s="14" t="s">
        <v>180</v>
      </c>
      <c r="B237" s="14" t="s">
        <v>117</v>
      </c>
      <c r="C237" s="14" t="s">
        <v>181</v>
      </c>
      <c r="D237" s="14"/>
      <c r="E237" s="15" t="n">
        <v>20</v>
      </c>
      <c r="F237" s="14" t="s">
        <v>388</v>
      </c>
      <c r="G237" s="8" t="n">
        <v>14</v>
      </c>
      <c r="H237" s="14" t="s">
        <v>182</v>
      </c>
      <c r="I237" s="14" t="s">
        <v>153</v>
      </c>
      <c r="J237" s="14" t="s">
        <v>154</v>
      </c>
      <c r="K237" s="8" t="n">
        <v>8</v>
      </c>
      <c r="L237" s="8" t="n">
        <v>122</v>
      </c>
      <c r="M237" s="8" t="n">
        <v>5</v>
      </c>
      <c r="N237" s="8" t="n">
        <v>54</v>
      </c>
      <c r="O237" s="8" t="n">
        <v>1</v>
      </c>
      <c r="P237" s="9" t="n">
        <v>3.4155192029252</v>
      </c>
      <c r="Q237" s="10" t="n">
        <v>0.292781255377969</v>
      </c>
      <c r="R237" s="9" t="n">
        <v>2.75</v>
      </c>
      <c r="S237" s="11" t="n">
        <f aca="false">IF(AND(ISNUMBER(R237),R237&gt;1,P237&gt;0),R237/P237-1,"")</f>
        <v>-0.194851547710586</v>
      </c>
      <c r="T237" s="9" t="n">
        <f aca="false">IF(AND(ISNUMBER(P237),P237&gt;0),P237*EXP('Read me'!$B$22),"")</f>
        <v>4.17172457500187</v>
      </c>
    </row>
    <row r="238" customFormat="false" ht="15" hidden="false" customHeight="false" outlineLevel="0" collapsed="false">
      <c r="A238" s="14" t="s">
        <v>180</v>
      </c>
      <c r="B238" s="14" t="s">
        <v>117</v>
      </c>
      <c r="C238" s="14" t="s">
        <v>181</v>
      </c>
      <c r="D238" s="14"/>
      <c r="E238" s="15" t="n">
        <v>20</v>
      </c>
      <c r="F238" s="14" t="s">
        <v>388</v>
      </c>
      <c r="G238" s="8" t="n">
        <v>14</v>
      </c>
      <c r="H238" s="14" t="s">
        <v>183</v>
      </c>
      <c r="I238" s="14" t="s">
        <v>766</v>
      </c>
      <c r="J238" s="14" t="s">
        <v>767</v>
      </c>
      <c r="K238" s="8" t="n">
        <v>9</v>
      </c>
      <c r="L238" s="8" t="n">
        <v>121</v>
      </c>
      <c r="M238" s="8" t="n">
        <v>7</v>
      </c>
      <c r="N238" s="8" t="n">
        <v>31</v>
      </c>
      <c r="O238" s="8" t="n">
        <v>2</v>
      </c>
      <c r="P238" s="9" t="n">
        <v>9.03446239527828</v>
      </c>
      <c r="Q238" s="10" t="n">
        <v>0.110687272385198</v>
      </c>
      <c r="R238" s="9" t="n">
        <v>12</v>
      </c>
      <c r="S238" s="11" t="n">
        <f aca="false">IF(AND(ISNUMBER(R238),R238&gt;1,P238&gt;0),R238/P238-1,"")</f>
        <v>0.328247268622382</v>
      </c>
      <c r="T238" s="9" t="n">
        <f aca="false">IF(AND(ISNUMBER(P238),P238&gt;0),P238*EXP('Read me'!$B$22),"")</f>
        <v>11.0347172880872</v>
      </c>
    </row>
    <row r="239" customFormat="false" ht="15" hidden="false" customHeight="false" outlineLevel="0" collapsed="false">
      <c r="A239" s="14" t="s">
        <v>180</v>
      </c>
      <c r="B239" s="14" t="s">
        <v>117</v>
      </c>
      <c r="C239" s="14" t="s">
        <v>181</v>
      </c>
      <c r="D239" s="14"/>
      <c r="E239" s="15" t="n">
        <v>20</v>
      </c>
      <c r="F239" s="14" t="s">
        <v>388</v>
      </c>
      <c r="G239" s="8" t="n">
        <v>14</v>
      </c>
      <c r="H239" s="14" t="s">
        <v>768</v>
      </c>
      <c r="I239" s="14" t="s">
        <v>769</v>
      </c>
      <c r="J239" s="14" t="s">
        <v>770</v>
      </c>
      <c r="K239" s="8" t="n">
        <v>6</v>
      </c>
      <c r="L239" s="8" t="n">
        <v>125</v>
      </c>
      <c r="M239" s="8" t="n">
        <v>8</v>
      </c>
      <c r="N239" s="8" t="n">
        <v>56</v>
      </c>
      <c r="O239" s="8" t="n">
        <v>3</v>
      </c>
      <c r="P239" s="9" t="n">
        <v>10.1581059231062</v>
      </c>
      <c r="Q239" s="10" t="n">
        <v>0.0984435491783312</v>
      </c>
      <c r="R239" s="9" t="n">
        <v>7.5</v>
      </c>
      <c r="S239" s="11" t="n">
        <f aca="false">IF(AND(ISNUMBER(R239),R239&gt;1,P239&gt;0),R239/P239-1,"")</f>
        <v>-0.261673381162516</v>
      </c>
      <c r="T239" s="9" t="n">
        <f aca="false">IF(AND(ISNUMBER(P239),P239&gt;0),P239*EXP('Read me'!$B$22),"")</f>
        <v>12.407138592165</v>
      </c>
    </row>
    <row r="240" customFormat="false" ht="15" hidden="false" customHeight="false" outlineLevel="0" collapsed="false">
      <c r="A240" s="14" t="s">
        <v>180</v>
      </c>
      <c r="B240" s="14" t="s">
        <v>117</v>
      </c>
      <c r="C240" s="14" t="s">
        <v>181</v>
      </c>
      <c r="D240" s="14"/>
      <c r="E240" s="15" t="n">
        <v>20</v>
      </c>
      <c r="F240" s="14" t="s">
        <v>388</v>
      </c>
      <c r="G240" s="8" t="n">
        <v>14</v>
      </c>
      <c r="H240" s="14" t="s">
        <v>771</v>
      </c>
      <c r="I240" s="14" t="s">
        <v>595</v>
      </c>
      <c r="J240" s="14" t="s">
        <v>596</v>
      </c>
      <c r="K240" s="8" t="n">
        <v>12</v>
      </c>
      <c r="L240" s="8" t="n">
        <v>117</v>
      </c>
      <c r="M240" s="8" t="n">
        <v>5</v>
      </c>
      <c r="N240" s="8" t="n">
        <v>31</v>
      </c>
      <c r="O240" s="8" t="n">
        <v>4</v>
      </c>
      <c r="P240" s="9" t="n">
        <v>12.0293443752152</v>
      </c>
      <c r="Q240" s="10" t="n">
        <v>0.0831300500516356</v>
      </c>
      <c r="R240" s="9" t="n">
        <v>7.5</v>
      </c>
      <c r="S240" s="11" t="n">
        <f aca="false">IF(AND(ISNUMBER(R240),R240&gt;1,P240&gt;0),R240/P240-1,"")</f>
        <v>-0.376524624612732</v>
      </c>
      <c r="T240" s="9" t="n">
        <f aca="false">IF(AND(ISNUMBER(P240),P240&gt;0),P240*EXP('Read me'!$B$22),"")</f>
        <v>14.6926743987463</v>
      </c>
    </row>
    <row r="241" customFormat="false" ht="15" hidden="false" customHeight="false" outlineLevel="0" collapsed="false">
      <c r="A241" s="14" t="s">
        <v>180</v>
      </c>
      <c r="B241" s="14" t="s">
        <v>117</v>
      </c>
      <c r="C241" s="14" t="s">
        <v>181</v>
      </c>
      <c r="D241" s="14"/>
      <c r="E241" s="15" t="n">
        <v>20</v>
      </c>
      <c r="F241" s="14" t="s">
        <v>388</v>
      </c>
      <c r="G241" s="8" t="n">
        <v>14</v>
      </c>
      <c r="H241" s="14" t="s">
        <v>772</v>
      </c>
      <c r="I241" s="14" t="s">
        <v>773</v>
      </c>
      <c r="J241" s="14" t="s">
        <v>467</v>
      </c>
      <c r="K241" s="8" t="n">
        <v>3</v>
      </c>
      <c r="L241" s="8" t="n">
        <v>126</v>
      </c>
      <c r="M241" s="8" t="n">
        <v>9</v>
      </c>
      <c r="N241" s="8" t="n">
        <v>35</v>
      </c>
      <c r="O241" s="8" t="n">
        <v>5</v>
      </c>
      <c r="P241" s="9" t="n">
        <v>15.3531077835678</v>
      </c>
      <c r="Q241" s="10" t="n">
        <v>0.0651333928020932</v>
      </c>
      <c r="R241" s="9" t="n">
        <v>15</v>
      </c>
      <c r="S241" s="11" t="n">
        <f aca="false">IF(AND(ISNUMBER(R241),R241&gt;1,P241&gt;0),R241/P241-1,"")</f>
        <v>-0.0229991079686006</v>
      </c>
      <c r="T241" s="9" t="n">
        <f aca="false">IF(AND(ISNUMBER(P241),P241&gt;0),P241*EXP('Read me'!$B$22),"")</f>
        <v>18.7523281931801</v>
      </c>
    </row>
    <row r="242" customFormat="false" ht="15" hidden="false" customHeight="false" outlineLevel="0" collapsed="false">
      <c r="A242" s="14" t="s">
        <v>180</v>
      </c>
      <c r="B242" s="14" t="s">
        <v>117</v>
      </c>
      <c r="C242" s="14" t="s">
        <v>181</v>
      </c>
      <c r="D242" s="14"/>
      <c r="E242" s="15" t="n">
        <v>20</v>
      </c>
      <c r="F242" s="14" t="s">
        <v>388</v>
      </c>
      <c r="G242" s="8" t="n">
        <v>14</v>
      </c>
      <c r="H242" s="14" t="s">
        <v>774</v>
      </c>
      <c r="I242" s="14" t="s">
        <v>775</v>
      </c>
      <c r="J242" s="14" t="s">
        <v>685</v>
      </c>
      <c r="K242" s="8" t="n">
        <v>15</v>
      </c>
      <c r="L242" s="8" t="n">
        <v>115</v>
      </c>
      <c r="M242" s="8" t="n">
        <v>6</v>
      </c>
      <c r="N242" s="8" t="n">
        <v>31</v>
      </c>
      <c r="O242" s="8" t="n">
        <v>6</v>
      </c>
      <c r="P242" s="9" t="n">
        <v>15.9073109808899</v>
      </c>
      <c r="Q242" s="10" t="n">
        <v>0.0628641761766863</v>
      </c>
      <c r="R242" s="9" t="n">
        <v>9.5</v>
      </c>
      <c r="S242" s="11" t="n">
        <f aca="false">IF(AND(ISNUMBER(R242),R242&gt;1,P242&gt;0),R242/P242-1,"")</f>
        <v>-0.40279032632148</v>
      </c>
      <c r="T242" s="9" t="n">
        <f aca="false">IF(AND(ISNUMBER(P242),P242&gt;0),P242*EXP('Read me'!$B$22),"")</f>
        <v>19.4292335069705</v>
      </c>
    </row>
    <row r="243" customFormat="false" ht="15" hidden="false" customHeight="false" outlineLevel="0" collapsed="false">
      <c r="A243" s="14" t="s">
        <v>180</v>
      </c>
      <c r="B243" s="14" t="s">
        <v>117</v>
      </c>
      <c r="C243" s="14" t="s">
        <v>181</v>
      </c>
      <c r="D243" s="14"/>
      <c r="E243" s="15" t="n">
        <v>20</v>
      </c>
      <c r="F243" s="14" t="s">
        <v>388</v>
      </c>
      <c r="G243" s="8" t="n">
        <v>14</v>
      </c>
      <c r="H243" s="14" t="s">
        <v>776</v>
      </c>
      <c r="I243" s="14" t="s">
        <v>777</v>
      </c>
      <c r="J243" s="14" t="s">
        <v>778</v>
      </c>
      <c r="K243" s="8" t="n">
        <v>13</v>
      </c>
      <c r="L243" s="8" t="n">
        <v>117</v>
      </c>
      <c r="M243" s="8" t="n">
        <v>6</v>
      </c>
      <c r="N243" s="8" t="n">
        <v>15</v>
      </c>
      <c r="O243" s="8" t="n">
        <v>7</v>
      </c>
      <c r="P243" s="9" t="n">
        <v>16.6469413798406</v>
      </c>
      <c r="Q243" s="10" t="n">
        <v>0.0600710951749369</v>
      </c>
      <c r="R243" s="9" t="n">
        <v>10</v>
      </c>
      <c r="S243" s="11" t="n">
        <f aca="false">IF(AND(ISNUMBER(R243),R243&gt;1,P243&gt;0),R243/P243-1,"")</f>
        <v>-0.39928904825063</v>
      </c>
      <c r="T243" s="9" t="n">
        <f aca="false">IF(AND(ISNUMBER(P243),P243&gt;0),P243*EXP('Read me'!$B$22),"")</f>
        <v>20.332620116268</v>
      </c>
    </row>
    <row r="244" customFormat="false" ht="15" hidden="false" customHeight="false" outlineLevel="0" collapsed="false">
      <c r="A244" s="14" t="s">
        <v>180</v>
      </c>
      <c r="B244" s="14" t="s">
        <v>117</v>
      </c>
      <c r="C244" s="14" t="s">
        <v>181</v>
      </c>
      <c r="D244" s="14"/>
      <c r="E244" s="15" t="n">
        <v>20</v>
      </c>
      <c r="F244" s="14" t="s">
        <v>388</v>
      </c>
      <c r="G244" s="8" t="n">
        <v>14</v>
      </c>
      <c r="H244" s="14" t="s">
        <v>779</v>
      </c>
      <c r="I244" s="14" t="s">
        <v>587</v>
      </c>
      <c r="J244" s="14" t="s">
        <v>780</v>
      </c>
      <c r="K244" s="8" t="n">
        <v>11</v>
      </c>
      <c r="L244" s="8" t="n">
        <v>121</v>
      </c>
      <c r="M244" s="8" t="n">
        <v>10</v>
      </c>
      <c r="N244" s="8" t="n">
        <v>22</v>
      </c>
      <c r="O244" s="8" t="n">
        <v>8</v>
      </c>
      <c r="P244" s="9" t="n">
        <v>17.8123372058503</v>
      </c>
      <c r="Q244" s="10" t="n">
        <v>0.0561408639665524</v>
      </c>
      <c r="R244" s="9" t="n">
        <v>17</v>
      </c>
      <c r="S244" s="11" t="n">
        <f aca="false">IF(AND(ISNUMBER(R244),R244&gt;1,P244&gt;0),R244/P244-1,"")</f>
        <v>-0.0456053125686092</v>
      </c>
      <c r="T244" s="9" t="n">
        <f aca="false">IF(AND(ISNUMBER(P244),P244&gt;0),P244*EXP('Read me'!$B$22),"")</f>
        <v>21.7560377925045</v>
      </c>
    </row>
    <row r="245" customFormat="false" ht="15" hidden="false" customHeight="false" outlineLevel="0" collapsed="false">
      <c r="A245" s="14" t="s">
        <v>180</v>
      </c>
      <c r="B245" s="14" t="s">
        <v>117</v>
      </c>
      <c r="C245" s="14" t="s">
        <v>181</v>
      </c>
      <c r="D245" s="14"/>
      <c r="E245" s="15" t="n">
        <v>20</v>
      </c>
      <c r="F245" s="14" t="s">
        <v>388</v>
      </c>
      <c r="G245" s="8" t="n">
        <v>14</v>
      </c>
      <c r="H245" s="14" t="s">
        <v>781</v>
      </c>
      <c r="I245" s="14" t="s">
        <v>782</v>
      </c>
      <c r="J245" s="14" t="s">
        <v>783</v>
      </c>
      <c r="K245" s="8" t="n">
        <v>7</v>
      </c>
      <c r="L245" s="8" t="n">
        <v>124</v>
      </c>
      <c r="M245" s="8" t="n">
        <v>6</v>
      </c>
      <c r="N245" s="8" t="n">
        <v>56</v>
      </c>
      <c r="O245" s="8" t="n">
        <v>9</v>
      </c>
      <c r="P245" s="9" t="n">
        <v>20.0559120729113</v>
      </c>
      <c r="Q245" s="10" t="n">
        <v>0.0498606094983164</v>
      </c>
      <c r="R245" s="9" t="n">
        <v>10</v>
      </c>
      <c r="S245" s="11" t="n">
        <f aca="false">IF(AND(ISNUMBER(R245),R245&gt;1,P245&gt;0),R245/P245-1,"")</f>
        <v>-0.501393905016836</v>
      </c>
      <c r="T245" s="9" t="n">
        <f aca="false">IF(AND(ISNUMBER(P245),P245&gt;0),P245*EXP('Read me'!$B$22),"")</f>
        <v>24.4963463232717</v>
      </c>
    </row>
    <row r="246" customFormat="false" ht="15" hidden="false" customHeight="false" outlineLevel="0" collapsed="false">
      <c r="A246" s="14" t="s">
        <v>180</v>
      </c>
      <c r="B246" s="14" t="s">
        <v>117</v>
      </c>
      <c r="C246" s="14" t="s">
        <v>181</v>
      </c>
      <c r="D246" s="14"/>
      <c r="E246" s="15" t="n">
        <v>20</v>
      </c>
      <c r="F246" s="14" t="s">
        <v>388</v>
      </c>
      <c r="G246" s="8" t="n">
        <v>14</v>
      </c>
      <c r="H246" s="14" t="s">
        <v>784</v>
      </c>
      <c r="I246" s="14" t="s">
        <v>120</v>
      </c>
      <c r="J246" s="14" t="s">
        <v>785</v>
      </c>
      <c r="K246" s="8" t="n">
        <v>5</v>
      </c>
      <c r="L246" s="8" t="n">
        <v>125</v>
      </c>
      <c r="M246" s="8" t="n">
        <v>6</v>
      </c>
      <c r="N246" s="8" t="n">
        <v>37</v>
      </c>
      <c r="O246" s="8" t="n">
        <v>10</v>
      </c>
      <c r="P246" s="9" t="n">
        <v>26.8848279982107</v>
      </c>
      <c r="Q246" s="10" t="n">
        <v>0.0371957001200287</v>
      </c>
      <c r="R246" s="9" t="n">
        <v>12</v>
      </c>
      <c r="S246" s="11" t="n">
        <f aca="false">IF(AND(ISNUMBER(R246),R246&gt;1,P246&gt;0),R246/P246-1,"")</f>
        <v>-0.553651598559655</v>
      </c>
      <c r="T246" s="9" t="n">
        <f aca="false">IF(AND(ISNUMBER(P246),P246&gt;0),P246*EXP('Read me'!$B$22),"")</f>
        <v>32.8372030696764</v>
      </c>
    </row>
    <row r="247" customFormat="false" ht="15" hidden="false" customHeight="false" outlineLevel="0" collapsed="false">
      <c r="A247" s="14" t="s">
        <v>180</v>
      </c>
      <c r="B247" s="14" t="s">
        <v>117</v>
      </c>
      <c r="C247" s="14" t="s">
        <v>181</v>
      </c>
      <c r="D247" s="14"/>
      <c r="E247" s="15" t="n">
        <v>20</v>
      </c>
      <c r="F247" s="14" t="s">
        <v>388</v>
      </c>
      <c r="G247" s="8" t="n">
        <v>14</v>
      </c>
      <c r="H247" s="14" t="s">
        <v>786</v>
      </c>
      <c r="I247" s="14" t="s">
        <v>787</v>
      </c>
      <c r="J247" s="14" t="s">
        <v>788</v>
      </c>
      <c r="K247" s="8" t="n">
        <v>10</v>
      </c>
      <c r="L247" s="8" t="n">
        <v>121</v>
      </c>
      <c r="M247" s="8" t="n">
        <v>9</v>
      </c>
      <c r="N247" s="8" t="n">
        <v>24</v>
      </c>
      <c r="O247" s="8" t="n">
        <v>11</v>
      </c>
      <c r="P247" s="9" t="n">
        <v>34.9749756440642</v>
      </c>
      <c r="Q247" s="10" t="n">
        <v>0.0285918712332174</v>
      </c>
      <c r="R247" s="9" t="n">
        <v>29</v>
      </c>
      <c r="S247" s="11" t="n">
        <f aca="false">IF(AND(ISNUMBER(R247),R247&gt;1,P247&gt;0),R247/P247-1,"")</f>
        <v>-0.170835734236694</v>
      </c>
      <c r="T247" s="9" t="n">
        <f aca="false">IF(AND(ISNUMBER(P247),P247&gt;0),P247*EXP('Read me'!$B$22),"")</f>
        <v>42.7185317182448</v>
      </c>
    </row>
    <row r="248" customFormat="false" ht="15" hidden="false" customHeight="false" outlineLevel="0" collapsed="false">
      <c r="A248" s="14" t="s">
        <v>180</v>
      </c>
      <c r="B248" s="14" t="s">
        <v>117</v>
      </c>
      <c r="C248" s="14" t="s">
        <v>181</v>
      </c>
      <c r="D248" s="14"/>
      <c r="E248" s="15" t="n">
        <v>20</v>
      </c>
      <c r="F248" s="14" t="s">
        <v>388</v>
      </c>
      <c r="G248" s="8" t="n">
        <v>14</v>
      </c>
      <c r="H248" s="14" t="s">
        <v>789</v>
      </c>
      <c r="I248" s="14" t="s">
        <v>610</v>
      </c>
      <c r="J248" s="14" t="s">
        <v>611</v>
      </c>
      <c r="K248" s="8" t="n">
        <v>14</v>
      </c>
      <c r="L248" s="8" t="n">
        <v>116</v>
      </c>
      <c r="M248" s="8" t="n">
        <v>7</v>
      </c>
      <c r="N248" s="8" t="n">
        <v>128</v>
      </c>
      <c r="O248" s="8" t="n">
        <v>12</v>
      </c>
      <c r="P248" s="9" t="n">
        <v>40.745020308583</v>
      </c>
      <c r="Q248" s="10" t="n">
        <v>0.0245428764650621</v>
      </c>
      <c r="R248" s="9" t="n">
        <v>21</v>
      </c>
      <c r="S248" s="11" t="n">
        <f aca="false">IF(AND(ISNUMBER(R248),R248&gt;1,P248&gt;0),R248/P248-1,"")</f>
        <v>-0.484599594233696</v>
      </c>
      <c r="T248" s="9" t="n">
        <f aca="false">IF(AND(ISNUMBER(P248),P248&gt;0),P248*EXP('Read me'!$B$22),"")</f>
        <v>49.7660801861954</v>
      </c>
    </row>
    <row r="249" customFormat="false" ht="15" hidden="false" customHeight="false" outlineLevel="0" collapsed="false">
      <c r="A249" s="14" t="s">
        <v>180</v>
      </c>
      <c r="B249" s="14" t="s">
        <v>117</v>
      </c>
      <c r="C249" s="14" t="s">
        <v>181</v>
      </c>
      <c r="D249" s="14"/>
      <c r="E249" s="15" t="n">
        <v>20</v>
      </c>
      <c r="F249" s="14" t="s">
        <v>388</v>
      </c>
      <c r="G249" s="8" t="n">
        <v>14</v>
      </c>
      <c r="H249" s="14" t="s">
        <v>790</v>
      </c>
      <c r="I249" s="14" t="s">
        <v>791</v>
      </c>
      <c r="J249" s="14" t="s">
        <v>792</v>
      </c>
      <c r="K249" s="8" t="n">
        <v>17</v>
      </c>
      <c r="L249" s="8" t="n">
        <v>112</v>
      </c>
      <c r="M249" s="8" t="n">
        <v>5</v>
      </c>
      <c r="N249" s="8" t="n">
        <v>24</v>
      </c>
      <c r="O249" s="8" t="n">
        <v>13</v>
      </c>
      <c r="P249" s="9" t="n">
        <v>43.1637091056558</v>
      </c>
      <c r="Q249" s="10" t="n">
        <v>0.0231676104931624</v>
      </c>
      <c r="R249" s="9" t="n">
        <v>51</v>
      </c>
      <c r="S249" s="11" t="n">
        <f aca="false">IF(AND(ISNUMBER(R249),R249&gt;1,P249&gt;0),R249/P249-1,"")</f>
        <v>0.181548135151283</v>
      </c>
      <c r="T249" s="9" t="n">
        <f aca="false">IF(AND(ISNUMBER(P249),P249&gt;0),P249*EXP('Read me'!$B$22),"")</f>
        <v>52.7202733540712</v>
      </c>
    </row>
    <row r="250" customFormat="false" ht="15" hidden="false" customHeight="false" outlineLevel="0" collapsed="false">
      <c r="A250" s="14" t="s">
        <v>180</v>
      </c>
      <c r="B250" s="14" t="s">
        <v>117</v>
      </c>
      <c r="C250" s="14" t="s">
        <v>181</v>
      </c>
      <c r="D250" s="14"/>
      <c r="E250" s="15" t="n">
        <v>20</v>
      </c>
      <c r="F250" s="14" t="s">
        <v>388</v>
      </c>
      <c r="G250" s="8" t="n">
        <v>14</v>
      </c>
      <c r="H250" s="14" t="s">
        <v>793</v>
      </c>
      <c r="I250" s="14" t="s">
        <v>794</v>
      </c>
      <c r="J250" s="14" t="s">
        <v>795</v>
      </c>
      <c r="K250" s="8" t="n">
        <v>1</v>
      </c>
      <c r="L250" s="8" t="n">
        <v>140</v>
      </c>
      <c r="M250" s="8" t="n">
        <v>8</v>
      </c>
      <c r="N250" s="8" t="n">
        <v>255</v>
      </c>
      <c r="O250" s="8" t="n">
        <v>14</v>
      </c>
      <c r="P250" s="9" t="n">
        <v>135.323910585784</v>
      </c>
      <c r="Q250" s="10" t="n">
        <v>0.0073896770768096</v>
      </c>
      <c r="R250" s="9" t="n">
        <v>51</v>
      </c>
      <c r="S250" s="11" t="n">
        <f aca="false">IF(AND(ISNUMBER(R250),R250&gt;1,P250&gt;0),R250/P250-1,"")</f>
        <v>-0.623126469082709</v>
      </c>
      <c r="T250" s="9" t="n">
        <f aca="false">IF(AND(ISNUMBER(P250),P250&gt;0),P250*EXP('Read me'!$B$22),"")</f>
        <v>165.284997634496</v>
      </c>
    </row>
    <row r="251" customFormat="false" ht="15" hidden="false" customHeight="false" outlineLevel="0" collapsed="false">
      <c r="A251" s="14" t="s">
        <v>184</v>
      </c>
      <c r="B251" s="14" t="s">
        <v>56</v>
      </c>
      <c r="C251" s="14" t="s">
        <v>185</v>
      </c>
      <c r="D251" s="14" t="s">
        <v>436</v>
      </c>
      <c r="E251" s="15" t="n">
        <v>7</v>
      </c>
      <c r="F251" s="14" t="s">
        <v>419</v>
      </c>
      <c r="G251" s="8" t="n">
        <v>7</v>
      </c>
      <c r="H251" s="14" t="s">
        <v>186</v>
      </c>
      <c r="I251" s="14" t="s">
        <v>187</v>
      </c>
      <c r="J251" s="14" t="s">
        <v>188</v>
      </c>
      <c r="K251" s="8" t="n">
        <v>5</v>
      </c>
      <c r="L251" s="8" t="n">
        <v>84</v>
      </c>
      <c r="M251" s="8" t="n">
        <v>2</v>
      </c>
      <c r="N251" s="8" t="n">
        <v>33</v>
      </c>
      <c r="O251" s="8" t="n">
        <v>1</v>
      </c>
      <c r="P251" s="9" t="n">
        <v>3.32408229304458</v>
      </c>
      <c r="Q251" s="10" t="n">
        <v>0.300834910763923</v>
      </c>
      <c r="R251" s="9" t="n">
        <v>4.5</v>
      </c>
      <c r="S251" s="11" t="n">
        <f aca="false">IF(AND(ISNUMBER(R251),R251&gt;1,P251&gt;0),R251/P251-1,"")</f>
        <v>0.353757098437652</v>
      </c>
      <c r="T251" s="9" t="n">
        <f aca="false">IF(AND(ISNUMBER(P251),P251&gt;0),P251*EXP('Read me'!$B$22),"")</f>
        <v>4.06004328107603</v>
      </c>
    </row>
    <row r="252" customFormat="false" ht="15" hidden="false" customHeight="false" outlineLevel="0" collapsed="false">
      <c r="A252" s="14" t="s">
        <v>184</v>
      </c>
      <c r="B252" s="14" t="s">
        <v>56</v>
      </c>
      <c r="C252" s="14" t="s">
        <v>185</v>
      </c>
      <c r="D252" s="14" t="s">
        <v>436</v>
      </c>
      <c r="E252" s="15" t="n">
        <v>7</v>
      </c>
      <c r="F252" s="14" t="s">
        <v>419</v>
      </c>
      <c r="G252" s="8" t="n">
        <v>7</v>
      </c>
      <c r="H252" s="14" t="s">
        <v>189</v>
      </c>
      <c r="I252" s="14" t="s">
        <v>667</v>
      </c>
      <c r="J252" s="14" t="s">
        <v>376</v>
      </c>
      <c r="K252" s="8" t="n">
        <v>6</v>
      </c>
      <c r="L252" s="8" t="n">
        <v>82</v>
      </c>
      <c r="M252" s="8" t="n">
        <v>2</v>
      </c>
      <c r="N252" s="8" t="n">
        <v>27</v>
      </c>
      <c r="O252" s="8" t="n">
        <v>2</v>
      </c>
      <c r="P252" s="9" t="n">
        <v>4.0681309288796</v>
      </c>
      <c r="Q252" s="10" t="n">
        <v>0.245813130767502</v>
      </c>
      <c r="R252" s="9" t="n">
        <v>2.5</v>
      </c>
      <c r="S252" s="11" t="n">
        <f aca="false">IF(AND(ISNUMBER(R252),R252&gt;1,P252&gt;0),R252/P252-1,"")</f>
        <v>-0.385467173081246</v>
      </c>
      <c r="T252" s="9" t="n">
        <f aca="false">IF(AND(ISNUMBER(P252),P252&gt;0),P252*EXP('Read me'!$B$22),"")</f>
        <v>4.96882633709024</v>
      </c>
    </row>
    <row r="253" customFormat="false" ht="15" hidden="false" customHeight="false" outlineLevel="0" collapsed="false">
      <c r="A253" s="14" t="s">
        <v>184</v>
      </c>
      <c r="B253" s="14" t="s">
        <v>56</v>
      </c>
      <c r="C253" s="14" t="s">
        <v>185</v>
      </c>
      <c r="D253" s="14" t="s">
        <v>436</v>
      </c>
      <c r="E253" s="15" t="n">
        <v>7</v>
      </c>
      <c r="F253" s="14" t="s">
        <v>419</v>
      </c>
      <c r="G253" s="8" t="n">
        <v>7</v>
      </c>
      <c r="H253" s="14" t="s">
        <v>796</v>
      </c>
      <c r="I253" s="14" t="s">
        <v>482</v>
      </c>
      <c r="J253" s="14" t="s">
        <v>665</v>
      </c>
      <c r="K253" s="8" t="n">
        <v>1</v>
      </c>
      <c r="L253" s="8" t="n">
        <v>80</v>
      </c>
      <c r="M253" s="8" t="n">
        <v>2</v>
      </c>
      <c r="N253" s="8" t="n">
        <v>8</v>
      </c>
      <c r="O253" s="8" t="n">
        <v>3</v>
      </c>
      <c r="P253" s="9" t="n">
        <v>7.44216170805461</v>
      </c>
      <c r="Q253" s="10" t="n">
        <v>0.134369560784699</v>
      </c>
      <c r="R253" s="9" t="n">
        <v>8</v>
      </c>
      <c r="S253" s="11" t="n">
        <f aca="false">IF(AND(ISNUMBER(R253),R253&gt;1,P253&gt;0),R253/P253-1,"")</f>
        <v>0.0749564862775887</v>
      </c>
      <c r="T253" s="9" t="n">
        <f aca="false">IF(AND(ISNUMBER(P253),P253&gt;0),P253*EXP('Read me'!$B$22),"")</f>
        <v>9.0898768368919</v>
      </c>
    </row>
    <row r="254" customFormat="false" ht="15" hidden="false" customHeight="false" outlineLevel="0" collapsed="false">
      <c r="A254" s="14" t="s">
        <v>184</v>
      </c>
      <c r="B254" s="14" t="s">
        <v>56</v>
      </c>
      <c r="C254" s="14" t="s">
        <v>185</v>
      </c>
      <c r="D254" s="14" t="s">
        <v>436</v>
      </c>
      <c r="E254" s="15" t="n">
        <v>7</v>
      </c>
      <c r="F254" s="14" t="s">
        <v>419</v>
      </c>
      <c r="G254" s="8" t="n">
        <v>7</v>
      </c>
      <c r="H254" s="14" t="s">
        <v>797</v>
      </c>
      <c r="I254" s="14" t="s">
        <v>485</v>
      </c>
      <c r="J254" s="14" t="s">
        <v>236</v>
      </c>
      <c r="K254" s="8" t="n">
        <v>7</v>
      </c>
      <c r="L254" s="8" t="n">
        <v>79</v>
      </c>
      <c r="M254" s="8" t="n">
        <v>2</v>
      </c>
      <c r="N254" s="8" t="n">
        <v>8</v>
      </c>
      <c r="O254" s="8" t="n">
        <v>4</v>
      </c>
      <c r="P254" s="9" t="n">
        <v>10.0094449887484</v>
      </c>
      <c r="Q254" s="10" t="n">
        <v>0.0999056392361512</v>
      </c>
      <c r="R254" s="9" t="n">
        <v>12</v>
      </c>
      <c r="S254" s="11" t="n">
        <f aca="false">IF(AND(ISNUMBER(R254),R254&gt;1,P254&gt;0),R254/P254-1,"")</f>
        <v>0.198867670833814</v>
      </c>
      <c r="T254" s="9" t="n">
        <f aca="false">IF(AND(ISNUMBER(P254),P254&gt;0),P254*EXP('Read me'!$B$22),"")</f>
        <v>12.2255637169098</v>
      </c>
    </row>
    <row r="255" customFormat="false" ht="15" hidden="false" customHeight="false" outlineLevel="0" collapsed="false">
      <c r="A255" s="14" t="s">
        <v>184</v>
      </c>
      <c r="B255" s="14" t="s">
        <v>56</v>
      </c>
      <c r="C255" s="14" t="s">
        <v>185</v>
      </c>
      <c r="D255" s="14" t="s">
        <v>436</v>
      </c>
      <c r="E255" s="15" t="n">
        <v>7</v>
      </c>
      <c r="F255" s="14" t="s">
        <v>419</v>
      </c>
      <c r="G255" s="8" t="n">
        <v>7</v>
      </c>
      <c r="H255" s="14" t="s">
        <v>798</v>
      </c>
      <c r="I255" s="14" t="s">
        <v>799</v>
      </c>
      <c r="J255" s="14" t="s">
        <v>501</v>
      </c>
      <c r="K255" s="8" t="n">
        <v>4</v>
      </c>
      <c r="L255" s="8" t="n">
        <v>78</v>
      </c>
      <c r="M255" s="8" t="n">
        <v>2</v>
      </c>
      <c r="N255" s="8" t="n">
        <v>37</v>
      </c>
      <c r="O255" s="8" t="n">
        <v>5</v>
      </c>
      <c r="P255" s="9" t="n">
        <v>10.6930092325341</v>
      </c>
      <c r="Q255" s="10" t="n">
        <v>0.0935190439149195</v>
      </c>
      <c r="R255" s="9" t="n">
        <v>8.5</v>
      </c>
      <c r="S255" s="11" t="n">
        <f aca="false">IF(AND(ISNUMBER(R255),R255&gt;1,P255&gt;0),R255/P255-1,"")</f>
        <v>-0.205088126723183</v>
      </c>
      <c r="T255" s="9" t="n">
        <f aca="false">IF(AND(ISNUMBER(P255),P255&gt;0),P255*EXP('Read me'!$B$22),"")</f>
        <v>13.0604709696493</v>
      </c>
    </row>
    <row r="256" customFormat="false" ht="15" hidden="false" customHeight="false" outlineLevel="0" collapsed="false">
      <c r="A256" s="14" t="s">
        <v>184</v>
      </c>
      <c r="B256" s="14" t="s">
        <v>56</v>
      </c>
      <c r="C256" s="14" t="s">
        <v>185</v>
      </c>
      <c r="D256" s="14" t="s">
        <v>436</v>
      </c>
      <c r="E256" s="15" t="n">
        <v>7</v>
      </c>
      <c r="F256" s="14" t="s">
        <v>419</v>
      </c>
      <c r="G256" s="8" t="n">
        <v>7</v>
      </c>
      <c r="H256" s="14" t="s">
        <v>800</v>
      </c>
      <c r="I256" s="14" t="s">
        <v>427</v>
      </c>
      <c r="J256" s="14" t="s">
        <v>709</v>
      </c>
      <c r="K256" s="8" t="n">
        <v>2</v>
      </c>
      <c r="L256" s="8" t="n">
        <v>78</v>
      </c>
      <c r="M256" s="8" t="n">
        <v>2</v>
      </c>
      <c r="N256" s="8" t="n">
        <v>28</v>
      </c>
      <c r="O256" s="8" t="n">
        <v>6</v>
      </c>
      <c r="P256" s="9" t="n">
        <v>11.8515964339474</v>
      </c>
      <c r="Q256" s="10" t="n">
        <v>0.0843768183951677</v>
      </c>
      <c r="R256" s="9" t="n">
        <v>9.5</v>
      </c>
      <c r="S256" s="11" t="n">
        <f aca="false">IF(AND(ISNUMBER(R256),R256&gt;1,P256&gt;0),R256/P256-1,"")</f>
        <v>-0.198420225245906</v>
      </c>
      <c r="T256" s="9" t="n">
        <f aca="false">IF(AND(ISNUMBER(P256),P256&gt;0),P256*EXP('Read me'!$B$22),"")</f>
        <v>14.4755725730246</v>
      </c>
    </row>
    <row r="257" customFormat="false" ht="15" hidden="false" customHeight="false" outlineLevel="0" collapsed="false">
      <c r="A257" s="14" t="s">
        <v>184</v>
      </c>
      <c r="B257" s="14" t="s">
        <v>56</v>
      </c>
      <c r="C257" s="14" t="s">
        <v>185</v>
      </c>
      <c r="D257" s="14" t="s">
        <v>436</v>
      </c>
      <c r="E257" s="15" t="n">
        <v>7</v>
      </c>
      <c r="F257" s="14" t="s">
        <v>419</v>
      </c>
      <c r="G257" s="8" t="n">
        <v>7</v>
      </c>
      <c r="H257" s="14" t="s">
        <v>801</v>
      </c>
      <c r="I257" s="14" t="s">
        <v>492</v>
      </c>
      <c r="J257" s="14" t="s">
        <v>802</v>
      </c>
      <c r="K257" s="8" t="n">
        <v>3</v>
      </c>
      <c r="L257" s="8" t="n">
        <v>70</v>
      </c>
      <c r="M257" s="8" t="n">
        <v>2</v>
      </c>
      <c r="N257" s="8" t="n">
        <v>7</v>
      </c>
      <c r="O257" s="8" t="n">
        <v>7</v>
      </c>
      <c r="P257" s="9" t="n">
        <v>24.2831043952446</v>
      </c>
      <c r="Q257" s="10" t="n">
        <v>0.0411808961376385</v>
      </c>
      <c r="R257" s="9" t="n">
        <v>15</v>
      </c>
      <c r="S257" s="11" t="n">
        <f aca="false">IF(AND(ISNUMBER(R257),R257&gt;1,P257&gt;0),R257/P257-1,"")</f>
        <v>-0.382286557935422</v>
      </c>
      <c r="T257" s="9" t="n">
        <f aca="false">IF(AND(ISNUMBER(P257),P257&gt;0),P257*EXP('Read me'!$B$22),"")</f>
        <v>29.659450685043</v>
      </c>
    </row>
    <row r="258" customFormat="false" ht="15" hidden="false" customHeight="false" outlineLevel="0" collapsed="false">
      <c r="A258" s="14" t="s">
        <v>190</v>
      </c>
      <c r="B258" s="14" t="s">
        <v>63</v>
      </c>
      <c r="C258" s="14" t="s">
        <v>191</v>
      </c>
      <c r="D258" s="14" t="s">
        <v>803</v>
      </c>
      <c r="E258" s="15" t="n">
        <v>6</v>
      </c>
      <c r="F258" s="14" t="s">
        <v>388</v>
      </c>
      <c r="G258" s="8" t="n">
        <v>11</v>
      </c>
      <c r="H258" s="14" t="s">
        <v>192</v>
      </c>
      <c r="I258" s="14" t="s">
        <v>193</v>
      </c>
      <c r="J258" s="14" t="s">
        <v>194</v>
      </c>
      <c r="K258" s="8" t="n">
        <v>2</v>
      </c>
      <c r="L258" s="8" t="n">
        <v>61</v>
      </c>
      <c r="M258" s="8" t="n">
        <v>6</v>
      </c>
      <c r="N258" s="8" t="n">
        <v>9</v>
      </c>
      <c r="O258" s="8" t="n">
        <v>1</v>
      </c>
      <c r="P258" s="9" t="n">
        <v>5.35720501389036</v>
      </c>
      <c r="Q258" s="10" t="n">
        <v>0.18666450087446</v>
      </c>
      <c r="R258" s="9" t="n">
        <v>4.5</v>
      </c>
      <c r="S258" s="11" t="n">
        <f aca="false">IF(AND(ISNUMBER(R258),R258&gt;1,P258&gt;0),R258/P258-1,"")</f>
        <v>-0.160009746064928</v>
      </c>
      <c r="T258" s="9" t="n">
        <f aca="false">IF(AND(ISNUMBER(P258),P258&gt;0),P258*EXP('Read me'!$B$22),"")</f>
        <v>6.54330497999517</v>
      </c>
    </row>
    <row r="259" customFormat="false" ht="15" hidden="false" customHeight="false" outlineLevel="0" collapsed="false">
      <c r="A259" s="14" t="s">
        <v>190</v>
      </c>
      <c r="B259" s="14" t="s">
        <v>63</v>
      </c>
      <c r="C259" s="14" t="s">
        <v>191</v>
      </c>
      <c r="D259" s="14" t="s">
        <v>803</v>
      </c>
      <c r="E259" s="15" t="n">
        <v>6</v>
      </c>
      <c r="F259" s="14" t="s">
        <v>388</v>
      </c>
      <c r="G259" s="8" t="n">
        <v>11</v>
      </c>
      <c r="H259" s="14" t="s">
        <v>195</v>
      </c>
      <c r="I259" s="14" t="s">
        <v>444</v>
      </c>
      <c r="J259" s="14" t="s">
        <v>697</v>
      </c>
      <c r="K259" s="8" t="n">
        <v>10</v>
      </c>
      <c r="L259" s="8" t="n">
        <v>59</v>
      </c>
      <c r="M259" s="8" t="n">
        <v>7</v>
      </c>
      <c r="N259" s="8" t="n">
        <v>18</v>
      </c>
      <c r="O259" s="8" t="n">
        <v>2</v>
      </c>
      <c r="P259" s="9" t="n">
        <v>8.18969922431517</v>
      </c>
      <c r="Q259" s="10" t="n">
        <v>0.122104606361001</v>
      </c>
      <c r="R259" s="9" t="n">
        <v>7</v>
      </c>
      <c r="S259" s="11" t="n">
        <f aca="false">IF(AND(ISNUMBER(R259),R259&gt;1,P259&gt;0),R259/P259-1,"")</f>
        <v>-0.145267755472992</v>
      </c>
      <c r="T259" s="9" t="n">
        <f aca="false">IF(AND(ISNUMBER(P259),P259&gt;0),P259*EXP('Read me'!$B$22),"")</f>
        <v>10.0029212210808</v>
      </c>
    </row>
    <row r="260" customFormat="false" ht="15" hidden="false" customHeight="false" outlineLevel="0" collapsed="false">
      <c r="A260" s="14" t="s">
        <v>190</v>
      </c>
      <c r="B260" s="14" t="s">
        <v>63</v>
      </c>
      <c r="C260" s="14" t="s">
        <v>191</v>
      </c>
      <c r="D260" s="14" t="s">
        <v>803</v>
      </c>
      <c r="E260" s="15" t="n">
        <v>6</v>
      </c>
      <c r="F260" s="14" t="s">
        <v>388</v>
      </c>
      <c r="G260" s="8" t="n">
        <v>11</v>
      </c>
      <c r="H260" s="14" t="s">
        <v>804</v>
      </c>
      <c r="I260" s="14" t="s">
        <v>455</v>
      </c>
      <c r="J260" s="14" t="s">
        <v>805</v>
      </c>
      <c r="K260" s="8" t="n">
        <v>1</v>
      </c>
      <c r="L260" s="8" t="n">
        <v>60</v>
      </c>
      <c r="M260" s="8" t="n">
        <v>4</v>
      </c>
      <c r="N260" s="8" t="n">
        <v>24</v>
      </c>
      <c r="O260" s="8" t="n">
        <v>3</v>
      </c>
      <c r="P260" s="9" t="n">
        <v>8.61787781610394</v>
      </c>
      <c r="Q260" s="10" t="n">
        <v>0.116037848451661</v>
      </c>
      <c r="R260" s="9" t="n">
        <v>8</v>
      </c>
      <c r="S260" s="11" t="n">
        <f aca="false">IF(AND(ISNUMBER(R260),R260&gt;1,P260&gt;0),R260/P260-1,"")</f>
        <v>-0.0716972123867122</v>
      </c>
      <c r="T260" s="9" t="n">
        <f aca="false">IF(AND(ISNUMBER(P260),P260&gt;0),P260*EXP('Read me'!$B$22),"")</f>
        <v>10.5258997340767</v>
      </c>
    </row>
    <row r="261" customFormat="false" ht="15" hidden="false" customHeight="false" outlineLevel="0" collapsed="false">
      <c r="A261" s="14" t="s">
        <v>190</v>
      </c>
      <c r="B261" s="14" t="s">
        <v>63</v>
      </c>
      <c r="C261" s="14" t="s">
        <v>191</v>
      </c>
      <c r="D261" s="14" t="s">
        <v>803</v>
      </c>
      <c r="E261" s="15" t="n">
        <v>6</v>
      </c>
      <c r="F261" s="14" t="s">
        <v>388</v>
      </c>
      <c r="G261" s="8" t="n">
        <v>11</v>
      </c>
      <c r="H261" s="14" t="s">
        <v>806</v>
      </c>
      <c r="I261" s="14" t="s">
        <v>441</v>
      </c>
      <c r="J261" s="14" t="s">
        <v>625</v>
      </c>
      <c r="K261" s="8" t="n">
        <v>4</v>
      </c>
      <c r="L261" s="8" t="n">
        <v>57</v>
      </c>
      <c r="M261" s="8" t="n">
        <v>8</v>
      </c>
      <c r="N261" s="8" t="n">
        <v>17</v>
      </c>
      <c r="O261" s="8" t="n">
        <v>4</v>
      </c>
      <c r="P261" s="9" t="n">
        <v>9.84392269384769</v>
      </c>
      <c r="Q261" s="10" t="n">
        <v>0.10158551942154</v>
      </c>
      <c r="R261" s="9" t="n">
        <v>9.5</v>
      </c>
      <c r="S261" s="11" t="n">
        <f aca="false">IF(AND(ISNUMBER(R261),R261&gt;1,P261&gt;0),R261/P261-1,"")</f>
        <v>-0.0349375654953724</v>
      </c>
      <c r="T261" s="9" t="n">
        <f aca="false">IF(AND(ISNUMBER(P261),P261&gt;0),P261*EXP('Read me'!$B$22),"")</f>
        <v>12.0233943293811</v>
      </c>
    </row>
    <row r="262" customFormat="false" ht="15" hidden="false" customHeight="false" outlineLevel="0" collapsed="false">
      <c r="A262" s="14" t="s">
        <v>190</v>
      </c>
      <c r="B262" s="14" t="s">
        <v>63</v>
      </c>
      <c r="C262" s="14" t="s">
        <v>191</v>
      </c>
      <c r="D262" s="14" t="s">
        <v>803</v>
      </c>
      <c r="E262" s="15" t="n">
        <v>6</v>
      </c>
      <c r="F262" s="14" t="s">
        <v>388</v>
      </c>
      <c r="G262" s="8" t="n">
        <v>11</v>
      </c>
      <c r="H262" s="14" t="s">
        <v>807</v>
      </c>
      <c r="I262" s="14" t="s">
        <v>695</v>
      </c>
      <c r="J262" s="14" t="s">
        <v>808</v>
      </c>
      <c r="K262" s="8" t="n">
        <v>5</v>
      </c>
      <c r="L262" s="8" t="n">
        <v>49</v>
      </c>
      <c r="M262" s="8" t="n">
        <v>7</v>
      </c>
      <c r="N262" s="8" t="n">
        <v>18</v>
      </c>
      <c r="O262" s="8" t="n">
        <v>5</v>
      </c>
      <c r="P262" s="9" t="n">
        <v>10.5849652961938</v>
      </c>
      <c r="Q262" s="10" t="n">
        <v>0.0944736210292146</v>
      </c>
      <c r="R262" s="9" t="n">
        <v>9</v>
      </c>
      <c r="S262" s="11" t="n">
        <f aca="false">IF(AND(ISNUMBER(R262),R262&gt;1,P262&gt;0),R262/P262-1,"")</f>
        <v>-0.149737410737068</v>
      </c>
      <c r="T262" s="9" t="n">
        <f aca="false">IF(AND(ISNUMBER(P262),P262&gt;0),P262*EXP('Read me'!$B$22),"")</f>
        <v>12.9285058078008</v>
      </c>
    </row>
    <row r="263" customFormat="false" ht="15" hidden="false" customHeight="false" outlineLevel="0" collapsed="false">
      <c r="A263" s="14" t="s">
        <v>190</v>
      </c>
      <c r="B263" s="14" t="s">
        <v>63</v>
      </c>
      <c r="C263" s="14" t="s">
        <v>191</v>
      </c>
      <c r="D263" s="14" t="s">
        <v>803</v>
      </c>
      <c r="E263" s="15" t="n">
        <v>6</v>
      </c>
      <c r="F263" s="14" t="s">
        <v>388</v>
      </c>
      <c r="G263" s="8" t="n">
        <v>11</v>
      </c>
      <c r="H263" s="14" t="s">
        <v>809</v>
      </c>
      <c r="I263" s="14" t="s">
        <v>300</v>
      </c>
      <c r="J263" s="14" t="s">
        <v>810</v>
      </c>
      <c r="K263" s="8" t="n">
        <v>11</v>
      </c>
      <c r="L263" s="8" t="n">
        <v>65</v>
      </c>
      <c r="M263" s="8" t="n">
        <v>3</v>
      </c>
      <c r="N263" s="8" t="n">
        <v>87</v>
      </c>
      <c r="O263" s="8" t="n">
        <v>6</v>
      </c>
      <c r="P263" s="9" t="n">
        <v>11.6563794877497</v>
      </c>
      <c r="Q263" s="10" t="n">
        <v>0.0857899316894199</v>
      </c>
      <c r="R263" s="9" t="n">
        <v>17</v>
      </c>
      <c r="S263" s="11" t="n">
        <f aca="false">IF(AND(ISNUMBER(R263),R263&gt;1,P263&gt;0),R263/P263-1,"")</f>
        <v>0.45842883872014</v>
      </c>
      <c r="T263" s="9" t="n">
        <f aca="false">IF(AND(ISNUMBER(P263),P263&gt;0),P263*EXP('Read me'!$B$22),"")</f>
        <v>14.2371340564991</v>
      </c>
    </row>
    <row r="264" customFormat="false" ht="15" hidden="false" customHeight="false" outlineLevel="0" collapsed="false">
      <c r="A264" s="14" t="s">
        <v>190</v>
      </c>
      <c r="B264" s="14" t="s">
        <v>63</v>
      </c>
      <c r="C264" s="14" t="s">
        <v>191</v>
      </c>
      <c r="D264" s="14" t="s">
        <v>803</v>
      </c>
      <c r="E264" s="15" t="n">
        <v>6</v>
      </c>
      <c r="F264" s="14" t="s">
        <v>388</v>
      </c>
      <c r="G264" s="8" t="n">
        <v>11</v>
      </c>
      <c r="H264" s="14" t="s">
        <v>811</v>
      </c>
      <c r="I264" s="14" t="s">
        <v>496</v>
      </c>
      <c r="J264" s="14" t="s">
        <v>201</v>
      </c>
      <c r="K264" s="8" t="n">
        <v>6</v>
      </c>
      <c r="L264" s="8" t="n">
        <v>56</v>
      </c>
      <c r="M264" s="8" t="n">
        <v>3</v>
      </c>
      <c r="N264" s="8" t="n">
        <v>27</v>
      </c>
      <c r="O264" s="8" t="n">
        <v>7</v>
      </c>
      <c r="P264" s="9" t="n">
        <v>12.8252627828151</v>
      </c>
      <c r="Q264" s="10" t="n">
        <v>0.0779711119322973</v>
      </c>
      <c r="R264" s="9" t="n">
        <v>10</v>
      </c>
      <c r="S264" s="11" t="n">
        <f aca="false">IF(AND(ISNUMBER(R264),R264&gt;1,P264&gt;0),R264/P264-1,"")</f>
        <v>-0.220288880677027</v>
      </c>
      <c r="T264" s="9" t="n">
        <f aca="false">IF(AND(ISNUMBER(P264),P264&gt;0),P264*EXP('Read me'!$B$22),"")</f>
        <v>15.6648113370593</v>
      </c>
    </row>
    <row r="265" customFormat="false" ht="15" hidden="false" customHeight="false" outlineLevel="0" collapsed="false">
      <c r="A265" s="14" t="s">
        <v>190</v>
      </c>
      <c r="B265" s="14" t="s">
        <v>63</v>
      </c>
      <c r="C265" s="14" t="s">
        <v>191</v>
      </c>
      <c r="D265" s="14" t="s">
        <v>803</v>
      </c>
      <c r="E265" s="15" t="n">
        <v>6</v>
      </c>
      <c r="F265" s="14" t="s">
        <v>388</v>
      </c>
      <c r="G265" s="8" t="n">
        <v>11</v>
      </c>
      <c r="H265" s="14" t="s">
        <v>812</v>
      </c>
      <c r="I265" s="14" t="s">
        <v>438</v>
      </c>
      <c r="J265" s="14" t="s">
        <v>813</v>
      </c>
      <c r="K265" s="8" t="n">
        <v>7</v>
      </c>
      <c r="L265" s="8" t="n">
        <v>65</v>
      </c>
      <c r="M265" s="8" t="n">
        <v>4</v>
      </c>
      <c r="N265" s="8" t="n">
        <v>26</v>
      </c>
      <c r="O265" s="8" t="n">
        <v>8</v>
      </c>
      <c r="P265" s="9" t="n">
        <v>13.8320002258458</v>
      </c>
      <c r="Q265" s="10" t="n">
        <v>0.0722961237472688</v>
      </c>
      <c r="R265" s="9" t="n">
        <v>9</v>
      </c>
      <c r="S265" s="11" t="n">
        <f aca="false">IF(AND(ISNUMBER(R265),R265&gt;1,P265&gt;0),R265/P265-1,"")</f>
        <v>-0.34933488627458</v>
      </c>
      <c r="T265" s="9" t="n">
        <f aca="false">IF(AND(ISNUMBER(P265),P265&gt;0),P265*EXP('Read me'!$B$22),"")</f>
        <v>16.8944432267202</v>
      </c>
    </row>
    <row r="266" customFormat="false" ht="15" hidden="false" customHeight="false" outlineLevel="0" collapsed="false">
      <c r="A266" s="14" t="s">
        <v>190</v>
      </c>
      <c r="B266" s="14" t="s">
        <v>63</v>
      </c>
      <c r="C266" s="14" t="s">
        <v>191</v>
      </c>
      <c r="D266" s="14" t="s">
        <v>803</v>
      </c>
      <c r="E266" s="15" t="n">
        <v>6</v>
      </c>
      <c r="F266" s="14" t="s">
        <v>388</v>
      </c>
      <c r="G266" s="8" t="n">
        <v>11</v>
      </c>
      <c r="H266" s="14" t="s">
        <v>814</v>
      </c>
      <c r="I266" s="14" t="s">
        <v>90</v>
      </c>
      <c r="J266" s="14" t="s">
        <v>815</v>
      </c>
      <c r="K266" s="8" t="n">
        <v>8</v>
      </c>
      <c r="L266" s="8" t="n">
        <v>62</v>
      </c>
      <c r="M266" s="8" t="n">
        <v>4</v>
      </c>
      <c r="N266" s="8" t="n">
        <v>9</v>
      </c>
      <c r="O266" s="8" t="n">
        <v>9</v>
      </c>
      <c r="P266" s="9" t="n">
        <v>14.1101119738196</v>
      </c>
      <c r="Q266" s="10" t="n">
        <v>0.0708711597650984</v>
      </c>
      <c r="R266" s="9" t="n">
        <v>8.5</v>
      </c>
      <c r="S266" s="11" t="n">
        <f aca="false">IF(AND(ISNUMBER(R266),R266&gt;1,P266&gt;0),R266/P266-1,"")</f>
        <v>-0.397595141996663</v>
      </c>
      <c r="T266" s="9" t="n">
        <f aca="false">IF(AND(ISNUMBER(P266),P266&gt;0),P266*EXP('Read me'!$B$22),"")</f>
        <v>17.2341296827721</v>
      </c>
    </row>
    <row r="267" customFormat="false" ht="15" hidden="false" customHeight="false" outlineLevel="0" collapsed="false">
      <c r="A267" s="14" t="s">
        <v>190</v>
      </c>
      <c r="B267" s="14" t="s">
        <v>63</v>
      </c>
      <c r="C267" s="14" t="s">
        <v>191</v>
      </c>
      <c r="D267" s="14" t="s">
        <v>803</v>
      </c>
      <c r="E267" s="15" t="n">
        <v>6</v>
      </c>
      <c r="F267" s="14" t="s">
        <v>388</v>
      </c>
      <c r="G267" s="8" t="n">
        <v>11</v>
      </c>
      <c r="H267" s="14" t="s">
        <v>816</v>
      </c>
      <c r="I267" s="14" t="s">
        <v>631</v>
      </c>
      <c r="J267" s="14" t="s">
        <v>236</v>
      </c>
      <c r="K267" s="8" t="n">
        <v>3</v>
      </c>
      <c r="L267" s="8" t="n">
        <v>60</v>
      </c>
      <c r="M267" s="8" t="n">
        <v>3</v>
      </c>
      <c r="N267" s="8" t="n">
        <v>18</v>
      </c>
      <c r="O267" s="8" t="n">
        <v>10</v>
      </c>
      <c r="P267" s="9" t="n">
        <v>19.0492459174023</v>
      </c>
      <c r="Q267" s="10" t="n">
        <v>0.0524955163231137</v>
      </c>
      <c r="R267" s="9" t="n">
        <v>23</v>
      </c>
      <c r="S267" s="11" t="n">
        <f aca="false">IF(AND(ISNUMBER(R267),R267&gt;1,P267&gt;0),R267/P267-1,"")</f>
        <v>0.207396875431616</v>
      </c>
      <c r="T267" s="9" t="n">
        <f aca="false">IF(AND(ISNUMBER(P267),P267&gt;0),P267*EXP('Read me'!$B$22),"")</f>
        <v>23.2668015043865</v>
      </c>
    </row>
    <row r="268" customFormat="false" ht="15" hidden="false" customHeight="false" outlineLevel="0" collapsed="false">
      <c r="A268" s="14" t="s">
        <v>190</v>
      </c>
      <c r="B268" s="14" t="s">
        <v>63</v>
      </c>
      <c r="C268" s="14" t="s">
        <v>191</v>
      </c>
      <c r="D268" s="14" t="s">
        <v>803</v>
      </c>
      <c r="E268" s="15" t="n">
        <v>6</v>
      </c>
      <c r="F268" s="14" t="s">
        <v>388</v>
      </c>
      <c r="G268" s="8" t="n">
        <v>11</v>
      </c>
      <c r="H268" s="14" t="s">
        <v>817</v>
      </c>
      <c r="I268" s="14" t="s">
        <v>272</v>
      </c>
      <c r="J268" s="14" t="s">
        <v>818</v>
      </c>
      <c r="K268" s="8" t="n">
        <v>9</v>
      </c>
      <c r="L268" s="8" t="n">
        <v>54</v>
      </c>
      <c r="M268" s="8" t="n">
        <v>3</v>
      </c>
      <c r="N268" s="8" t="n">
        <v>36</v>
      </c>
      <c r="O268" s="8" t="n">
        <v>11</v>
      </c>
      <c r="P268" s="9" t="n">
        <v>50.735511685704</v>
      </c>
      <c r="Q268" s="10" t="n">
        <v>0.0197100604049249</v>
      </c>
      <c r="R268" s="9" t="n">
        <v>21</v>
      </c>
      <c r="S268" s="11" t="n">
        <f aca="false">IF(AND(ISNUMBER(R268),R268&gt;1,P268&gt;0),R268/P268-1,"")</f>
        <v>-0.586088731496576</v>
      </c>
      <c r="T268" s="9" t="n">
        <f aca="false">IF(AND(ISNUMBER(P268),P268&gt;0),P268*EXP('Read me'!$B$22),"")</f>
        <v>61.9684939095864</v>
      </c>
    </row>
    <row r="269" customFormat="false" ht="15" hidden="false" customHeight="false" outlineLevel="0" collapsed="false">
      <c r="A269" s="14" t="s">
        <v>196</v>
      </c>
      <c r="B269" s="14" t="s">
        <v>197</v>
      </c>
      <c r="C269" s="14" t="s">
        <v>198</v>
      </c>
      <c r="D269" s="14" t="s">
        <v>803</v>
      </c>
      <c r="E269" s="15" t="n">
        <v>5</v>
      </c>
      <c r="F269" s="14" t="s">
        <v>819</v>
      </c>
      <c r="G269" s="8" t="n">
        <v>9</v>
      </c>
      <c r="H269" s="14" t="s">
        <v>199</v>
      </c>
      <c r="I269" s="14" t="s">
        <v>200</v>
      </c>
      <c r="J269" s="14" t="s">
        <v>201</v>
      </c>
      <c r="K269" s="8" t="n">
        <v>5</v>
      </c>
      <c r="L269" s="8" t="n">
        <v>46</v>
      </c>
      <c r="M269" s="8" t="n">
        <v>3</v>
      </c>
      <c r="N269" s="8" t="n">
        <v>9</v>
      </c>
      <c r="O269" s="8" t="n">
        <v>1</v>
      </c>
      <c r="P269" s="9" t="n">
        <v>5.05173217737264</v>
      </c>
      <c r="Q269" s="10" t="n">
        <v>0.197951903404367</v>
      </c>
      <c r="R269" s="9" t="n">
        <v>4</v>
      </c>
      <c r="S269" s="11" t="n">
        <f aca="false">IF(AND(ISNUMBER(R269),R269&gt;1,P269&gt;0),R269/P269-1,"")</f>
        <v>-0.208192386382532</v>
      </c>
      <c r="T269" s="9" t="n">
        <f aca="false">IF(AND(ISNUMBER(P269),P269&gt;0),P269*EXP('Read me'!$B$22),"")</f>
        <v>6.17019961492942</v>
      </c>
    </row>
    <row r="270" customFormat="false" ht="15" hidden="false" customHeight="false" outlineLevel="0" collapsed="false">
      <c r="A270" s="14" t="s">
        <v>196</v>
      </c>
      <c r="B270" s="14" t="s">
        <v>197</v>
      </c>
      <c r="C270" s="14" t="s">
        <v>198</v>
      </c>
      <c r="D270" s="14" t="s">
        <v>803</v>
      </c>
      <c r="E270" s="15" t="n">
        <v>5</v>
      </c>
      <c r="F270" s="14" t="s">
        <v>819</v>
      </c>
      <c r="G270" s="8" t="n">
        <v>9</v>
      </c>
      <c r="H270" s="14" t="s">
        <v>202</v>
      </c>
      <c r="I270" s="14" t="s">
        <v>820</v>
      </c>
      <c r="J270" s="14" t="s">
        <v>821</v>
      </c>
      <c r="K270" s="8" t="n">
        <v>8</v>
      </c>
      <c r="L270" s="8" t="n">
        <v>62</v>
      </c>
      <c r="M270" s="8" t="n">
        <v>6</v>
      </c>
      <c r="N270" s="8" t="n">
        <v>16</v>
      </c>
      <c r="O270" s="8" t="n">
        <v>2</v>
      </c>
      <c r="P270" s="9" t="n">
        <v>5.49913543258334</v>
      </c>
      <c r="Q270" s="10" t="n">
        <v>0.181846767052658</v>
      </c>
      <c r="R270" s="9" t="n">
        <v>5.5</v>
      </c>
      <c r="S270" s="11" t="n">
        <f aca="false">IF(AND(ISNUMBER(R270),R270&gt;1,P270&gt;0),R270/P270-1,"")</f>
        <v>0.000157218789619273</v>
      </c>
      <c r="T270" s="9" t="n">
        <f aca="false">IF(AND(ISNUMBER(P270),P270&gt;0),P270*EXP('Read me'!$B$22),"")</f>
        <v>6.71665918485361</v>
      </c>
    </row>
    <row r="271" customFormat="false" ht="15" hidden="false" customHeight="false" outlineLevel="0" collapsed="false">
      <c r="A271" s="14" t="s">
        <v>196</v>
      </c>
      <c r="B271" s="14" t="s">
        <v>197</v>
      </c>
      <c r="C271" s="14" t="s">
        <v>198</v>
      </c>
      <c r="D271" s="14" t="s">
        <v>803</v>
      </c>
      <c r="E271" s="15" t="n">
        <v>5</v>
      </c>
      <c r="F271" s="14" t="s">
        <v>819</v>
      </c>
      <c r="G271" s="8" t="n">
        <v>9</v>
      </c>
      <c r="H271" s="14" t="s">
        <v>355</v>
      </c>
      <c r="I271" s="14" t="s">
        <v>822</v>
      </c>
      <c r="J271" s="14" t="s">
        <v>823</v>
      </c>
      <c r="K271" s="8" t="n">
        <v>7</v>
      </c>
      <c r="L271" s="8" t="n">
        <v>65</v>
      </c>
      <c r="M271" s="8" t="n">
        <v>6</v>
      </c>
      <c r="N271" s="8" t="n">
        <v>18</v>
      </c>
      <c r="O271" s="8" t="n">
        <v>3</v>
      </c>
      <c r="P271" s="9" t="n">
        <v>6.22566252610872</v>
      </c>
      <c r="Q271" s="10" t="n">
        <v>0.160625474928375</v>
      </c>
      <c r="R271" s="9" t="n">
        <v>8</v>
      </c>
      <c r="S271" s="11" t="n">
        <f aca="false">IF(AND(ISNUMBER(R271),R271&gt;1,P271&gt;0),R271/P271-1,"")</f>
        <v>0.285003799427</v>
      </c>
      <c r="T271" s="9" t="n">
        <f aca="false">IF(AND(ISNUMBER(P271),P271&gt;0),P271*EXP('Read me'!$B$22),"")</f>
        <v>7.6040413807636</v>
      </c>
    </row>
    <row r="272" customFormat="false" ht="15" hidden="false" customHeight="false" outlineLevel="0" collapsed="false">
      <c r="A272" s="14" t="s">
        <v>196</v>
      </c>
      <c r="B272" s="14" t="s">
        <v>197</v>
      </c>
      <c r="C272" s="14" t="s">
        <v>198</v>
      </c>
      <c r="D272" s="14" t="s">
        <v>803</v>
      </c>
      <c r="E272" s="15" t="n">
        <v>5</v>
      </c>
      <c r="F272" s="14" t="s">
        <v>819</v>
      </c>
      <c r="G272" s="8" t="n">
        <v>9</v>
      </c>
      <c r="H272" s="14" t="s">
        <v>824</v>
      </c>
      <c r="I272" s="14" t="s">
        <v>278</v>
      </c>
      <c r="J272" s="14" t="s">
        <v>825</v>
      </c>
      <c r="K272" s="8" t="n">
        <v>1</v>
      </c>
      <c r="L272" s="8" t="n">
        <v>55</v>
      </c>
      <c r="M272" s="8" t="n">
        <v>4</v>
      </c>
      <c r="N272" s="8" t="n">
        <v>18</v>
      </c>
      <c r="O272" s="8" t="n">
        <v>4</v>
      </c>
      <c r="P272" s="9" t="n">
        <v>6.58794574435213</v>
      </c>
      <c r="Q272" s="10" t="n">
        <v>0.15179238548789</v>
      </c>
      <c r="R272" s="9" t="n">
        <v>6.5</v>
      </c>
      <c r="S272" s="11" t="n">
        <f aca="false">IF(AND(ISNUMBER(R272),R272&gt;1,P272&gt;0),R272/P272-1,"")</f>
        <v>-0.0133494943287173</v>
      </c>
      <c r="T272" s="9" t="n">
        <f aca="false">IF(AND(ISNUMBER(P272),P272&gt;0),P272*EXP('Read me'!$B$22),"")</f>
        <v>8.04653510276124</v>
      </c>
    </row>
    <row r="273" customFormat="false" ht="15" hidden="false" customHeight="false" outlineLevel="0" collapsed="false">
      <c r="A273" s="14" t="s">
        <v>196</v>
      </c>
      <c r="B273" s="14" t="s">
        <v>197</v>
      </c>
      <c r="C273" s="14" t="s">
        <v>198</v>
      </c>
      <c r="D273" s="14" t="s">
        <v>803</v>
      </c>
      <c r="E273" s="15" t="n">
        <v>5</v>
      </c>
      <c r="F273" s="14" t="s">
        <v>819</v>
      </c>
      <c r="G273" s="8" t="n">
        <v>9</v>
      </c>
      <c r="H273" s="14" t="s">
        <v>826</v>
      </c>
      <c r="I273" s="14" t="s">
        <v>827</v>
      </c>
      <c r="J273" s="14" t="s">
        <v>828</v>
      </c>
      <c r="K273" s="8" t="n">
        <v>9</v>
      </c>
      <c r="L273" s="8" t="n">
        <v>60</v>
      </c>
      <c r="M273" s="8" t="n">
        <v>6</v>
      </c>
      <c r="N273" s="8" t="n">
        <v>27</v>
      </c>
      <c r="O273" s="8" t="n">
        <v>5</v>
      </c>
      <c r="P273" s="9" t="n">
        <v>9.20762870745275</v>
      </c>
      <c r="Q273" s="10" t="n">
        <v>0.10860559561775</v>
      </c>
      <c r="R273" s="9" t="n">
        <v>5.5</v>
      </c>
      <c r="S273" s="11" t="n">
        <f aca="false">IF(AND(ISNUMBER(R273),R273&gt;1,P273&gt;0),R273/P273-1,"")</f>
        <v>-0.402669224102375</v>
      </c>
      <c r="T273" s="9" t="n">
        <f aca="false">IF(AND(ISNUMBER(P273),P273&gt;0),P273*EXP('Read me'!$B$22),"")</f>
        <v>11.2462230993976</v>
      </c>
    </row>
    <row r="274" customFormat="false" ht="15" hidden="false" customHeight="false" outlineLevel="0" collapsed="false">
      <c r="A274" s="14" t="s">
        <v>196</v>
      </c>
      <c r="B274" s="14" t="s">
        <v>197</v>
      </c>
      <c r="C274" s="14" t="s">
        <v>198</v>
      </c>
      <c r="D274" s="14" t="s">
        <v>803</v>
      </c>
      <c r="E274" s="15" t="n">
        <v>5</v>
      </c>
      <c r="F274" s="14" t="s">
        <v>819</v>
      </c>
      <c r="G274" s="8" t="n">
        <v>9</v>
      </c>
      <c r="H274" s="14" t="s">
        <v>829</v>
      </c>
      <c r="I274" s="14" t="s">
        <v>830</v>
      </c>
      <c r="J274" s="14" t="s">
        <v>831</v>
      </c>
      <c r="K274" s="8" t="n">
        <v>3</v>
      </c>
      <c r="L274" s="8" t="n">
        <v>55</v>
      </c>
      <c r="M274" s="8" t="n">
        <v>6</v>
      </c>
      <c r="N274" s="8" t="n">
        <v>41</v>
      </c>
      <c r="O274" s="8" t="n">
        <v>6</v>
      </c>
      <c r="P274" s="9" t="n">
        <v>10.6552175245621</v>
      </c>
      <c r="Q274" s="10" t="n">
        <v>0.0938507353505298</v>
      </c>
      <c r="R274" s="9" t="n">
        <v>6</v>
      </c>
      <c r="S274" s="11" t="n">
        <f aca="false">IF(AND(ISNUMBER(R274),R274&gt;1,P274&gt;0),R274/P274-1,"")</f>
        <v>-0.436895587896821</v>
      </c>
      <c r="T274" s="9" t="n">
        <f aca="false">IF(AND(ISNUMBER(P274),P274&gt;0),P274*EXP('Read me'!$B$22),"")</f>
        <v>13.0143120732967</v>
      </c>
    </row>
    <row r="275" customFormat="false" ht="15" hidden="false" customHeight="false" outlineLevel="0" collapsed="false">
      <c r="A275" s="14" t="s">
        <v>196</v>
      </c>
      <c r="B275" s="14" t="s">
        <v>197</v>
      </c>
      <c r="C275" s="14" t="s">
        <v>198</v>
      </c>
      <c r="D275" s="14" t="s">
        <v>803</v>
      </c>
      <c r="E275" s="15" t="n">
        <v>5</v>
      </c>
      <c r="F275" s="14" t="s">
        <v>819</v>
      </c>
      <c r="G275" s="8" t="n">
        <v>9</v>
      </c>
      <c r="H275" s="14" t="s">
        <v>832</v>
      </c>
      <c r="I275" s="14" t="s">
        <v>833</v>
      </c>
      <c r="J275" s="14" t="s">
        <v>834</v>
      </c>
      <c r="K275" s="8" t="n">
        <v>6</v>
      </c>
      <c r="L275" s="8" t="n">
        <v>57</v>
      </c>
      <c r="M275" s="8" t="n">
        <v>6</v>
      </c>
      <c r="N275" s="8" t="n">
        <v>128</v>
      </c>
      <c r="O275" s="8" t="n">
        <v>7</v>
      </c>
      <c r="P275" s="9" t="n">
        <v>16.7538044266437</v>
      </c>
      <c r="Q275" s="10" t="n">
        <v>0.0596879356195474</v>
      </c>
      <c r="R275" s="9" t="n">
        <v>15</v>
      </c>
      <c r="S275" s="11" t="n">
        <f aca="false">IF(AND(ISNUMBER(R275),R275&gt;1,P275&gt;0),R275/P275-1,"")</f>
        <v>-0.104680965706788</v>
      </c>
      <c r="T275" s="9" t="n">
        <f aca="false">IF(AND(ISNUMBER(P275),P275&gt;0),P275*EXP('Read me'!$B$22),"")</f>
        <v>20.4631429363787</v>
      </c>
    </row>
    <row r="276" customFormat="false" ht="15" hidden="false" customHeight="false" outlineLevel="0" collapsed="false">
      <c r="A276" s="14" t="s">
        <v>196</v>
      </c>
      <c r="B276" s="14" t="s">
        <v>197</v>
      </c>
      <c r="C276" s="14" t="s">
        <v>198</v>
      </c>
      <c r="D276" s="14" t="s">
        <v>803</v>
      </c>
      <c r="E276" s="15" t="n">
        <v>5</v>
      </c>
      <c r="F276" s="14" t="s">
        <v>819</v>
      </c>
      <c r="G276" s="8" t="n">
        <v>9</v>
      </c>
      <c r="H276" s="14" t="s">
        <v>835</v>
      </c>
      <c r="I276" s="14" t="s">
        <v>337</v>
      </c>
      <c r="J276" s="14" t="s">
        <v>836</v>
      </c>
      <c r="K276" s="8" t="n">
        <v>2</v>
      </c>
      <c r="L276" s="8" t="n">
        <v>52</v>
      </c>
      <c r="M276" s="8" t="n">
        <v>3</v>
      </c>
      <c r="N276" s="8" t="n">
        <v>33</v>
      </c>
      <c r="O276" s="8" t="n">
        <v>8</v>
      </c>
      <c r="P276" s="9" t="n">
        <v>41.3964237994016</v>
      </c>
      <c r="Q276" s="10" t="n">
        <v>0.024156676065686</v>
      </c>
      <c r="R276" s="9" t="n">
        <v>41</v>
      </c>
      <c r="S276" s="11" t="n">
        <f aca="false">IF(AND(ISNUMBER(R276),R276&gt;1,P276&gt;0),R276/P276-1,"")</f>
        <v>-0.00957628130687382</v>
      </c>
      <c r="T276" s="9" t="n">
        <f aca="false">IF(AND(ISNUMBER(P276),P276&gt;0),P276*EXP('Read me'!$B$22),"")</f>
        <v>50.5617062065565</v>
      </c>
    </row>
    <row r="277" customFormat="false" ht="15" hidden="false" customHeight="false" outlineLevel="0" collapsed="false">
      <c r="A277" s="14" t="s">
        <v>196</v>
      </c>
      <c r="B277" s="14" t="s">
        <v>197</v>
      </c>
      <c r="C277" s="14" t="s">
        <v>198</v>
      </c>
      <c r="D277" s="14" t="s">
        <v>803</v>
      </c>
      <c r="E277" s="15" t="n">
        <v>5</v>
      </c>
      <c r="F277" s="14" t="s">
        <v>819</v>
      </c>
      <c r="G277" s="8" t="n">
        <v>9</v>
      </c>
      <c r="H277" s="14" t="s">
        <v>837</v>
      </c>
      <c r="I277" s="14" t="s">
        <v>838</v>
      </c>
      <c r="J277" s="14" t="s">
        <v>839</v>
      </c>
      <c r="K277" s="8" t="n">
        <v>4</v>
      </c>
      <c r="L277" s="8" t="n">
        <v>55</v>
      </c>
      <c r="M277" s="8" t="n">
        <v>7</v>
      </c>
      <c r="N277" s="8" t="n">
        <v>25</v>
      </c>
      <c r="O277" s="8" t="n">
        <v>9</v>
      </c>
      <c r="P277" s="9" t="n">
        <v>46.5494596851845</v>
      </c>
      <c r="Q277" s="10" t="n">
        <v>0.0214825264731971</v>
      </c>
      <c r="R277" s="9" t="n">
        <v>34</v>
      </c>
      <c r="S277" s="11" t="n">
        <f aca="false">IF(AND(ISNUMBER(R277),R277&gt;1,P277&gt;0),R277/P277-1,"")</f>
        <v>-0.269594099911297</v>
      </c>
      <c r="T277" s="9" t="n">
        <f aca="false">IF(AND(ISNUMBER(P277),P277&gt;0),P277*EXP('Read me'!$B$22),"")</f>
        <v>56.85563845035</v>
      </c>
    </row>
    <row r="278" customFormat="false" ht="15" hidden="false" customHeight="false" outlineLevel="0" collapsed="false">
      <c r="A278" s="14" t="s">
        <v>203</v>
      </c>
      <c r="B278" s="14" t="s">
        <v>42</v>
      </c>
      <c r="C278" s="14" t="s">
        <v>204</v>
      </c>
      <c r="D278" s="14" t="s">
        <v>366</v>
      </c>
      <c r="E278" s="15" t="n">
        <v>7</v>
      </c>
      <c r="F278" s="14" t="s">
        <v>367</v>
      </c>
      <c r="G278" s="8" t="n">
        <v>11</v>
      </c>
      <c r="H278" s="14" t="s">
        <v>205</v>
      </c>
      <c r="I278" s="14" t="s">
        <v>206</v>
      </c>
      <c r="J278" s="14" t="s">
        <v>207</v>
      </c>
      <c r="K278" s="8" t="n">
        <v>7</v>
      </c>
      <c r="L278" s="8" t="n">
        <v>0</v>
      </c>
      <c r="M278" s="8" t="n">
        <v>2</v>
      </c>
      <c r="N278" s="8" t="n">
        <v>65</v>
      </c>
      <c r="O278" s="8" t="n">
        <v>1</v>
      </c>
      <c r="P278" s="9" t="n">
        <v>4.71305867461102</v>
      </c>
      <c r="Q278" s="10" t="n">
        <v>0.212176437646945</v>
      </c>
      <c r="R278" s="9" t="n">
        <v>4</v>
      </c>
      <c r="S278" s="11" t="n">
        <f aca="false">IF(AND(ISNUMBER(R278),R278&gt;1,P278&gt;0),R278/P278-1,"")</f>
        <v>-0.151294249412219</v>
      </c>
      <c r="T278" s="9" t="n">
        <f aca="false">IF(AND(ISNUMBER(P278),P278&gt;0),P278*EXP('Read me'!$B$22),"")</f>
        <v>5.75654286454062</v>
      </c>
    </row>
    <row r="279" customFormat="false" ht="15" hidden="false" customHeight="false" outlineLevel="0" collapsed="false">
      <c r="A279" s="14" t="s">
        <v>203</v>
      </c>
      <c r="B279" s="14" t="s">
        <v>42</v>
      </c>
      <c r="C279" s="14" t="s">
        <v>204</v>
      </c>
      <c r="D279" s="14" t="s">
        <v>366</v>
      </c>
      <c r="E279" s="15" t="n">
        <v>7</v>
      </c>
      <c r="F279" s="14" t="s">
        <v>367</v>
      </c>
      <c r="G279" s="8" t="n">
        <v>11</v>
      </c>
      <c r="H279" s="14" t="s">
        <v>208</v>
      </c>
      <c r="I279" s="14" t="s">
        <v>165</v>
      </c>
      <c r="J279" s="14" t="s">
        <v>381</v>
      </c>
      <c r="K279" s="8" t="n">
        <v>4</v>
      </c>
      <c r="L279" s="8" t="n">
        <v>0</v>
      </c>
      <c r="M279" s="8" t="n">
        <v>2</v>
      </c>
      <c r="N279" s="8" t="n">
        <v>49</v>
      </c>
      <c r="O279" s="8" t="n">
        <v>2</v>
      </c>
      <c r="P279" s="9" t="n">
        <v>4.99392632525399</v>
      </c>
      <c r="Q279" s="10" t="n">
        <v>0.200243242464964</v>
      </c>
      <c r="R279" s="9" t="n">
        <v>17</v>
      </c>
      <c r="S279" s="11" t="n">
        <f aca="false">IF(AND(ISNUMBER(R279),R279&gt;1,P279&gt;0),R279/P279-1,"")</f>
        <v>2.40413512190438</v>
      </c>
      <c r="T279" s="9" t="n">
        <f aca="false">IF(AND(ISNUMBER(P279),P279&gt;0),P279*EXP('Read me'!$B$22),"")</f>
        <v>6.09959538771391</v>
      </c>
    </row>
    <row r="280" customFormat="false" ht="15" hidden="false" customHeight="false" outlineLevel="0" collapsed="false">
      <c r="A280" s="14" t="s">
        <v>203</v>
      </c>
      <c r="B280" s="14" t="s">
        <v>42</v>
      </c>
      <c r="C280" s="14" t="s">
        <v>204</v>
      </c>
      <c r="D280" s="14" t="s">
        <v>366</v>
      </c>
      <c r="E280" s="15" t="n">
        <v>7</v>
      </c>
      <c r="F280" s="14" t="s">
        <v>367</v>
      </c>
      <c r="G280" s="8" t="n">
        <v>11</v>
      </c>
      <c r="H280" s="14" t="s">
        <v>840</v>
      </c>
      <c r="I280" s="14" t="s">
        <v>369</v>
      </c>
      <c r="J280" s="14" t="s">
        <v>230</v>
      </c>
      <c r="K280" s="8" t="n">
        <v>10</v>
      </c>
      <c r="L280" s="8" t="n">
        <v>0</v>
      </c>
      <c r="M280" s="8" t="n">
        <v>2</v>
      </c>
      <c r="N280" s="8" t="n">
        <v>21</v>
      </c>
      <c r="O280" s="8" t="n">
        <v>3</v>
      </c>
      <c r="P280" s="9" t="n">
        <v>7.50016012215481</v>
      </c>
      <c r="Q280" s="10" t="n">
        <v>0.133330486778021</v>
      </c>
      <c r="R280" s="9" t="n">
        <v>4.33333333333333</v>
      </c>
      <c r="S280" s="11" t="n">
        <f aca="false">IF(AND(ISNUMBER(R280),R280&gt;1,P280&gt;0),R280/P280-1,"")</f>
        <v>-0.422234557295244</v>
      </c>
      <c r="T280" s="9" t="n">
        <f aca="false">IF(AND(ISNUMBER(P280),P280&gt;0),P280*EXP('Read me'!$B$22),"")</f>
        <v>9.1607162598428</v>
      </c>
    </row>
    <row r="281" customFormat="false" ht="15" hidden="false" customHeight="false" outlineLevel="0" collapsed="false">
      <c r="A281" s="14" t="s">
        <v>203</v>
      </c>
      <c r="B281" s="14" t="s">
        <v>42</v>
      </c>
      <c r="C281" s="14" t="s">
        <v>204</v>
      </c>
      <c r="D281" s="14" t="s">
        <v>366</v>
      </c>
      <c r="E281" s="15" t="n">
        <v>7</v>
      </c>
      <c r="F281" s="14" t="s">
        <v>367</v>
      </c>
      <c r="G281" s="8" t="n">
        <v>11</v>
      </c>
      <c r="H281" s="14" t="s">
        <v>841</v>
      </c>
      <c r="I281" s="14" t="s">
        <v>462</v>
      </c>
      <c r="J281" s="14" t="s">
        <v>114</v>
      </c>
      <c r="K281" s="8" t="n">
        <v>11</v>
      </c>
      <c r="L281" s="8" t="n">
        <v>0</v>
      </c>
      <c r="M281" s="8" t="n">
        <v>2</v>
      </c>
      <c r="N281" s="8"/>
      <c r="O281" s="8" t="n">
        <v>4</v>
      </c>
      <c r="P281" s="9" t="n">
        <v>7.97308994660716</v>
      </c>
      <c r="Q281" s="10" t="n">
        <v>0.125421888715245</v>
      </c>
      <c r="R281" s="9" t="n">
        <v>9.5</v>
      </c>
      <c r="S281" s="11" t="n">
        <f aca="false">IF(AND(ISNUMBER(R281),R281&gt;1,P281&gt;0),R281/P281-1,"")</f>
        <v>0.191507942794825</v>
      </c>
      <c r="T281" s="9" t="n">
        <f aca="false">IF(AND(ISNUMBER(P281),P281&gt;0),P281*EXP('Read me'!$B$22),"")</f>
        <v>9.73835405184511</v>
      </c>
    </row>
    <row r="282" customFormat="false" ht="15" hidden="false" customHeight="false" outlineLevel="0" collapsed="false">
      <c r="A282" s="14" t="s">
        <v>203</v>
      </c>
      <c r="B282" s="14" t="s">
        <v>42</v>
      </c>
      <c r="C282" s="14" t="s">
        <v>204</v>
      </c>
      <c r="D282" s="14" t="s">
        <v>366</v>
      </c>
      <c r="E282" s="15" t="n">
        <v>7</v>
      </c>
      <c r="F282" s="14" t="s">
        <v>367</v>
      </c>
      <c r="G282" s="8" t="n">
        <v>11</v>
      </c>
      <c r="H282" s="14" t="s">
        <v>842</v>
      </c>
      <c r="I282" s="14" t="s">
        <v>705</v>
      </c>
      <c r="J282" s="14" t="s">
        <v>114</v>
      </c>
      <c r="K282" s="8" t="n">
        <v>8</v>
      </c>
      <c r="L282" s="8" t="n">
        <v>0</v>
      </c>
      <c r="M282" s="8" t="n">
        <v>2</v>
      </c>
      <c r="N282" s="8"/>
      <c r="O282" s="8" t="n">
        <v>5</v>
      </c>
      <c r="P282" s="9" t="n">
        <v>9.87410067840718</v>
      </c>
      <c r="Q282" s="10" t="n">
        <v>0.10127504595804</v>
      </c>
      <c r="R282" s="9" t="n">
        <v>8</v>
      </c>
      <c r="S282" s="11" t="n">
        <f aca="false">IF(AND(ISNUMBER(R282),R282&gt;1,P282&gt;0),R282/P282-1,"")</f>
        <v>-0.189799632335681</v>
      </c>
      <c r="T282" s="9" t="n">
        <f aca="false">IF(AND(ISNUMBER(P282),P282&gt;0),P282*EXP('Read me'!$B$22),"")</f>
        <v>12.0602538029577</v>
      </c>
    </row>
    <row r="283" customFormat="false" ht="15" hidden="false" customHeight="false" outlineLevel="0" collapsed="false">
      <c r="A283" s="14" t="s">
        <v>203</v>
      </c>
      <c r="B283" s="14" t="s">
        <v>42</v>
      </c>
      <c r="C283" s="14" t="s">
        <v>204</v>
      </c>
      <c r="D283" s="14" t="s">
        <v>366</v>
      </c>
      <c r="E283" s="15" t="n">
        <v>7</v>
      </c>
      <c r="F283" s="14" t="s">
        <v>367</v>
      </c>
      <c r="G283" s="8" t="n">
        <v>11</v>
      </c>
      <c r="H283" s="14" t="s">
        <v>843</v>
      </c>
      <c r="I283" s="14" t="s">
        <v>45</v>
      </c>
      <c r="J283" s="14" t="s">
        <v>46</v>
      </c>
      <c r="K283" s="8" t="n">
        <v>5</v>
      </c>
      <c r="L283" s="8" t="n">
        <v>0</v>
      </c>
      <c r="M283" s="8" t="n">
        <v>2</v>
      </c>
      <c r="N283" s="8"/>
      <c r="O283" s="8" t="n">
        <v>6</v>
      </c>
      <c r="P283" s="9" t="n">
        <v>14.7160092462856</v>
      </c>
      <c r="Q283" s="10" t="n">
        <v>0.0679532054692343</v>
      </c>
      <c r="R283" s="9" t="n">
        <v>6</v>
      </c>
      <c r="S283" s="11" t="n">
        <f aca="false">IF(AND(ISNUMBER(R283),R283&gt;1,P283&gt;0),R283/P283-1,"")</f>
        <v>-0.592280767184594</v>
      </c>
      <c r="T283" s="9" t="n">
        <f aca="false">IF(AND(ISNUMBER(P283),P283&gt;0),P283*EXP('Read me'!$B$22),"")</f>
        <v>17.9741742825238</v>
      </c>
    </row>
    <row r="284" customFormat="false" ht="15" hidden="false" customHeight="false" outlineLevel="0" collapsed="false">
      <c r="A284" s="14" t="s">
        <v>203</v>
      </c>
      <c r="B284" s="14" t="s">
        <v>42</v>
      </c>
      <c r="C284" s="14" t="s">
        <v>204</v>
      </c>
      <c r="D284" s="14" t="s">
        <v>366</v>
      </c>
      <c r="E284" s="15" t="n">
        <v>7</v>
      </c>
      <c r="F284" s="14" t="s">
        <v>367</v>
      </c>
      <c r="G284" s="8" t="n">
        <v>11</v>
      </c>
      <c r="H284" s="14" t="s">
        <v>844</v>
      </c>
      <c r="I284" s="14" t="s">
        <v>717</v>
      </c>
      <c r="J284" s="14" t="s">
        <v>845</v>
      </c>
      <c r="K284" s="8" t="n">
        <v>3</v>
      </c>
      <c r="L284" s="8" t="n">
        <v>0</v>
      </c>
      <c r="M284" s="8" t="n">
        <v>2</v>
      </c>
      <c r="N284" s="8"/>
      <c r="O284" s="8" t="n">
        <v>7</v>
      </c>
      <c r="P284" s="9" t="n">
        <v>22.077978476931</v>
      </c>
      <c r="Q284" s="10" t="n">
        <v>0.0452940019415674</v>
      </c>
      <c r="R284" s="9" t="n">
        <v>10</v>
      </c>
      <c r="S284" s="11" t="n">
        <f aca="false">IF(AND(ISNUMBER(R284),R284&gt;1,P284&gt;0),R284/P284-1,"")</f>
        <v>-0.547059980584325</v>
      </c>
      <c r="T284" s="9" t="n">
        <f aca="false">IF(AND(ISNUMBER(P284),P284&gt;0),P284*EXP('Read me'!$B$22),"")</f>
        <v>26.9661038063244</v>
      </c>
    </row>
    <row r="285" customFormat="false" ht="15" hidden="false" customHeight="false" outlineLevel="0" collapsed="false">
      <c r="A285" s="14" t="s">
        <v>203</v>
      </c>
      <c r="B285" s="14" t="s">
        <v>42</v>
      </c>
      <c r="C285" s="14" t="s">
        <v>204</v>
      </c>
      <c r="D285" s="14" t="s">
        <v>366</v>
      </c>
      <c r="E285" s="15" t="n">
        <v>7</v>
      </c>
      <c r="F285" s="14" t="s">
        <v>367</v>
      </c>
      <c r="G285" s="8" t="n">
        <v>11</v>
      </c>
      <c r="H285" s="14" t="s">
        <v>846</v>
      </c>
      <c r="I285" s="14" t="s">
        <v>383</v>
      </c>
      <c r="J285" s="14" t="s">
        <v>847</v>
      </c>
      <c r="K285" s="8" t="n">
        <v>9</v>
      </c>
      <c r="L285" s="8" t="n">
        <v>0</v>
      </c>
      <c r="M285" s="8" t="n">
        <v>2</v>
      </c>
      <c r="N285" s="8" t="n">
        <v>45</v>
      </c>
      <c r="O285" s="8" t="n">
        <v>8</v>
      </c>
      <c r="P285" s="9" t="n">
        <v>23.4707913311246</v>
      </c>
      <c r="Q285" s="10" t="n">
        <v>0.0426061476109627</v>
      </c>
      <c r="R285" s="9" t="n">
        <v>23</v>
      </c>
      <c r="S285" s="11" t="n">
        <f aca="false">IF(AND(ISNUMBER(R285),R285&gt;1,P285&gt;0),R285/P285-1,"")</f>
        <v>-0.0200586049478559</v>
      </c>
      <c r="T285" s="9" t="n">
        <f aca="false">IF(AND(ISNUMBER(P285),P285&gt;0),P285*EXP('Read me'!$B$22),"")</f>
        <v>28.6672892680374</v>
      </c>
    </row>
    <row r="286" customFormat="false" ht="15" hidden="false" customHeight="false" outlineLevel="0" collapsed="false">
      <c r="A286" s="14" t="s">
        <v>203</v>
      </c>
      <c r="B286" s="14" t="s">
        <v>42</v>
      </c>
      <c r="C286" s="14" t="s">
        <v>204</v>
      </c>
      <c r="D286" s="14" t="s">
        <v>366</v>
      </c>
      <c r="E286" s="15" t="n">
        <v>7</v>
      </c>
      <c r="F286" s="14" t="s">
        <v>367</v>
      </c>
      <c r="G286" s="8" t="n">
        <v>11</v>
      </c>
      <c r="H286" s="14" t="s">
        <v>848</v>
      </c>
      <c r="I286" s="14" t="s">
        <v>378</v>
      </c>
      <c r="J286" s="14" t="s">
        <v>381</v>
      </c>
      <c r="K286" s="8" t="n">
        <v>2</v>
      </c>
      <c r="L286" s="8" t="n">
        <v>0</v>
      </c>
      <c r="M286" s="8" t="n">
        <v>2</v>
      </c>
      <c r="N286" s="8" t="n">
        <v>12</v>
      </c>
      <c r="O286" s="8" t="n">
        <v>9</v>
      </c>
      <c r="P286" s="9" t="n">
        <v>25.7341750417935</v>
      </c>
      <c r="Q286" s="10" t="n">
        <v>0.0388588325981289</v>
      </c>
      <c r="R286" s="9" t="n">
        <v>41</v>
      </c>
      <c r="S286" s="11" t="n">
        <f aca="false">IF(AND(ISNUMBER(R286),R286&gt;1,P286&gt;0),R286/P286-1,"")</f>
        <v>0.593212136523287</v>
      </c>
      <c r="T286" s="9" t="n">
        <f aca="false">IF(AND(ISNUMBER(P286),P286&gt;0),P286*EXP('Read me'!$B$22),"")</f>
        <v>31.4317923750231</v>
      </c>
    </row>
    <row r="287" customFormat="false" ht="15" hidden="false" customHeight="false" outlineLevel="0" collapsed="false">
      <c r="A287" s="14" t="s">
        <v>203</v>
      </c>
      <c r="B287" s="14" t="s">
        <v>42</v>
      </c>
      <c r="C287" s="14" t="s">
        <v>204</v>
      </c>
      <c r="D287" s="14" t="s">
        <v>366</v>
      </c>
      <c r="E287" s="15" t="n">
        <v>7</v>
      </c>
      <c r="F287" s="14" t="s">
        <v>367</v>
      </c>
      <c r="G287" s="8" t="n">
        <v>11</v>
      </c>
      <c r="H287" s="14" t="s">
        <v>849</v>
      </c>
      <c r="I287" s="14" t="s">
        <v>725</v>
      </c>
      <c r="J287" s="14" t="s">
        <v>188</v>
      </c>
      <c r="K287" s="8" t="n">
        <v>6</v>
      </c>
      <c r="L287" s="8" t="n">
        <v>0</v>
      </c>
      <c r="M287" s="8" t="n">
        <v>2</v>
      </c>
      <c r="N287" s="8"/>
      <c r="O287" s="8" t="n">
        <v>10</v>
      </c>
      <c r="P287" s="9" t="n">
        <v>40.7071712090676</v>
      </c>
      <c r="Q287" s="10" t="n">
        <v>0.0245656961733869</v>
      </c>
      <c r="R287" s="9" t="n">
        <v>12</v>
      </c>
      <c r="S287" s="11" t="n">
        <f aca="false">IF(AND(ISNUMBER(R287),R287&gt;1,P287&gt;0),R287/P287-1,"")</f>
        <v>-0.705211645919356</v>
      </c>
      <c r="T287" s="9" t="n">
        <f aca="false">IF(AND(ISNUMBER(P287),P287&gt;0),P287*EXP('Read me'!$B$22),"")</f>
        <v>49.7198511916534</v>
      </c>
    </row>
    <row r="288" customFormat="false" ht="15" hidden="false" customHeight="false" outlineLevel="0" collapsed="false">
      <c r="A288" s="14" t="s">
        <v>203</v>
      </c>
      <c r="B288" s="14" t="s">
        <v>42</v>
      </c>
      <c r="C288" s="14" t="s">
        <v>204</v>
      </c>
      <c r="D288" s="14" t="s">
        <v>366</v>
      </c>
      <c r="E288" s="15" t="n">
        <v>7</v>
      </c>
      <c r="F288" s="14" t="s">
        <v>367</v>
      </c>
      <c r="G288" s="8" t="n">
        <v>11</v>
      </c>
      <c r="H288" s="14" t="s">
        <v>850</v>
      </c>
      <c r="I288" s="14" t="s">
        <v>732</v>
      </c>
      <c r="J288" s="14" t="s">
        <v>733</v>
      </c>
      <c r="K288" s="8" t="n">
        <v>1</v>
      </c>
      <c r="L288" s="8" t="n">
        <v>0</v>
      </c>
      <c r="M288" s="8" t="n">
        <v>2</v>
      </c>
      <c r="N288" s="8" t="n">
        <v>23</v>
      </c>
      <c r="O288" s="8" t="n">
        <v>11</v>
      </c>
      <c r="P288" s="9" t="n">
        <v>120.845707600631</v>
      </c>
      <c r="Q288" s="10" t="n">
        <v>0.0082750146435054</v>
      </c>
      <c r="R288" s="9" t="n">
        <v>51</v>
      </c>
      <c r="S288" s="11" t="n">
        <f aca="false">IF(AND(ISNUMBER(R288),R288&gt;1,P288&gt;0),R288/P288-1,"")</f>
        <v>-0.577974253181222</v>
      </c>
      <c r="T288" s="9" t="n">
        <f aca="false">IF(AND(ISNUMBER(P288),P288&gt;0),P288*EXP('Read me'!$B$22),"")</f>
        <v>147.601280575228</v>
      </c>
    </row>
    <row r="289" customFormat="false" ht="15" hidden="false" customHeight="false" outlineLevel="0" collapsed="false">
      <c r="A289" s="14" t="s">
        <v>209</v>
      </c>
      <c r="B289" s="14" t="s">
        <v>49</v>
      </c>
      <c r="C289" s="14" t="s">
        <v>210</v>
      </c>
      <c r="D289" s="14"/>
      <c r="E289" s="15" t="n">
        <v>7</v>
      </c>
      <c r="F289" s="14" t="s">
        <v>388</v>
      </c>
      <c r="G289" s="8" t="n">
        <v>19</v>
      </c>
      <c r="H289" s="14" t="s">
        <v>211</v>
      </c>
      <c r="I289" s="14" t="s">
        <v>212</v>
      </c>
      <c r="J289" s="14" t="s">
        <v>213</v>
      </c>
      <c r="K289" s="8" t="n">
        <v>18</v>
      </c>
      <c r="L289" s="8" t="n">
        <v>104</v>
      </c>
      <c r="M289" s="8" t="n">
        <v>2</v>
      </c>
      <c r="N289" s="8" t="n">
        <v>13</v>
      </c>
      <c r="O289" s="8" t="n">
        <v>1</v>
      </c>
      <c r="P289" s="9" t="n">
        <v>4.71070076423076</v>
      </c>
      <c r="Q289" s="10" t="n">
        <v>0.212282641171604</v>
      </c>
      <c r="R289" s="9" t="n">
        <v>3.75</v>
      </c>
      <c r="S289" s="11" t="n">
        <f aca="false">IF(AND(ISNUMBER(R289),R289&gt;1,P289&gt;0),R289/P289-1,"")</f>
        <v>-0.203940095606484</v>
      </c>
      <c r="T289" s="9" t="n">
        <f aca="false">IF(AND(ISNUMBER(P289),P289&gt;0),P289*EXP('Read me'!$B$22),"")</f>
        <v>5.75366290629867</v>
      </c>
    </row>
    <row r="290" customFormat="false" ht="15" hidden="false" customHeight="false" outlineLevel="0" collapsed="false">
      <c r="A290" s="14" t="s">
        <v>209</v>
      </c>
      <c r="B290" s="14" t="s">
        <v>49</v>
      </c>
      <c r="C290" s="14" t="s">
        <v>210</v>
      </c>
      <c r="D290" s="14"/>
      <c r="E290" s="15" t="n">
        <v>7</v>
      </c>
      <c r="F290" s="14" t="s">
        <v>388</v>
      </c>
      <c r="G290" s="8" t="n">
        <v>19</v>
      </c>
      <c r="H290" s="14" t="s">
        <v>214</v>
      </c>
      <c r="I290" s="14" t="s">
        <v>415</v>
      </c>
      <c r="J290" s="14" t="s">
        <v>53</v>
      </c>
      <c r="K290" s="8" t="n">
        <v>6</v>
      </c>
      <c r="L290" s="8" t="n">
        <v>103</v>
      </c>
      <c r="M290" s="8" t="n">
        <v>2</v>
      </c>
      <c r="N290" s="8" t="n">
        <v>14</v>
      </c>
      <c r="O290" s="8" t="n">
        <v>2</v>
      </c>
      <c r="P290" s="9" t="n">
        <v>7.79278267838183</v>
      </c>
      <c r="Q290" s="10" t="n">
        <v>0.128323865975902</v>
      </c>
      <c r="R290" s="9" t="n">
        <v>5.5</v>
      </c>
      <c r="S290" s="11" t="n">
        <f aca="false">IF(AND(ISNUMBER(R290),R290&gt;1,P290&gt;0),R290/P290-1,"")</f>
        <v>-0.294218737132539</v>
      </c>
      <c r="T290" s="9" t="n">
        <f aca="false">IF(AND(ISNUMBER(P290),P290&gt;0),P290*EXP('Read me'!$B$22),"")</f>
        <v>9.51812625711836</v>
      </c>
    </row>
    <row r="291" customFormat="false" ht="15" hidden="false" customHeight="false" outlineLevel="0" collapsed="false">
      <c r="A291" s="14" t="s">
        <v>209</v>
      </c>
      <c r="B291" s="14" t="s">
        <v>49</v>
      </c>
      <c r="C291" s="14" t="s">
        <v>210</v>
      </c>
      <c r="D291" s="14"/>
      <c r="E291" s="15" t="n">
        <v>7</v>
      </c>
      <c r="F291" s="14" t="s">
        <v>388</v>
      </c>
      <c r="G291" s="8" t="n">
        <v>19</v>
      </c>
      <c r="H291" s="14" t="s">
        <v>851</v>
      </c>
      <c r="I291" s="14" t="s">
        <v>852</v>
      </c>
      <c r="J291" s="14" t="s">
        <v>501</v>
      </c>
      <c r="K291" s="8" t="n">
        <v>9</v>
      </c>
      <c r="L291" s="8" t="n">
        <v>95</v>
      </c>
      <c r="M291" s="8" t="n">
        <v>2</v>
      </c>
      <c r="N291" s="8" t="n">
        <v>16</v>
      </c>
      <c r="O291" s="8" t="n">
        <v>3</v>
      </c>
      <c r="P291" s="9" t="n">
        <v>9.99993829625168</v>
      </c>
      <c r="Q291" s="10" t="n">
        <v>0.100000617041291</v>
      </c>
      <c r="R291" s="9" t="n">
        <v>12</v>
      </c>
      <c r="S291" s="11" t="n">
        <f aca="false">IF(AND(ISNUMBER(R291),R291&gt;1,P291&gt;0),R291/P291-1,"")</f>
        <v>0.200007404495487</v>
      </c>
      <c r="T291" s="9" t="n">
        <f aca="false">IF(AND(ISNUMBER(P291),P291&gt;0),P291*EXP('Read me'!$B$22),"")</f>
        <v>12.2139522164733</v>
      </c>
    </row>
    <row r="292" customFormat="false" ht="15" hidden="false" customHeight="false" outlineLevel="0" collapsed="false">
      <c r="A292" s="14" t="s">
        <v>209</v>
      </c>
      <c r="B292" s="14" t="s">
        <v>49</v>
      </c>
      <c r="C292" s="14" t="s">
        <v>210</v>
      </c>
      <c r="D292" s="14"/>
      <c r="E292" s="15" t="n">
        <v>7</v>
      </c>
      <c r="F292" s="14" t="s">
        <v>388</v>
      </c>
      <c r="G292" s="8" t="n">
        <v>19</v>
      </c>
      <c r="H292" s="14" t="s">
        <v>853</v>
      </c>
      <c r="I292" s="14" t="s">
        <v>171</v>
      </c>
      <c r="J292" s="14" t="s">
        <v>389</v>
      </c>
      <c r="K292" s="8" t="n">
        <v>3</v>
      </c>
      <c r="L292" s="8" t="n">
        <v>0</v>
      </c>
      <c r="M292" s="8" t="n">
        <v>2</v>
      </c>
      <c r="N292" s="8"/>
      <c r="O292" s="8" t="n">
        <v>4</v>
      </c>
      <c r="P292" s="9" t="n">
        <v>11.9802793723608</v>
      </c>
      <c r="Q292" s="10" t="n">
        <v>0.0834705075665482</v>
      </c>
      <c r="R292" s="9" t="n">
        <v>19</v>
      </c>
      <c r="S292" s="11" t="n">
        <f aca="false">IF(AND(ISNUMBER(R292),R292&gt;1,P292&gt;0),R292/P292-1,"")</f>
        <v>0.585939643764416</v>
      </c>
      <c r="T292" s="9" t="n">
        <f aca="false">IF(AND(ISNUMBER(P292),P292&gt;0),P292*EXP('Read me'!$B$22),"")</f>
        <v>14.6327462689308</v>
      </c>
    </row>
    <row r="293" customFormat="false" ht="15" hidden="false" customHeight="false" outlineLevel="0" collapsed="false">
      <c r="A293" s="14" t="s">
        <v>209</v>
      </c>
      <c r="B293" s="14" t="s">
        <v>49</v>
      </c>
      <c r="C293" s="14" t="s">
        <v>210</v>
      </c>
      <c r="D293" s="14"/>
      <c r="E293" s="15" t="n">
        <v>7</v>
      </c>
      <c r="F293" s="14" t="s">
        <v>388</v>
      </c>
      <c r="G293" s="8" t="n">
        <v>19</v>
      </c>
      <c r="H293" s="14" t="s">
        <v>854</v>
      </c>
      <c r="I293" s="14" t="s">
        <v>394</v>
      </c>
      <c r="J293" s="14" t="s">
        <v>582</v>
      </c>
      <c r="K293" s="8" t="n">
        <v>13</v>
      </c>
      <c r="L293" s="8" t="n">
        <v>93</v>
      </c>
      <c r="M293" s="8" t="n">
        <v>2</v>
      </c>
      <c r="N293" s="8" t="n">
        <v>27</v>
      </c>
      <c r="O293" s="8" t="n">
        <v>5</v>
      </c>
      <c r="P293" s="9" t="n">
        <v>12.4613877397414</v>
      </c>
      <c r="Q293" s="10" t="n">
        <v>0.0802478841751179</v>
      </c>
      <c r="R293" s="9" t="n">
        <v>9</v>
      </c>
      <c r="S293" s="11" t="n">
        <f aca="false">IF(AND(ISNUMBER(R293),R293&gt;1,P293&gt;0),R293/P293-1,"")</f>
        <v>-0.277769042423938</v>
      </c>
      <c r="T293" s="9" t="n">
        <f aca="false">IF(AND(ISNUMBER(P293),P293&gt;0),P293*EXP('Read me'!$B$22),"")</f>
        <v>15.2203733558234</v>
      </c>
    </row>
    <row r="294" customFormat="false" ht="15" hidden="false" customHeight="false" outlineLevel="0" collapsed="false">
      <c r="A294" s="14" t="s">
        <v>209</v>
      </c>
      <c r="B294" s="14" t="s">
        <v>49</v>
      </c>
      <c r="C294" s="14" t="s">
        <v>210</v>
      </c>
      <c r="D294" s="14"/>
      <c r="E294" s="15" t="n">
        <v>7</v>
      </c>
      <c r="F294" s="14" t="s">
        <v>388</v>
      </c>
      <c r="G294" s="8" t="n">
        <v>19</v>
      </c>
      <c r="H294" s="14" t="s">
        <v>855</v>
      </c>
      <c r="I294" s="14" t="s">
        <v>52</v>
      </c>
      <c r="J294" s="14" t="s">
        <v>53</v>
      </c>
      <c r="K294" s="8" t="n">
        <v>20</v>
      </c>
      <c r="L294" s="8" t="n">
        <v>102</v>
      </c>
      <c r="M294" s="8" t="n">
        <v>2</v>
      </c>
      <c r="N294" s="8" t="n">
        <v>48</v>
      </c>
      <c r="O294" s="8" t="n">
        <v>6</v>
      </c>
      <c r="P294" s="9" t="n">
        <v>14.6339308649034</v>
      </c>
      <c r="Q294" s="10" t="n">
        <v>0.0683343395039746</v>
      </c>
      <c r="R294" s="9" t="n">
        <v>9.5</v>
      </c>
      <c r="S294" s="11" t="n">
        <f aca="false">IF(AND(ISNUMBER(R294),R294&gt;1,P294&gt;0),R294/P294-1,"")</f>
        <v>-0.350823774712241</v>
      </c>
      <c r="T294" s="9" t="n">
        <f aca="false">IF(AND(ISNUMBER(P294),P294&gt;0),P294*EXP('Read me'!$B$22),"")</f>
        <v>17.8739235211182</v>
      </c>
    </row>
    <row r="295" customFormat="false" ht="15" hidden="false" customHeight="false" outlineLevel="0" collapsed="false">
      <c r="A295" s="14" t="s">
        <v>209</v>
      </c>
      <c r="B295" s="14" t="s">
        <v>49</v>
      </c>
      <c r="C295" s="14" t="s">
        <v>210</v>
      </c>
      <c r="D295" s="14"/>
      <c r="E295" s="15" t="n">
        <v>7</v>
      </c>
      <c r="F295" s="14" t="s">
        <v>388</v>
      </c>
      <c r="G295" s="8" t="n">
        <v>19</v>
      </c>
      <c r="H295" s="14" t="s">
        <v>856</v>
      </c>
      <c r="I295" s="14" t="s">
        <v>144</v>
      </c>
      <c r="J295" s="14" t="s">
        <v>73</v>
      </c>
      <c r="K295" s="8" t="n">
        <v>10</v>
      </c>
      <c r="L295" s="8" t="n">
        <v>110</v>
      </c>
      <c r="M295" s="8" t="n">
        <v>2</v>
      </c>
      <c r="N295" s="8" t="n">
        <v>15</v>
      </c>
      <c r="O295" s="8" t="n">
        <v>7</v>
      </c>
      <c r="P295" s="9" t="n">
        <v>20.6719166691575</v>
      </c>
      <c r="Q295" s="10" t="n">
        <v>0.0483748080066518</v>
      </c>
      <c r="R295" s="9" t="n">
        <v>8.5</v>
      </c>
      <c r="S295" s="11" t="n">
        <f aca="false">IF(AND(ISNUMBER(R295),R295&gt;1,P295&gt;0),R295/P295-1,"")</f>
        <v>-0.588814131943459</v>
      </c>
      <c r="T295" s="9" t="n">
        <f aca="false">IF(AND(ISNUMBER(P295),P295&gt;0),P295*EXP('Read me'!$B$22),"")</f>
        <v>25.2487360361662</v>
      </c>
    </row>
    <row r="296" customFormat="false" ht="15" hidden="false" customHeight="false" outlineLevel="0" collapsed="false">
      <c r="A296" s="14" t="s">
        <v>209</v>
      </c>
      <c r="B296" s="14" t="s">
        <v>49</v>
      </c>
      <c r="C296" s="14" t="s">
        <v>210</v>
      </c>
      <c r="D296" s="14"/>
      <c r="E296" s="15" t="n">
        <v>7</v>
      </c>
      <c r="F296" s="14" t="s">
        <v>388</v>
      </c>
      <c r="G296" s="8" t="n">
        <v>19</v>
      </c>
      <c r="H296" s="14" t="s">
        <v>857</v>
      </c>
      <c r="I296" s="14" t="s">
        <v>391</v>
      </c>
      <c r="J296" s="14" t="s">
        <v>392</v>
      </c>
      <c r="K296" s="8" t="n">
        <v>12</v>
      </c>
      <c r="L296" s="8" t="n">
        <v>100</v>
      </c>
      <c r="M296" s="8" t="n">
        <v>2</v>
      </c>
      <c r="N296" s="8" t="n">
        <v>13</v>
      </c>
      <c r="O296" s="8" t="n">
        <v>8</v>
      </c>
      <c r="P296" s="9" t="n">
        <v>26.3415475563974</v>
      </c>
      <c r="Q296" s="10" t="n">
        <v>0.0379628416993722</v>
      </c>
      <c r="R296" s="9" t="n">
        <v>12</v>
      </c>
      <c r="S296" s="11" t="n">
        <f aca="false">IF(AND(ISNUMBER(R296),R296&gt;1,P296&gt;0),R296/P296-1,"")</f>
        <v>-0.544445899607534</v>
      </c>
      <c r="T296" s="9" t="n">
        <f aca="false">IF(AND(ISNUMBER(P296),P296&gt;0),P296*EXP('Read me'!$B$22),"")</f>
        <v>32.1736388395911</v>
      </c>
    </row>
    <row r="297" customFormat="false" ht="15" hidden="false" customHeight="false" outlineLevel="0" collapsed="false">
      <c r="A297" s="14" t="s">
        <v>209</v>
      </c>
      <c r="B297" s="14" t="s">
        <v>49</v>
      </c>
      <c r="C297" s="14" t="s">
        <v>210</v>
      </c>
      <c r="D297" s="14"/>
      <c r="E297" s="15" t="n">
        <v>7</v>
      </c>
      <c r="F297" s="14" t="s">
        <v>388</v>
      </c>
      <c r="G297" s="8" t="n">
        <v>19</v>
      </c>
      <c r="H297" s="14" t="s">
        <v>858</v>
      </c>
      <c r="I297" s="14" t="s">
        <v>859</v>
      </c>
      <c r="J297" s="14" t="s">
        <v>73</v>
      </c>
      <c r="K297" s="8" t="n">
        <v>17</v>
      </c>
      <c r="L297" s="8" t="n">
        <v>0</v>
      </c>
      <c r="M297" s="8" t="n">
        <v>2</v>
      </c>
      <c r="N297" s="8" t="n">
        <v>41</v>
      </c>
      <c r="O297" s="8" t="n">
        <v>9</v>
      </c>
      <c r="P297" s="9" t="n">
        <v>27.4985245433781</v>
      </c>
      <c r="Q297" s="10" t="n">
        <v>0.0363655874853405</v>
      </c>
      <c r="R297" s="9" t="n">
        <v>26</v>
      </c>
      <c r="S297" s="11" t="n">
        <f aca="false">IF(AND(ISNUMBER(R297),R297&gt;1,P297&gt;0),R297/P297-1,"")</f>
        <v>-0.0544947253811445</v>
      </c>
      <c r="T297" s="9" t="n">
        <f aca="false">IF(AND(ISNUMBER(P297),P297&gt;0),P297*EXP('Read me'!$B$22),"")</f>
        <v>33.5867737226171</v>
      </c>
    </row>
    <row r="298" customFormat="false" ht="15" hidden="false" customHeight="false" outlineLevel="0" collapsed="false">
      <c r="A298" s="14" t="s">
        <v>209</v>
      </c>
      <c r="B298" s="14" t="s">
        <v>49</v>
      </c>
      <c r="C298" s="14" t="s">
        <v>210</v>
      </c>
      <c r="D298" s="14"/>
      <c r="E298" s="15" t="n">
        <v>7</v>
      </c>
      <c r="F298" s="14" t="s">
        <v>388</v>
      </c>
      <c r="G298" s="8" t="n">
        <v>19</v>
      </c>
      <c r="H298" s="14" t="s">
        <v>860</v>
      </c>
      <c r="I298" s="14" t="s">
        <v>861</v>
      </c>
      <c r="J298" s="14" t="s">
        <v>46</v>
      </c>
      <c r="K298" s="8" t="n">
        <v>5</v>
      </c>
      <c r="L298" s="8" t="n">
        <v>89</v>
      </c>
      <c r="M298" s="8" t="n">
        <v>2</v>
      </c>
      <c r="N298" s="8" t="n">
        <v>23</v>
      </c>
      <c r="O298" s="8" t="n">
        <v>10</v>
      </c>
      <c r="P298" s="9" t="n">
        <v>29.067045075923</v>
      </c>
      <c r="Q298" s="10" t="n">
        <v>0.0344032218406791</v>
      </c>
      <c r="R298" s="9" t="n">
        <v>34</v>
      </c>
      <c r="S298" s="11" t="n">
        <f aca="false">IF(AND(ISNUMBER(R298),R298&gt;1,P298&gt;0),R298/P298-1,"")</f>
        <v>0.169709542583092</v>
      </c>
      <c r="T298" s="9" t="n">
        <f aca="false">IF(AND(ISNUMBER(P298),P298&gt;0),P298*EXP('Read me'!$B$22),"")</f>
        <v>35.5025690272983</v>
      </c>
    </row>
    <row r="299" customFormat="false" ht="15" hidden="false" customHeight="false" outlineLevel="0" collapsed="false">
      <c r="A299" s="14" t="s">
        <v>209</v>
      </c>
      <c r="B299" s="14" t="s">
        <v>49</v>
      </c>
      <c r="C299" s="14" t="s">
        <v>210</v>
      </c>
      <c r="D299" s="14"/>
      <c r="E299" s="15" t="n">
        <v>7</v>
      </c>
      <c r="F299" s="14" t="s">
        <v>388</v>
      </c>
      <c r="G299" s="8" t="n">
        <v>19</v>
      </c>
      <c r="H299" s="14" t="s">
        <v>862</v>
      </c>
      <c r="I299" s="14" t="s">
        <v>863</v>
      </c>
      <c r="J299" s="14" t="s">
        <v>213</v>
      </c>
      <c r="K299" s="8" t="n">
        <v>19</v>
      </c>
      <c r="L299" s="8" t="n">
        <v>86</v>
      </c>
      <c r="M299" s="8" t="n">
        <v>2</v>
      </c>
      <c r="N299" s="8" t="n">
        <v>52</v>
      </c>
      <c r="O299" s="8" t="n">
        <v>11</v>
      </c>
      <c r="P299" s="9" t="n">
        <v>32.5233319431822</v>
      </c>
      <c r="Q299" s="10" t="n">
        <v>0.030747157202312</v>
      </c>
      <c r="R299" s="9" t="n">
        <v>29</v>
      </c>
      <c r="S299" s="11" t="n">
        <f aca="false">IF(AND(ISNUMBER(R299),R299&gt;1,P299&gt;0),R299/P299-1,"")</f>
        <v>-0.10833244113295</v>
      </c>
      <c r="T299" s="9" t="n">
        <f aca="false">IF(AND(ISNUMBER(P299),P299&gt;0),P299*EXP('Read me'!$B$22),"")</f>
        <v>39.7240873399615</v>
      </c>
    </row>
    <row r="300" customFormat="false" ht="15" hidden="false" customHeight="false" outlineLevel="0" collapsed="false">
      <c r="A300" s="14" t="s">
        <v>209</v>
      </c>
      <c r="B300" s="14" t="s">
        <v>49</v>
      </c>
      <c r="C300" s="14" t="s">
        <v>210</v>
      </c>
      <c r="D300" s="14"/>
      <c r="E300" s="15" t="n">
        <v>7</v>
      </c>
      <c r="F300" s="14" t="s">
        <v>388</v>
      </c>
      <c r="G300" s="8" t="n">
        <v>19</v>
      </c>
      <c r="H300" s="14" t="s">
        <v>864</v>
      </c>
      <c r="I300" s="14" t="s">
        <v>403</v>
      </c>
      <c r="J300" s="14" t="s">
        <v>555</v>
      </c>
      <c r="K300" s="8" t="n">
        <v>15</v>
      </c>
      <c r="L300" s="8" t="n">
        <v>0</v>
      </c>
      <c r="M300" s="8" t="n">
        <v>2</v>
      </c>
      <c r="N300" s="8" t="n">
        <v>48</v>
      </c>
      <c r="O300" s="8" t="n">
        <v>12</v>
      </c>
      <c r="P300" s="9" t="n">
        <v>35.6934641448456</v>
      </c>
      <c r="Q300" s="10" t="n">
        <v>0.0280163336330135</v>
      </c>
      <c r="R300" s="9" t="n">
        <v>29</v>
      </c>
      <c r="S300" s="11" t="n">
        <f aca="false">IF(AND(ISNUMBER(R300),R300&gt;1,P300&gt;0),R300/P300-1,"")</f>
        <v>-0.187526324642607</v>
      </c>
      <c r="T300" s="9" t="n">
        <f aca="false">IF(AND(ISNUMBER(P300),P300&gt;0),P300*EXP('Read me'!$B$22),"")</f>
        <v>43.5960955548055</v>
      </c>
    </row>
    <row r="301" customFormat="false" ht="15" hidden="false" customHeight="false" outlineLevel="0" collapsed="false">
      <c r="A301" s="14" t="s">
        <v>209</v>
      </c>
      <c r="B301" s="14" t="s">
        <v>49</v>
      </c>
      <c r="C301" s="14" t="s">
        <v>210</v>
      </c>
      <c r="D301" s="14"/>
      <c r="E301" s="15" t="n">
        <v>7</v>
      </c>
      <c r="F301" s="14" t="s">
        <v>388</v>
      </c>
      <c r="G301" s="8" t="n">
        <v>19</v>
      </c>
      <c r="H301" s="14" t="s">
        <v>865</v>
      </c>
      <c r="I301" s="14" t="s">
        <v>466</v>
      </c>
      <c r="J301" s="14" t="s">
        <v>91</v>
      </c>
      <c r="K301" s="8" t="n">
        <v>8</v>
      </c>
      <c r="L301" s="8" t="n">
        <v>88</v>
      </c>
      <c r="M301" s="8" t="n">
        <v>2</v>
      </c>
      <c r="N301" s="8" t="n">
        <v>46</v>
      </c>
      <c r="O301" s="8" t="n">
        <v>13</v>
      </c>
      <c r="P301" s="9" t="n">
        <v>40.1244893293395</v>
      </c>
      <c r="Q301" s="10" t="n">
        <v>0.0249224355677665</v>
      </c>
      <c r="R301" s="9" t="n">
        <v>29</v>
      </c>
      <c r="S301" s="11" t="n">
        <f aca="false">IF(AND(ISNUMBER(R301),R301&gt;1,P301&gt;0),R301/P301-1,"")</f>
        <v>-0.27724936853477</v>
      </c>
      <c r="T301" s="9" t="n">
        <f aca="false">IF(AND(ISNUMBER(P301),P301&gt;0),P301*EXP('Read me'!$B$22),"")</f>
        <v>49.0081619366235</v>
      </c>
    </row>
    <row r="302" customFormat="false" ht="15" hidden="false" customHeight="false" outlineLevel="0" collapsed="false">
      <c r="A302" s="14" t="s">
        <v>209</v>
      </c>
      <c r="B302" s="14" t="s">
        <v>49</v>
      </c>
      <c r="C302" s="14" t="s">
        <v>210</v>
      </c>
      <c r="D302" s="14"/>
      <c r="E302" s="15" t="n">
        <v>7</v>
      </c>
      <c r="F302" s="14" t="s">
        <v>388</v>
      </c>
      <c r="G302" s="8" t="n">
        <v>19</v>
      </c>
      <c r="H302" s="14" t="s">
        <v>866</v>
      </c>
      <c r="I302" s="14" t="s">
        <v>867</v>
      </c>
      <c r="J302" s="14" t="s">
        <v>674</v>
      </c>
      <c r="K302" s="8" t="n">
        <v>11</v>
      </c>
      <c r="L302" s="8" t="n">
        <v>81</v>
      </c>
      <c r="M302" s="8" t="n">
        <v>2</v>
      </c>
      <c r="N302" s="8" t="n">
        <v>22</v>
      </c>
      <c r="O302" s="8" t="n">
        <v>14</v>
      </c>
      <c r="P302" s="9" t="n">
        <v>42.5739754276724</v>
      </c>
      <c r="Q302" s="10" t="n">
        <v>0.0234885276734109</v>
      </c>
      <c r="R302" s="9" t="n">
        <v>23</v>
      </c>
      <c r="S302" s="11" t="n">
        <f aca="false">IF(AND(ISNUMBER(R302),R302&gt;1,P302&gt;0),R302/P302-1,"")</f>
        <v>-0.459763863511549</v>
      </c>
      <c r="T302" s="9" t="n">
        <f aca="false">IF(AND(ISNUMBER(P302),P302&gt;0),P302*EXP('Read me'!$B$22),"")</f>
        <v>51.9999710132024</v>
      </c>
    </row>
    <row r="303" customFormat="false" ht="15" hidden="false" customHeight="false" outlineLevel="0" collapsed="false">
      <c r="A303" s="14" t="s">
        <v>209</v>
      </c>
      <c r="B303" s="14" t="s">
        <v>49</v>
      </c>
      <c r="C303" s="14" t="s">
        <v>210</v>
      </c>
      <c r="D303" s="14"/>
      <c r="E303" s="15" t="n">
        <v>7</v>
      </c>
      <c r="F303" s="14" t="s">
        <v>388</v>
      </c>
      <c r="G303" s="8" t="n">
        <v>19</v>
      </c>
      <c r="H303" s="14" t="s">
        <v>868</v>
      </c>
      <c r="I303" s="14" t="s">
        <v>531</v>
      </c>
      <c r="J303" s="14" t="s">
        <v>869</v>
      </c>
      <c r="K303" s="8" t="n">
        <v>1</v>
      </c>
      <c r="L303" s="8" t="n">
        <v>84</v>
      </c>
      <c r="M303" s="8" t="n">
        <v>2</v>
      </c>
      <c r="N303" s="8" t="n">
        <v>21</v>
      </c>
      <c r="O303" s="8" t="n">
        <v>15</v>
      </c>
      <c r="P303" s="9" t="n">
        <v>45.1843823971775</v>
      </c>
      <c r="Q303" s="10" t="n">
        <v>0.0221315407436545</v>
      </c>
      <c r="R303" s="9" t="n">
        <v>34</v>
      </c>
      <c r="S303" s="11" t="n">
        <f aca="false">IF(AND(ISNUMBER(R303),R303&gt;1,P303&gt;0),R303/P303-1,"")</f>
        <v>-0.247527614715747</v>
      </c>
      <c r="T303" s="9" t="n">
        <f aca="false">IF(AND(ISNUMBER(P303),P303&gt;0),P303*EXP('Read me'!$B$22),"")</f>
        <v>55.1883292856765</v>
      </c>
    </row>
    <row r="304" customFormat="false" ht="15" hidden="false" customHeight="false" outlineLevel="0" collapsed="false">
      <c r="A304" s="14" t="s">
        <v>209</v>
      </c>
      <c r="B304" s="14" t="s">
        <v>49</v>
      </c>
      <c r="C304" s="14" t="s">
        <v>210</v>
      </c>
      <c r="D304" s="14"/>
      <c r="E304" s="15" t="n">
        <v>7</v>
      </c>
      <c r="F304" s="14" t="s">
        <v>388</v>
      </c>
      <c r="G304" s="8" t="n">
        <v>19</v>
      </c>
      <c r="H304" s="14" t="s">
        <v>870</v>
      </c>
      <c r="I304" s="14" t="s">
        <v>871</v>
      </c>
      <c r="J304" s="14" t="s">
        <v>317</v>
      </c>
      <c r="K304" s="8" t="n">
        <v>7</v>
      </c>
      <c r="L304" s="8" t="n">
        <v>0</v>
      </c>
      <c r="M304" s="8" t="n">
        <v>2</v>
      </c>
      <c r="N304" s="8" t="n">
        <v>17</v>
      </c>
      <c r="O304" s="8" t="n">
        <v>16</v>
      </c>
      <c r="P304" s="9" t="n">
        <v>71.642684205632</v>
      </c>
      <c r="Q304" s="10" t="n">
        <v>0.0139581593164454</v>
      </c>
      <c r="R304" s="9" t="n">
        <v>81</v>
      </c>
      <c r="S304" s="11" t="n">
        <f aca="false">IF(AND(ISNUMBER(R304),R304&gt;1,P304&gt;0),R304/P304-1,"")</f>
        <v>0.130610904632079</v>
      </c>
      <c r="T304" s="9" t="n">
        <f aca="false">IF(AND(ISNUMBER(P304),P304&gt;0),P304*EXP('Read me'!$B$22),"")</f>
        <v>87.504572090757</v>
      </c>
    </row>
    <row r="305" customFormat="false" ht="15" hidden="false" customHeight="false" outlineLevel="0" collapsed="false">
      <c r="A305" s="14" t="s">
        <v>209</v>
      </c>
      <c r="B305" s="14" t="s">
        <v>49</v>
      </c>
      <c r="C305" s="14" t="s">
        <v>210</v>
      </c>
      <c r="D305" s="14"/>
      <c r="E305" s="15" t="n">
        <v>7</v>
      </c>
      <c r="F305" s="14" t="s">
        <v>388</v>
      </c>
      <c r="G305" s="8" t="n">
        <v>19</v>
      </c>
      <c r="H305" s="14" t="s">
        <v>872</v>
      </c>
      <c r="I305" s="14" t="s">
        <v>252</v>
      </c>
      <c r="J305" s="14" t="s">
        <v>873</v>
      </c>
      <c r="K305" s="8" t="n">
        <v>16</v>
      </c>
      <c r="L305" s="8" t="n">
        <v>80</v>
      </c>
      <c r="M305" s="8" t="n">
        <v>2</v>
      </c>
      <c r="N305" s="8" t="n">
        <v>39</v>
      </c>
      <c r="O305" s="8" t="n">
        <v>17</v>
      </c>
      <c r="P305" s="9" t="n">
        <v>72.3844549830845</v>
      </c>
      <c r="Q305" s="10" t="n">
        <v>0.0138151209432148</v>
      </c>
      <c r="R305" s="9" t="n">
        <v>41</v>
      </c>
      <c r="S305" s="11" t="n">
        <f aca="false">IF(AND(ISNUMBER(R305),R305&gt;1,P305&gt;0),R305/P305-1,"")</f>
        <v>-0.433580041328193</v>
      </c>
      <c r="T305" s="9" t="n">
        <f aca="false">IF(AND(ISNUMBER(P305),P305&gt;0),P305*EXP('Read me'!$B$22),"")</f>
        <v>88.4105729642601</v>
      </c>
    </row>
    <row r="306" customFormat="false" ht="15" hidden="false" customHeight="false" outlineLevel="0" collapsed="false">
      <c r="A306" s="14" t="s">
        <v>209</v>
      </c>
      <c r="B306" s="14" t="s">
        <v>49</v>
      </c>
      <c r="C306" s="14" t="s">
        <v>210</v>
      </c>
      <c r="D306" s="14"/>
      <c r="E306" s="15" t="n">
        <v>7</v>
      </c>
      <c r="F306" s="14" t="s">
        <v>388</v>
      </c>
      <c r="G306" s="8" t="n">
        <v>19</v>
      </c>
      <c r="H306" s="14" t="s">
        <v>874</v>
      </c>
      <c r="I306" s="14" t="s">
        <v>397</v>
      </c>
      <c r="J306" s="14" t="s">
        <v>73</v>
      </c>
      <c r="K306" s="8" t="n">
        <v>14</v>
      </c>
      <c r="L306" s="8" t="n">
        <v>0</v>
      </c>
      <c r="M306" s="8" t="n">
        <v>2</v>
      </c>
      <c r="N306" s="8" t="n">
        <v>9</v>
      </c>
      <c r="O306" s="8" t="n">
        <v>18</v>
      </c>
      <c r="P306" s="9" t="n">
        <v>92.7937719352821</v>
      </c>
      <c r="Q306" s="10" t="n">
        <v>0.0107765853154179</v>
      </c>
      <c r="R306" s="9" t="n">
        <v>26</v>
      </c>
      <c r="S306" s="11" t="n">
        <f aca="false">IF(AND(ISNUMBER(R306),R306&gt;1,P306&gt;0),R306/P306-1,"")</f>
        <v>-0.719808781799134</v>
      </c>
      <c r="T306" s="9" t="n">
        <f aca="false">IF(AND(ISNUMBER(P306),P306&gt;0),P306*EXP('Read me'!$B$22),"")</f>
        <v>113.338568981839</v>
      </c>
    </row>
    <row r="307" customFormat="false" ht="15" hidden="false" customHeight="false" outlineLevel="0" collapsed="false">
      <c r="A307" s="14" t="s">
        <v>209</v>
      </c>
      <c r="B307" s="14" t="s">
        <v>49</v>
      </c>
      <c r="C307" s="14" t="s">
        <v>210</v>
      </c>
      <c r="D307" s="14"/>
      <c r="E307" s="15" t="n">
        <v>7</v>
      </c>
      <c r="F307" s="14" t="s">
        <v>388</v>
      </c>
      <c r="G307" s="8" t="n">
        <v>19</v>
      </c>
      <c r="H307" s="14" t="s">
        <v>875</v>
      </c>
      <c r="I307" s="14" t="s">
        <v>876</v>
      </c>
      <c r="J307" s="14" t="s">
        <v>555</v>
      </c>
      <c r="K307" s="8" t="n">
        <v>4</v>
      </c>
      <c r="L307" s="8" t="n">
        <v>0</v>
      </c>
      <c r="M307" s="8" t="n">
        <v>2</v>
      </c>
      <c r="N307" s="8" t="n">
        <v>17</v>
      </c>
      <c r="O307" s="8" t="n">
        <v>19</v>
      </c>
      <c r="P307" s="9" t="n">
        <v>420.552371114281</v>
      </c>
      <c r="Q307" s="10" t="n">
        <v>0.0023778251382828</v>
      </c>
      <c r="R307" s="9" t="n">
        <v>67</v>
      </c>
      <c r="S307" s="11" t="n">
        <f aca="false">IF(AND(ISNUMBER(R307),R307&gt;1,P307&gt;0),R307/P307-1,"")</f>
        <v>-0.840685715735049</v>
      </c>
      <c r="T307" s="9" t="n">
        <f aca="false">IF(AND(ISNUMBER(P307),P307&gt;0),P307*EXP('Read me'!$B$22),"")</f>
        <v>513.663826029782</v>
      </c>
    </row>
    <row r="308" customFormat="false" ht="15" hidden="false" customHeight="false" outlineLevel="0" collapsed="false">
      <c r="A308" s="14" t="s">
        <v>215</v>
      </c>
      <c r="B308" s="14" t="s">
        <v>98</v>
      </c>
      <c r="C308" s="14" t="s">
        <v>216</v>
      </c>
      <c r="D308" s="14" t="s">
        <v>877</v>
      </c>
      <c r="E308" s="15" t="n">
        <v>25</v>
      </c>
      <c r="F308" s="14" t="s">
        <v>388</v>
      </c>
      <c r="G308" s="8" t="n">
        <v>8</v>
      </c>
      <c r="H308" s="14" t="s">
        <v>217</v>
      </c>
      <c r="I308" s="14" t="s">
        <v>218</v>
      </c>
      <c r="J308" s="14" t="s">
        <v>219</v>
      </c>
      <c r="K308" s="8" t="n">
        <v>3</v>
      </c>
      <c r="L308" s="8" t="n">
        <v>95</v>
      </c>
      <c r="M308" s="8" t="n">
        <v>7</v>
      </c>
      <c r="N308" s="8" t="n">
        <v>83</v>
      </c>
      <c r="O308" s="8" t="n">
        <v>1</v>
      </c>
      <c r="P308" s="9" t="n">
        <v>2.97780434713153</v>
      </c>
      <c r="Q308" s="10" t="n">
        <v>0.33581789917235</v>
      </c>
      <c r="R308" s="9" t="n">
        <v>2.1</v>
      </c>
      <c r="S308" s="11" t="n">
        <f aca="false">IF(AND(ISNUMBER(R308),R308&gt;1,P308&gt;0),R308/P308-1,"")</f>
        <v>-0.294782411738066</v>
      </c>
      <c r="T308" s="9" t="n">
        <f aca="false">IF(AND(ISNUMBER(P308),P308&gt;0),P308*EXP('Read me'!$B$22),"")</f>
        <v>3.63709844284779</v>
      </c>
    </row>
    <row r="309" customFormat="false" ht="15" hidden="false" customHeight="false" outlineLevel="0" collapsed="false">
      <c r="A309" s="14" t="s">
        <v>215</v>
      </c>
      <c r="B309" s="14" t="s">
        <v>98</v>
      </c>
      <c r="C309" s="14" t="s">
        <v>216</v>
      </c>
      <c r="D309" s="14" t="s">
        <v>877</v>
      </c>
      <c r="E309" s="15" t="n">
        <v>25</v>
      </c>
      <c r="F309" s="14" t="s">
        <v>388</v>
      </c>
      <c r="G309" s="8" t="n">
        <v>8</v>
      </c>
      <c r="H309" s="14" t="s">
        <v>220</v>
      </c>
      <c r="I309" s="14" t="s">
        <v>878</v>
      </c>
      <c r="J309" s="14" t="s">
        <v>879</v>
      </c>
      <c r="K309" s="8" t="n">
        <v>1</v>
      </c>
      <c r="L309" s="8" t="n">
        <v>98</v>
      </c>
      <c r="M309" s="8" t="n">
        <v>7</v>
      </c>
      <c r="N309" s="8" t="n">
        <v>21</v>
      </c>
      <c r="O309" s="8" t="n">
        <v>2</v>
      </c>
      <c r="P309" s="9" t="n">
        <v>3.71331973218848</v>
      </c>
      <c r="Q309" s="10" t="n">
        <v>0.269300806857975</v>
      </c>
      <c r="R309" s="9" t="n">
        <v>4.5</v>
      </c>
      <c r="S309" s="11" t="n">
        <f aca="false">IF(AND(ISNUMBER(R309),R309&gt;1,P309&gt;0),R309/P309-1,"")</f>
        <v>0.21185363086089</v>
      </c>
      <c r="T309" s="9" t="n">
        <f aca="false">IF(AND(ISNUMBER(P309),P309&gt;0),P309*EXP('Read me'!$B$22),"")</f>
        <v>4.5354589628256</v>
      </c>
    </row>
    <row r="310" customFormat="false" ht="15" hidden="false" customHeight="false" outlineLevel="0" collapsed="false">
      <c r="A310" s="14" t="s">
        <v>215</v>
      </c>
      <c r="B310" s="14" t="s">
        <v>98</v>
      </c>
      <c r="C310" s="14" t="s">
        <v>216</v>
      </c>
      <c r="D310" s="14" t="s">
        <v>877</v>
      </c>
      <c r="E310" s="15" t="n">
        <v>25</v>
      </c>
      <c r="F310" s="14" t="s">
        <v>388</v>
      </c>
      <c r="G310" s="8" t="n">
        <v>8</v>
      </c>
      <c r="H310" s="14" t="s">
        <v>880</v>
      </c>
      <c r="I310" s="14" t="s">
        <v>881</v>
      </c>
      <c r="J310" s="14" t="s">
        <v>882</v>
      </c>
      <c r="K310" s="8" t="n">
        <v>7</v>
      </c>
      <c r="L310" s="8" t="n">
        <v>76</v>
      </c>
      <c r="M310" s="8" t="n">
        <v>8</v>
      </c>
      <c r="N310" s="8" t="n">
        <v>35</v>
      </c>
      <c r="O310" s="8" t="n">
        <v>3</v>
      </c>
      <c r="P310" s="9" t="n">
        <v>7.11516486091616</v>
      </c>
      <c r="Q310" s="10" t="n">
        <v>0.140544881186525</v>
      </c>
      <c r="R310" s="9" t="n">
        <v>7.5</v>
      </c>
      <c r="S310" s="11" t="n">
        <f aca="false">IF(AND(ISNUMBER(R310),R310&gt;1,P310&gt;0),R310/P310-1,"")</f>
        <v>0.0540866088989376</v>
      </c>
      <c r="T310" s="9" t="n">
        <f aca="false">IF(AND(ISNUMBER(P310),P310&gt;0),P310*EXP('Read me'!$B$22),"")</f>
        <v>8.69048198588732</v>
      </c>
    </row>
    <row r="311" customFormat="false" ht="15" hidden="false" customHeight="false" outlineLevel="0" collapsed="false">
      <c r="A311" s="14" t="s">
        <v>215</v>
      </c>
      <c r="B311" s="14" t="s">
        <v>98</v>
      </c>
      <c r="C311" s="14" t="s">
        <v>216</v>
      </c>
      <c r="D311" s="14" t="s">
        <v>877</v>
      </c>
      <c r="E311" s="15" t="n">
        <v>25</v>
      </c>
      <c r="F311" s="14" t="s">
        <v>388</v>
      </c>
      <c r="G311" s="8" t="n">
        <v>8</v>
      </c>
      <c r="H311" s="14" t="s">
        <v>883</v>
      </c>
      <c r="I311" s="14" t="s">
        <v>884</v>
      </c>
      <c r="J311" s="14" t="s">
        <v>885</v>
      </c>
      <c r="K311" s="8" t="n">
        <v>2</v>
      </c>
      <c r="L311" s="8" t="n">
        <v>97</v>
      </c>
      <c r="M311" s="8" t="n">
        <v>11</v>
      </c>
      <c r="N311" s="8" t="n">
        <v>42</v>
      </c>
      <c r="O311" s="8" t="n">
        <v>4</v>
      </c>
      <c r="P311" s="9" t="n">
        <v>9.67235887869844</v>
      </c>
      <c r="Q311" s="10" t="n">
        <v>0.103387396243362</v>
      </c>
      <c r="R311" s="9" t="n">
        <v>9.5</v>
      </c>
      <c r="S311" s="11" t="n">
        <f aca="false">IF(AND(ISNUMBER(R311),R311&gt;1,P311&gt;0),R311/P311-1,"")</f>
        <v>-0.0178197356880572</v>
      </c>
      <c r="T311" s="9" t="n">
        <f aca="false">IF(AND(ISNUMBER(P311),P311&gt;0),P311*EXP('Read me'!$B$22),"")</f>
        <v>11.8138458123573</v>
      </c>
    </row>
    <row r="312" customFormat="false" ht="15" hidden="false" customHeight="false" outlineLevel="0" collapsed="false">
      <c r="A312" s="14" t="s">
        <v>215</v>
      </c>
      <c r="B312" s="14" t="s">
        <v>98</v>
      </c>
      <c r="C312" s="14" t="s">
        <v>216</v>
      </c>
      <c r="D312" s="14" t="s">
        <v>877</v>
      </c>
      <c r="E312" s="15" t="n">
        <v>25</v>
      </c>
      <c r="F312" s="14" t="s">
        <v>388</v>
      </c>
      <c r="G312" s="8" t="n">
        <v>8</v>
      </c>
      <c r="H312" s="14" t="s">
        <v>886</v>
      </c>
      <c r="I312" s="14" t="s">
        <v>887</v>
      </c>
      <c r="J312" s="14" t="s">
        <v>888</v>
      </c>
      <c r="K312" s="8" t="n">
        <v>8</v>
      </c>
      <c r="L312" s="8" t="n">
        <v>75</v>
      </c>
      <c r="M312" s="8" t="n">
        <v>8</v>
      </c>
      <c r="N312" s="8" t="n">
        <v>18</v>
      </c>
      <c r="O312" s="8" t="n">
        <v>5</v>
      </c>
      <c r="P312" s="9" t="n">
        <v>11.4206985941703</v>
      </c>
      <c r="Q312" s="10" t="n">
        <v>0.0875603179397845</v>
      </c>
      <c r="R312" s="9" t="n">
        <v>7</v>
      </c>
      <c r="S312" s="11" t="n">
        <f aca="false">IF(AND(ISNUMBER(R312),R312&gt;1,P312&gt;0),R312/P312-1,"")</f>
        <v>-0.387077774421508</v>
      </c>
      <c r="T312" s="9" t="n">
        <f aca="false">IF(AND(ISNUMBER(P312),P312&gt;0),P312*EXP('Read me'!$B$22),"")</f>
        <v>13.9492727630355</v>
      </c>
    </row>
    <row r="313" customFormat="false" ht="15" hidden="false" customHeight="false" outlineLevel="0" collapsed="false">
      <c r="A313" s="14" t="s">
        <v>215</v>
      </c>
      <c r="B313" s="14" t="s">
        <v>98</v>
      </c>
      <c r="C313" s="14" t="s">
        <v>216</v>
      </c>
      <c r="D313" s="14" t="s">
        <v>877</v>
      </c>
      <c r="E313" s="15" t="n">
        <v>25</v>
      </c>
      <c r="F313" s="14" t="s">
        <v>388</v>
      </c>
      <c r="G313" s="8" t="n">
        <v>8</v>
      </c>
      <c r="H313" s="14" t="s">
        <v>889</v>
      </c>
      <c r="I313" s="14" t="s">
        <v>890</v>
      </c>
      <c r="J313" s="14" t="s">
        <v>891</v>
      </c>
      <c r="K313" s="8" t="n">
        <v>6</v>
      </c>
      <c r="L313" s="8" t="n">
        <v>76</v>
      </c>
      <c r="M313" s="8" t="n">
        <v>9</v>
      </c>
      <c r="N313" s="8" t="n">
        <v>428</v>
      </c>
      <c r="O313" s="8" t="n">
        <v>6</v>
      </c>
      <c r="P313" s="9" t="n">
        <v>25.2105457524951</v>
      </c>
      <c r="Q313" s="10" t="n">
        <v>0.0396659401909628</v>
      </c>
      <c r="R313" s="9" t="n">
        <v>26</v>
      </c>
      <c r="S313" s="11" t="n">
        <f aca="false">IF(AND(ISNUMBER(R313),R313&gt;1,P313&gt;0),R313/P313-1,"")</f>
        <v>0.0313144449650329</v>
      </c>
      <c r="T313" s="9" t="n">
        <f aca="false">IF(AND(ISNUMBER(P313),P313&gt;0),P313*EXP('Read me'!$B$22),"")</f>
        <v>30.7922301168206</v>
      </c>
    </row>
    <row r="314" customFormat="false" ht="15" hidden="false" customHeight="false" outlineLevel="0" collapsed="false">
      <c r="A314" s="14" t="s">
        <v>215</v>
      </c>
      <c r="B314" s="14" t="s">
        <v>98</v>
      </c>
      <c r="C314" s="14" t="s">
        <v>216</v>
      </c>
      <c r="D314" s="14" t="s">
        <v>877</v>
      </c>
      <c r="E314" s="15" t="n">
        <v>25</v>
      </c>
      <c r="F314" s="14" t="s">
        <v>388</v>
      </c>
      <c r="G314" s="8" t="n">
        <v>8</v>
      </c>
      <c r="H314" s="14" t="s">
        <v>892</v>
      </c>
      <c r="I314" s="14" t="s">
        <v>893</v>
      </c>
      <c r="J314" s="14" t="s">
        <v>447</v>
      </c>
      <c r="K314" s="8" t="n">
        <v>5</v>
      </c>
      <c r="L314" s="8" t="n">
        <v>76</v>
      </c>
      <c r="M314" s="8" t="n">
        <v>7</v>
      </c>
      <c r="N314" s="8" t="n">
        <v>42</v>
      </c>
      <c r="O314" s="8" t="n">
        <v>7</v>
      </c>
      <c r="P314" s="9" t="n">
        <v>51.5532212828782</v>
      </c>
      <c r="Q314" s="10" t="n">
        <v>0.0193974299784855</v>
      </c>
      <c r="R314" s="9" t="n">
        <v>29</v>
      </c>
      <c r="S314" s="11" t="n">
        <f aca="false">IF(AND(ISNUMBER(R314),R314&gt;1,P314&gt;0),R314/P314-1,"")</f>
        <v>-0.43747453062392</v>
      </c>
      <c r="T314" s="9" t="n">
        <f aca="false">IF(AND(ISNUMBER(P314),P314&gt;0),P314*EXP('Read me'!$B$22),"")</f>
        <v>62.967246666949</v>
      </c>
    </row>
    <row r="315" customFormat="false" ht="15" hidden="false" customHeight="false" outlineLevel="0" collapsed="false">
      <c r="A315" s="14" t="s">
        <v>215</v>
      </c>
      <c r="B315" s="14" t="s">
        <v>98</v>
      </c>
      <c r="C315" s="14" t="s">
        <v>216</v>
      </c>
      <c r="D315" s="14" t="s">
        <v>877</v>
      </c>
      <c r="E315" s="15" t="n">
        <v>25</v>
      </c>
      <c r="F315" s="14" t="s">
        <v>388</v>
      </c>
      <c r="G315" s="8" t="n">
        <v>8</v>
      </c>
      <c r="H315" s="14" t="s">
        <v>894</v>
      </c>
      <c r="I315" s="14" t="s">
        <v>895</v>
      </c>
      <c r="J315" s="14" t="s">
        <v>896</v>
      </c>
      <c r="K315" s="8" t="n">
        <v>9</v>
      </c>
      <c r="L315" s="8" t="n">
        <v>72</v>
      </c>
      <c r="M315" s="8" t="n">
        <v>9</v>
      </c>
      <c r="N315" s="8" t="n">
        <v>28</v>
      </c>
      <c r="O315" s="8" t="n">
        <v>8</v>
      </c>
      <c r="P315" s="9" t="n">
        <v>231.196316315743</v>
      </c>
      <c r="Q315" s="10" t="n">
        <v>0.0043253284305546</v>
      </c>
      <c r="R315" s="9" t="n">
        <v>67</v>
      </c>
      <c r="S315" s="11" t="n">
        <f aca="false">IF(AND(ISNUMBER(R315),R315&gt;1,P315&gt;0),R315/P315-1,"")</f>
        <v>-0.710202995152836</v>
      </c>
      <c r="T315" s="9" t="n">
        <f aca="false">IF(AND(ISNUMBER(P315),P315&gt;0),P315*EXP('Read me'!$B$22),"")</f>
        <v>282.38381842452</v>
      </c>
    </row>
    <row r="316" customFormat="false" ht="15" hidden="false" customHeight="false" outlineLevel="0" collapsed="false">
      <c r="A316" s="14" t="s">
        <v>221</v>
      </c>
      <c r="B316" s="14" t="s">
        <v>117</v>
      </c>
      <c r="C316" s="14" t="s">
        <v>222</v>
      </c>
      <c r="D316" s="14"/>
      <c r="E316" s="15" t="n">
        <v>22</v>
      </c>
      <c r="F316" s="14" t="s">
        <v>388</v>
      </c>
      <c r="G316" s="8" t="n">
        <v>19</v>
      </c>
      <c r="H316" s="14" t="s">
        <v>223</v>
      </c>
      <c r="I316" s="14" t="s">
        <v>224</v>
      </c>
      <c r="J316" s="14" t="s">
        <v>225</v>
      </c>
      <c r="K316" s="8" t="n">
        <v>1</v>
      </c>
      <c r="L316" s="8" t="n">
        <v>96</v>
      </c>
      <c r="M316" s="8" t="n">
        <v>7</v>
      </c>
      <c r="N316" s="8" t="n">
        <v>5</v>
      </c>
      <c r="O316" s="8" t="n">
        <v>1</v>
      </c>
      <c r="P316" s="9" t="n">
        <v>5.3421039052785</v>
      </c>
      <c r="Q316" s="10" t="n">
        <v>0.187192165807914</v>
      </c>
      <c r="R316" s="9" t="n">
        <v>8</v>
      </c>
      <c r="S316" s="11" t="n">
        <f aca="false">IF(AND(ISNUMBER(R316),R316&gt;1,P316&gt;0),R316/P316-1,"")</f>
        <v>0.497537326463316</v>
      </c>
      <c r="T316" s="9" t="n">
        <f aca="false">IF(AND(ISNUMBER(P316),P316&gt;0),P316*EXP('Read me'!$B$22),"")</f>
        <v>6.52486044428537</v>
      </c>
    </row>
    <row r="317" customFormat="false" ht="15" hidden="false" customHeight="false" outlineLevel="0" collapsed="false">
      <c r="A317" s="14" t="s">
        <v>221</v>
      </c>
      <c r="B317" s="14" t="s">
        <v>117</v>
      </c>
      <c r="C317" s="14" t="s">
        <v>222</v>
      </c>
      <c r="D317" s="14"/>
      <c r="E317" s="15" t="n">
        <v>22</v>
      </c>
      <c r="F317" s="14" t="s">
        <v>388</v>
      </c>
      <c r="G317" s="8" t="n">
        <v>19</v>
      </c>
      <c r="H317" s="14" t="s">
        <v>226</v>
      </c>
      <c r="I317" s="14" t="s">
        <v>897</v>
      </c>
      <c r="J317" s="14" t="s">
        <v>898</v>
      </c>
      <c r="K317" s="8" t="n">
        <v>5</v>
      </c>
      <c r="L317" s="8" t="n">
        <v>91</v>
      </c>
      <c r="M317" s="8" t="n">
        <v>9</v>
      </c>
      <c r="N317" s="8" t="n">
        <v>19</v>
      </c>
      <c r="O317" s="8" t="n">
        <v>2</v>
      </c>
      <c r="P317" s="9" t="n">
        <v>8.70516948855284</v>
      </c>
      <c r="Q317" s="10" t="n">
        <v>0.114874271123036</v>
      </c>
      <c r="R317" s="9" t="n">
        <v>8.5</v>
      </c>
      <c r="S317" s="11" t="n">
        <f aca="false">IF(AND(ISNUMBER(R317),R317&gt;1,P317&gt;0),R317/P317-1,"")</f>
        <v>-0.0235686954541938</v>
      </c>
      <c r="T317" s="9" t="n">
        <f aca="false">IF(AND(ISNUMBER(P317),P317&gt;0),P317*EXP('Read me'!$B$22),"")</f>
        <v>10.6325180235702</v>
      </c>
    </row>
    <row r="318" customFormat="false" ht="15" hidden="false" customHeight="false" outlineLevel="0" collapsed="false">
      <c r="A318" s="14" t="s">
        <v>221</v>
      </c>
      <c r="B318" s="14" t="s">
        <v>117</v>
      </c>
      <c r="C318" s="14" t="s">
        <v>222</v>
      </c>
      <c r="D318" s="14"/>
      <c r="E318" s="15" t="n">
        <v>22</v>
      </c>
      <c r="F318" s="14" t="s">
        <v>388</v>
      </c>
      <c r="G318" s="8" t="n">
        <v>19</v>
      </c>
      <c r="H318" s="14" t="s">
        <v>899</v>
      </c>
      <c r="I318" s="14" t="s">
        <v>900</v>
      </c>
      <c r="J318" s="14" t="s">
        <v>901</v>
      </c>
      <c r="K318" s="8" t="n">
        <v>12</v>
      </c>
      <c r="L318" s="8" t="n">
        <v>86</v>
      </c>
      <c r="M318" s="8" t="n">
        <v>4</v>
      </c>
      <c r="N318" s="8" t="n">
        <v>35</v>
      </c>
      <c r="O318" s="8" t="n">
        <v>3</v>
      </c>
      <c r="P318" s="9" t="n">
        <v>9.29793692864387</v>
      </c>
      <c r="Q318" s="10" t="n">
        <v>0.10755074030663</v>
      </c>
      <c r="R318" s="9" t="n">
        <v>5</v>
      </c>
      <c r="S318" s="11" t="n">
        <f aca="false">IF(AND(ISNUMBER(R318),R318&gt;1,P318&gt;0),R318/P318-1,"")</f>
        <v>-0.462246298466851</v>
      </c>
      <c r="T318" s="9" t="n">
        <f aca="false">IF(AND(ISNUMBER(P318),P318&gt;0),P318*EXP('Read me'!$B$22),"")</f>
        <v>11.3565258098449</v>
      </c>
    </row>
    <row r="319" customFormat="false" ht="15" hidden="false" customHeight="false" outlineLevel="0" collapsed="false">
      <c r="A319" s="14" t="s">
        <v>221</v>
      </c>
      <c r="B319" s="14" t="s">
        <v>117</v>
      </c>
      <c r="C319" s="14" t="s">
        <v>222</v>
      </c>
      <c r="D319" s="14"/>
      <c r="E319" s="15" t="n">
        <v>22</v>
      </c>
      <c r="F319" s="14" t="s">
        <v>388</v>
      </c>
      <c r="G319" s="8" t="n">
        <v>19</v>
      </c>
      <c r="H319" s="14" t="s">
        <v>902</v>
      </c>
      <c r="I319" s="14" t="s">
        <v>769</v>
      </c>
      <c r="J319" s="14" t="s">
        <v>903</v>
      </c>
      <c r="K319" s="8" t="n">
        <v>17</v>
      </c>
      <c r="L319" s="8" t="n">
        <v>76</v>
      </c>
      <c r="M319" s="8" t="n">
        <v>5</v>
      </c>
      <c r="N319" s="8" t="n">
        <v>35</v>
      </c>
      <c r="O319" s="8" t="n">
        <v>4</v>
      </c>
      <c r="P319" s="9" t="n">
        <v>12.8985174724188</v>
      </c>
      <c r="Q319" s="10" t="n">
        <v>0.0775282897540994</v>
      </c>
      <c r="R319" s="9" t="n">
        <v>13</v>
      </c>
      <c r="S319" s="11" t="n">
        <f aca="false">IF(AND(ISNUMBER(R319),R319&gt;1,P319&gt;0),R319/P319-1,"")</f>
        <v>0.00786776680329293</v>
      </c>
      <c r="T319" s="9" t="n">
        <f aca="false">IF(AND(ISNUMBER(P319),P319&gt;0),P319*EXP('Read me'!$B$22),"")</f>
        <v>15.7542848169895</v>
      </c>
    </row>
    <row r="320" customFormat="false" ht="15" hidden="false" customHeight="false" outlineLevel="0" collapsed="false">
      <c r="A320" s="14" t="s">
        <v>221</v>
      </c>
      <c r="B320" s="14" t="s">
        <v>117</v>
      </c>
      <c r="C320" s="14" t="s">
        <v>222</v>
      </c>
      <c r="D320" s="14"/>
      <c r="E320" s="15" t="n">
        <v>22</v>
      </c>
      <c r="F320" s="14" t="s">
        <v>388</v>
      </c>
      <c r="G320" s="8" t="n">
        <v>19</v>
      </c>
      <c r="H320" s="14" t="s">
        <v>904</v>
      </c>
      <c r="I320" s="14" t="s">
        <v>587</v>
      </c>
      <c r="J320" s="14" t="s">
        <v>905</v>
      </c>
      <c r="K320" s="8" t="n">
        <v>11</v>
      </c>
      <c r="L320" s="8" t="n">
        <v>84</v>
      </c>
      <c r="M320" s="8" t="n">
        <v>6</v>
      </c>
      <c r="N320" s="8" t="n">
        <v>122</v>
      </c>
      <c r="O320" s="8" t="n">
        <v>5</v>
      </c>
      <c r="P320" s="9" t="n">
        <v>13.0628590784534</v>
      </c>
      <c r="Q320" s="10" t="n">
        <v>0.0765529195403673</v>
      </c>
      <c r="R320" s="9" t="n">
        <v>8.5</v>
      </c>
      <c r="S320" s="11" t="n">
        <f aca="false">IF(AND(ISNUMBER(R320),R320&gt;1,P320&gt;0),R320/P320-1,"")</f>
        <v>-0.349300183906878</v>
      </c>
      <c r="T320" s="9" t="n">
        <f aca="false">IF(AND(ISNUMBER(P320),P320&gt;0),P320*EXP('Read me'!$B$22),"")</f>
        <v>15.9550121078806</v>
      </c>
    </row>
    <row r="321" customFormat="false" ht="15" hidden="false" customHeight="false" outlineLevel="0" collapsed="false">
      <c r="A321" s="14" t="s">
        <v>221</v>
      </c>
      <c r="B321" s="14" t="s">
        <v>117</v>
      </c>
      <c r="C321" s="14" t="s">
        <v>222</v>
      </c>
      <c r="D321" s="14"/>
      <c r="E321" s="15" t="n">
        <v>22</v>
      </c>
      <c r="F321" s="14" t="s">
        <v>388</v>
      </c>
      <c r="G321" s="8" t="n">
        <v>19</v>
      </c>
      <c r="H321" s="14" t="s">
        <v>906</v>
      </c>
      <c r="I321" s="14" t="s">
        <v>601</v>
      </c>
      <c r="J321" s="14" t="s">
        <v>418</v>
      </c>
      <c r="K321" s="8" t="n">
        <v>8</v>
      </c>
      <c r="L321" s="8" t="n">
        <v>88</v>
      </c>
      <c r="M321" s="8" t="n">
        <v>6</v>
      </c>
      <c r="N321" s="8" t="n">
        <v>54</v>
      </c>
      <c r="O321" s="8" t="n">
        <v>6</v>
      </c>
      <c r="P321" s="9" t="n">
        <v>14.4902589603629</v>
      </c>
      <c r="Q321" s="10" t="n">
        <v>0.0690118791344883</v>
      </c>
      <c r="R321" s="9" t="n">
        <v>21</v>
      </c>
      <c r="S321" s="11" t="n">
        <f aca="false">IF(AND(ISNUMBER(R321),R321&gt;1,P321&gt;0),R321/P321-1,"")</f>
        <v>0.449249461824254</v>
      </c>
      <c r="T321" s="9" t="n">
        <f aca="false">IF(AND(ISNUMBER(P321),P321&gt;0),P321*EXP('Read me'!$B$22),"")</f>
        <v>17.6984422606424</v>
      </c>
    </row>
    <row r="322" customFormat="false" ht="15" hidden="false" customHeight="false" outlineLevel="0" collapsed="false">
      <c r="A322" s="14" t="s">
        <v>221</v>
      </c>
      <c r="B322" s="14" t="s">
        <v>117</v>
      </c>
      <c r="C322" s="14" t="s">
        <v>222</v>
      </c>
      <c r="D322" s="14"/>
      <c r="E322" s="15" t="n">
        <v>22</v>
      </c>
      <c r="F322" s="14" t="s">
        <v>388</v>
      </c>
      <c r="G322" s="8" t="n">
        <v>19</v>
      </c>
      <c r="H322" s="14" t="s">
        <v>907</v>
      </c>
      <c r="I322" s="14" t="s">
        <v>590</v>
      </c>
      <c r="J322" s="14" t="s">
        <v>596</v>
      </c>
      <c r="K322" s="8" t="n">
        <v>6</v>
      </c>
      <c r="L322" s="8" t="n">
        <v>91</v>
      </c>
      <c r="M322" s="8" t="n">
        <v>9</v>
      </c>
      <c r="N322" s="8" t="n">
        <v>37</v>
      </c>
      <c r="O322" s="8" t="n">
        <v>7</v>
      </c>
      <c r="P322" s="9" t="n">
        <v>14.5087651140011</v>
      </c>
      <c r="Q322" s="10" t="n">
        <v>0.068923853418441</v>
      </c>
      <c r="R322" s="9" t="n">
        <v>8.5</v>
      </c>
      <c r="S322" s="11" t="n">
        <f aca="false">IF(AND(ISNUMBER(R322),R322&gt;1,P322&gt;0),R322/P322-1,"")</f>
        <v>-0.414147245943251</v>
      </c>
      <c r="T322" s="9" t="n">
        <f aca="false">IF(AND(ISNUMBER(P322),P322&gt;0),P322*EXP('Read me'!$B$22),"")</f>
        <v>17.7210457277389</v>
      </c>
    </row>
    <row r="323" customFormat="false" ht="15" hidden="false" customHeight="false" outlineLevel="0" collapsed="false">
      <c r="A323" s="14" t="s">
        <v>221</v>
      </c>
      <c r="B323" s="14" t="s">
        <v>117</v>
      </c>
      <c r="C323" s="14" t="s">
        <v>222</v>
      </c>
      <c r="D323" s="14"/>
      <c r="E323" s="15" t="n">
        <v>22</v>
      </c>
      <c r="F323" s="14" t="s">
        <v>388</v>
      </c>
      <c r="G323" s="8" t="n">
        <v>19</v>
      </c>
      <c r="H323" s="14" t="s">
        <v>908</v>
      </c>
      <c r="I323" s="14" t="s">
        <v>909</v>
      </c>
      <c r="J323" s="14" t="s">
        <v>910</v>
      </c>
      <c r="K323" s="8" t="n">
        <v>2</v>
      </c>
      <c r="L323" s="8" t="n">
        <v>95</v>
      </c>
      <c r="M323" s="8" t="n">
        <v>8</v>
      </c>
      <c r="N323" s="8" t="n">
        <v>159</v>
      </c>
      <c r="O323" s="8" t="n">
        <v>8</v>
      </c>
      <c r="P323" s="9" t="n">
        <v>18.910226474091</v>
      </c>
      <c r="Q323" s="10" t="n">
        <v>0.0528814396469605</v>
      </c>
      <c r="R323" s="9" t="n">
        <v>4.5</v>
      </c>
      <c r="S323" s="11" t="n">
        <f aca="false">IF(AND(ISNUMBER(R323),R323&gt;1,P323&gt;0),R323/P323-1,"")</f>
        <v>-0.762033521588678</v>
      </c>
      <c r="T323" s="9" t="n">
        <f aca="false">IF(AND(ISNUMBER(P323),P323&gt;0),P323*EXP('Read me'!$B$22),"")</f>
        <v>23.0970027728882</v>
      </c>
    </row>
    <row r="324" customFormat="false" ht="15" hidden="false" customHeight="false" outlineLevel="0" collapsed="false">
      <c r="A324" s="14" t="s">
        <v>221</v>
      </c>
      <c r="B324" s="14" t="s">
        <v>117</v>
      </c>
      <c r="C324" s="14" t="s">
        <v>222</v>
      </c>
      <c r="D324" s="14"/>
      <c r="E324" s="15" t="n">
        <v>22</v>
      </c>
      <c r="F324" s="14" t="s">
        <v>388</v>
      </c>
      <c r="G324" s="8" t="n">
        <v>19</v>
      </c>
      <c r="H324" s="14" t="s">
        <v>911</v>
      </c>
      <c r="I324" s="14" t="s">
        <v>912</v>
      </c>
      <c r="J324" s="14" t="s">
        <v>913</v>
      </c>
      <c r="K324" s="8" t="n">
        <v>21</v>
      </c>
      <c r="L324" s="8" t="n">
        <v>87</v>
      </c>
      <c r="M324" s="8" t="n">
        <v>7</v>
      </c>
      <c r="N324" s="8" t="n">
        <v>19</v>
      </c>
      <c r="O324" s="8" t="n">
        <v>9</v>
      </c>
      <c r="P324" s="9" t="n">
        <v>19.307064729652</v>
      </c>
      <c r="Q324" s="10" t="n">
        <v>0.0517945122162558</v>
      </c>
      <c r="R324" s="9" t="n">
        <v>21</v>
      </c>
      <c r="S324" s="11" t="n">
        <f aca="false">IF(AND(ISNUMBER(R324),R324&gt;1,P324&gt;0),R324/P324-1,"")</f>
        <v>0.0876847565413719</v>
      </c>
      <c r="T324" s="9" t="n">
        <f aca="false">IF(AND(ISNUMBER(P324),P324&gt;0),P324*EXP('Read me'!$B$22),"")</f>
        <v>23.5817021127738</v>
      </c>
    </row>
    <row r="325" customFormat="false" ht="15" hidden="false" customHeight="false" outlineLevel="0" collapsed="false">
      <c r="A325" s="14" t="s">
        <v>221</v>
      </c>
      <c r="B325" s="14" t="s">
        <v>117</v>
      </c>
      <c r="C325" s="14" t="s">
        <v>222</v>
      </c>
      <c r="D325" s="14"/>
      <c r="E325" s="15" t="n">
        <v>22</v>
      </c>
      <c r="F325" s="14" t="s">
        <v>388</v>
      </c>
      <c r="G325" s="8" t="n">
        <v>19</v>
      </c>
      <c r="H325" s="14" t="s">
        <v>914</v>
      </c>
      <c r="I325" s="14" t="s">
        <v>791</v>
      </c>
      <c r="J325" s="14" t="s">
        <v>915</v>
      </c>
      <c r="K325" s="8" t="n">
        <v>7</v>
      </c>
      <c r="L325" s="8" t="n">
        <v>90</v>
      </c>
      <c r="M325" s="8" t="n">
        <v>8</v>
      </c>
      <c r="N325" s="8" t="n">
        <v>29</v>
      </c>
      <c r="O325" s="8" t="n">
        <v>10</v>
      </c>
      <c r="P325" s="9" t="n">
        <v>20.9848940072121</v>
      </c>
      <c r="Q325" s="10" t="n">
        <v>0.0476533262286824</v>
      </c>
      <c r="R325" s="9" t="n">
        <v>11</v>
      </c>
      <c r="S325" s="11" t="n">
        <f aca="false">IF(AND(ISNUMBER(R325),R325&gt;1,P325&gt;0),R325/P325-1,"")</f>
        <v>-0.475813411484494</v>
      </c>
      <c r="T325" s="9" t="n">
        <f aca="false">IF(AND(ISNUMBER(P325),P325&gt;0),P325*EXP('Read me'!$B$22),"")</f>
        <v>25.6310074201077</v>
      </c>
    </row>
    <row r="326" customFormat="false" ht="15" hidden="false" customHeight="false" outlineLevel="0" collapsed="false">
      <c r="A326" s="14" t="s">
        <v>221</v>
      </c>
      <c r="B326" s="14" t="s">
        <v>117</v>
      </c>
      <c r="C326" s="14" t="s">
        <v>222</v>
      </c>
      <c r="D326" s="14"/>
      <c r="E326" s="15" t="n">
        <v>22</v>
      </c>
      <c r="F326" s="14" t="s">
        <v>388</v>
      </c>
      <c r="G326" s="8" t="n">
        <v>19</v>
      </c>
      <c r="H326" s="14" t="s">
        <v>916</v>
      </c>
      <c r="I326" s="14" t="s">
        <v>912</v>
      </c>
      <c r="J326" s="14" t="s">
        <v>917</v>
      </c>
      <c r="K326" s="8" t="n">
        <v>19</v>
      </c>
      <c r="L326" s="8" t="n">
        <v>84</v>
      </c>
      <c r="M326" s="8" t="n">
        <v>5</v>
      </c>
      <c r="N326" s="8" t="n">
        <v>23</v>
      </c>
      <c r="O326" s="8" t="n">
        <v>11</v>
      </c>
      <c r="P326" s="9" t="n">
        <v>25.3377146703571</v>
      </c>
      <c r="Q326" s="10" t="n">
        <v>0.0394668585154568</v>
      </c>
      <c r="R326" s="9" t="n">
        <v>17</v>
      </c>
      <c r="S326" s="11" t="n">
        <f aca="false">IF(AND(ISNUMBER(R326),R326&gt;1,P326&gt;0),R326/P326-1,"")</f>
        <v>-0.329063405237234</v>
      </c>
      <c r="T326" s="9" t="n">
        <f aca="false">IF(AND(ISNUMBER(P326),P326&gt;0),P326*EXP('Read me'!$B$22),"")</f>
        <v>30.9475545838496</v>
      </c>
    </row>
    <row r="327" customFormat="false" ht="15" hidden="false" customHeight="false" outlineLevel="0" collapsed="false">
      <c r="A327" s="14" t="s">
        <v>221</v>
      </c>
      <c r="B327" s="14" t="s">
        <v>117</v>
      </c>
      <c r="C327" s="14" t="s">
        <v>222</v>
      </c>
      <c r="D327" s="14"/>
      <c r="E327" s="15" t="n">
        <v>22</v>
      </c>
      <c r="F327" s="14" t="s">
        <v>388</v>
      </c>
      <c r="G327" s="8" t="n">
        <v>19</v>
      </c>
      <c r="H327" s="14" t="s">
        <v>918</v>
      </c>
      <c r="I327" s="14" t="s">
        <v>595</v>
      </c>
      <c r="J327" s="14" t="s">
        <v>596</v>
      </c>
      <c r="K327" s="8" t="n">
        <v>9</v>
      </c>
      <c r="L327" s="8" t="n">
        <v>87</v>
      </c>
      <c r="M327" s="8" t="n">
        <v>5</v>
      </c>
      <c r="N327" s="8" t="n">
        <v>133</v>
      </c>
      <c r="O327" s="8" t="n">
        <v>12</v>
      </c>
      <c r="P327" s="9" t="n">
        <v>27.4201978385551</v>
      </c>
      <c r="Q327" s="10" t="n">
        <v>0.0364694669924633</v>
      </c>
      <c r="R327" s="9" t="n">
        <v>13</v>
      </c>
      <c r="S327" s="11" t="n">
        <f aca="false">IF(AND(ISNUMBER(R327),R327&gt;1,P327&gt;0),R327/P327-1,"")</f>
        <v>-0.525896929097977</v>
      </c>
      <c r="T327" s="9" t="n">
        <f aca="false">IF(AND(ISNUMBER(P327),P327&gt;0),P327*EXP('Read me'!$B$22),"")</f>
        <v>33.4911052693088</v>
      </c>
    </row>
    <row r="328" customFormat="false" ht="15" hidden="false" customHeight="false" outlineLevel="0" collapsed="false">
      <c r="A328" s="14" t="s">
        <v>221</v>
      </c>
      <c r="B328" s="14" t="s">
        <v>117</v>
      </c>
      <c r="C328" s="14" t="s">
        <v>222</v>
      </c>
      <c r="D328" s="14"/>
      <c r="E328" s="15" t="n">
        <v>22</v>
      </c>
      <c r="F328" s="14" t="s">
        <v>388</v>
      </c>
      <c r="G328" s="8" t="n">
        <v>19</v>
      </c>
      <c r="H328" s="14" t="s">
        <v>919</v>
      </c>
      <c r="I328" s="14" t="s">
        <v>912</v>
      </c>
      <c r="J328" s="14" t="s">
        <v>920</v>
      </c>
      <c r="K328" s="8" t="n">
        <v>20</v>
      </c>
      <c r="L328" s="8" t="n">
        <v>79</v>
      </c>
      <c r="M328" s="8" t="n">
        <v>7</v>
      </c>
      <c r="N328" s="8" t="n">
        <v>19</v>
      </c>
      <c r="O328" s="8" t="n">
        <v>13</v>
      </c>
      <c r="P328" s="9" t="n">
        <v>42.1171699820192</v>
      </c>
      <c r="Q328" s="10" t="n">
        <v>0.0237432857057329</v>
      </c>
      <c r="R328" s="9" t="n">
        <v>21</v>
      </c>
      <c r="S328" s="11" t="n">
        <f aca="false">IF(AND(ISNUMBER(R328),R328&gt;1,P328&gt;0),R328/P328-1,"")</f>
        <v>-0.501391000179609</v>
      </c>
      <c r="T328" s="9" t="n">
        <f aca="false">IF(AND(ISNUMBER(P328),P328&gt;0),P328*EXP('Read me'!$B$22),"")</f>
        <v>51.442027581939</v>
      </c>
    </row>
    <row r="329" customFormat="false" ht="15" hidden="false" customHeight="false" outlineLevel="0" collapsed="false">
      <c r="A329" s="14" t="s">
        <v>221</v>
      </c>
      <c r="B329" s="14" t="s">
        <v>117</v>
      </c>
      <c r="C329" s="14" t="s">
        <v>222</v>
      </c>
      <c r="D329" s="14"/>
      <c r="E329" s="15" t="n">
        <v>22</v>
      </c>
      <c r="F329" s="14" t="s">
        <v>388</v>
      </c>
      <c r="G329" s="8" t="n">
        <v>19</v>
      </c>
      <c r="H329" s="14" t="s">
        <v>921</v>
      </c>
      <c r="I329" s="14" t="s">
        <v>120</v>
      </c>
      <c r="J329" s="14" t="s">
        <v>599</v>
      </c>
      <c r="K329" s="8" t="n">
        <v>4</v>
      </c>
      <c r="L329" s="8" t="n">
        <v>92</v>
      </c>
      <c r="M329" s="8" t="n">
        <v>6</v>
      </c>
      <c r="N329" s="8" t="n">
        <v>29</v>
      </c>
      <c r="O329" s="8" t="n">
        <v>14</v>
      </c>
      <c r="P329" s="9" t="n">
        <v>66.5054651227514</v>
      </c>
      <c r="Q329" s="10" t="n">
        <v>0.0150363582625016</v>
      </c>
      <c r="R329" s="9" t="n">
        <v>29</v>
      </c>
      <c r="S329" s="11" t="n">
        <f aca="false">IF(AND(ISNUMBER(R329),R329&gt;1,P329&gt;0),R329/P329-1,"")</f>
        <v>-0.563945610387451</v>
      </c>
      <c r="T329" s="9" t="n">
        <f aca="false">IF(AND(ISNUMBER(P329),P329&gt;0),P329*EXP('Read me'!$B$22),"")</f>
        <v>81.2299585336535</v>
      </c>
    </row>
    <row r="330" customFormat="false" ht="15" hidden="false" customHeight="false" outlineLevel="0" collapsed="false">
      <c r="A330" s="14" t="s">
        <v>221</v>
      </c>
      <c r="B330" s="14" t="s">
        <v>117</v>
      </c>
      <c r="C330" s="14" t="s">
        <v>222</v>
      </c>
      <c r="D330" s="14"/>
      <c r="E330" s="15" t="n">
        <v>22</v>
      </c>
      <c r="F330" s="14" t="s">
        <v>388</v>
      </c>
      <c r="G330" s="8" t="n">
        <v>19</v>
      </c>
      <c r="H330" s="14" t="s">
        <v>922</v>
      </c>
      <c r="I330" s="14" t="s">
        <v>923</v>
      </c>
      <c r="J330" s="14" t="s">
        <v>924</v>
      </c>
      <c r="K330" s="8" t="n">
        <v>10</v>
      </c>
      <c r="L330" s="8" t="n">
        <v>85</v>
      </c>
      <c r="M330" s="8" t="n">
        <v>5</v>
      </c>
      <c r="N330" s="8" t="n">
        <v>23</v>
      </c>
      <c r="O330" s="8" t="n">
        <v>15</v>
      </c>
      <c r="P330" s="9" t="n">
        <v>84.7062258103521</v>
      </c>
      <c r="Q330" s="10" t="n">
        <v>0.011805507687698</v>
      </c>
      <c r="R330" s="9" t="n">
        <v>17</v>
      </c>
      <c r="S330" s="11" t="n">
        <f aca="false">IF(AND(ISNUMBER(R330),R330&gt;1,P330&gt;0),R330/P330-1,"")</f>
        <v>-0.799306369309133</v>
      </c>
      <c r="T330" s="9" t="n">
        <f aca="false">IF(AND(ISNUMBER(P330),P330&gt;0),P330*EXP('Read me'!$B$22),"")</f>
        <v>103.460417838102</v>
      </c>
    </row>
    <row r="331" customFormat="false" ht="15" hidden="false" customHeight="false" outlineLevel="0" collapsed="false">
      <c r="A331" s="14" t="s">
        <v>221</v>
      </c>
      <c r="B331" s="14" t="s">
        <v>117</v>
      </c>
      <c r="C331" s="14" t="s">
        <v>222</v>
      </c>
      <c r="D331" s="14"/>
      <c r="E331" s="15" t="n">
        <v>22</v>
      </c>
      <c r="F331" s="14" t="s">
        <v>388</v>
      </c>
      <c r="G331" s="8" t="n">
        <v>19</v>
      </c>
      <c r="H331" s="14" t="s">
        <v>925</v>
      </c>
      <c r="I331" s="14" t="s">
        <v>926</v>
      </c>
      <c r="J331" s="14" t="s">
        <v>927</v>
      </c>
      <c r="K331" s="8" t="n">
        <v>16</v>
      </c>
      <c r="L331" s="8" t="n">
        <v>77</v>
      </c>
      <c r="M331" s="8" t="n">
        <v>5</v>
      </c>
      <c r="N331" s="8" t="n">
        <v>35</v>
      </c>
      <c r="O331" s="8" t="n">
        <v>16</v>
      </c>
      <c r="P331" s="9" t="n">
        <v>141.696368897083</v>
      </c>
      <c r="Q331" s="10" t="n">
        <v>0.0070573438669153</v>
      </c>
      <c r="R331" s="9" t="n">
        <v>51</v>
      </c>
      <c r="S331" s="11" t="n">
        <f aca="false">IF(AND(ISNUMBER(R331),R331&gt;1,P331&gt;0),R331/P331-1,"")</f>
        <v>-0.640075462787319</v>
      </c>
      <c r="T331" s="9" t="n">
        <f aca="false">IF(AND(ISNUMBER(P331),P331&gt;0),P331*EXP('Read me'!$B$22),"")</f>
        <v>173.068335792178</v>
      </c>
    </row>
    <row r="332" customFormat="false" ht="15" hidden="false" customHeight="false" outlineLevel="0" collapsed="false">
      <c r="A332" s="14" t="s">
        <v>221</v>
      </c>
      <c r="B332" s="14" t="s">
        <v>117</v>
      </c>
      <c r="C332" s="14" t="s">
        <v>222</v>
      </c>
      <c r="D332" s="14"/>
      <c r="E332" s="15" t="n">
        <v>22</v>
      </c>
      <c r="F332" s="14" t="s">
        <v>388</v>
      </c>
      <c r="G332" s="8" t="n">
        <v>19</v>
      </c>
      <c r="H332" s="14" t="s">
        <v>928</v>
      </c>
      <c r="I332" s="14" t="s">
        <v>929</v>
      </c>
      <c r="J332" s="14" t="s">
        <v>930</v>
      </c>
      <c r="K332" s="8" t="n">
        <v>18</v>
      </c>
      <c r="L332" s="8" t="n">
        <v>75</v>
      </c>
      <c r="M332" s="8" t="n">
        <v>5</v>
      </c>
      <c r="N332" s="8" t="n">
        <v>35</v>
      </c>
      <c r="O332" s="8" t="n">
        <v>17</v>
      </c>
      <c r="P332" s="9" t="n">
        <v>163.84423997331</v>
      </c>
      <c r="Q332" s="10" t="n">
        <v>0.0061033576777731</v>
      </c>
      <c r="R332" s="9" t="n">
        <v>34</v>
      </c>
      <c r="S332" s="11" t="n">
        <f aca="false">IF(AND(ISNUMBER(R332),R332&gt;1,P332&gt;0),R332/P332-1,"")</f>
        <v>-0.792485838955714</v>
      </c>
      <c r="T332" s="9" t="n">
        <f aca="false">IF(AND(ISNUMBER(P332),P332&gt;0),P332*EXP('Read me'!$B$22),"")</f>
        <v>200.119806612057</v>
      </c>
    </row>
    <row r="333" customFormat="false" ht="15" hidden="false" customHeight="false" outlineLevel="0" collapsed="false">
      <c r="A333" s="14" t="s">
        <v>221</v>
      </c>
      <c r="B333" s="14" t="s">
        <v>117</v>
      </c>
      <c r="C333" s="14" t="s">
        <v>222</v>
      </c>
      <c r="D333" s="14"/>
      <c r="E333" s="15" t="n">
        <v>22</v>
      </c>
      <c r="F333" s="14" t="s">
        <v>388</v>
      </c>
      <c r="G333" s="8" t="n">
        <v>19</v>
      </c>
      <c r="H333" s="14" t="s">
        <v>931</v>
      </c>
      <c r="I333" s="14" t="s">
        <v>598</v>
      </c>
      <c r="J333" s="14" t="s">
        <v>599</v>
      </c>
      <c r="K333" s="8" t="n">
        <v>15</v>
      </c>
      <c r="L333" s="8" t="n">
        <v>78</v>
      </c>
      <c r="M333" s="8" t="n">
        <v>8</v>
      </c>
      <c r="N333" s="8" t="n">
        <v>44</v>
      </c>
      <c r="O333" s="8" t="n">
        <v>18</v>
      </c>
      <c r="P333" s="9" t="n">
        <v>281.448976977439</v>
      </c>
      <c r="Q333" s="10" t="n">
        <v>0.0035530418718848</v>
      </c>
      <c r="R333" s="9" t="n">
        <v>21</v>
      </c>
      <c r="S333" s="11" t="n">
        <f aca="false">IF(AND(ISNUMBER(R333),R333&gt;1,P333&gt;0),R333/P333-1,"")</f>
        <v>-0.925386120690418</v>
      </c>
      <c r="T333" s="9" t="n">
        <f aca="false">IF(AND(ISNUMBER(P333),P333&gt;0),P333*EXP('Read me'!$B$22),"")</f>
        <v>343.762556761602</v>
      </c>
    </row>
    <row r="334" customFormat="false" ht="15" hidden="false" customHeight="false" outlineLevel="0" collapsed="false">
      <c r="A334" s="14" t="s">
        <v>221</v>
      </c>
      <c r="B334" s="14" t="s">
        <v>117</v>
      </c>
      <c r="C334" s="14" t="s">
        <v>222</v>
      </c>
      <c r="D334" s="14"/>
      <c r="E334" s="15" t="n">
        <v>22</v>
      </c>
      <c r="F334" s="14" t="s">
        <v>388</v>
      </c>
      <c r="G334" s="8" t="n">
        <v>19</v>
      </c>
      <c r="H334" s="14" t="s">
        <v>932</v>
      </c>
      <c r="I334" s="14" t="s">
        <v>933</v>
      </c>
      <c r="J334" s="14" t="s">
        <v>934</v>
      </c>
      <c r="K334" s="8" t="n">
        <v>14</v>
      </c>
      <c r="L334" s="8" t="n">
        <v>80</v>
      </c>
      <c r="M334" s="8" t="n">
        <v>5</v>
      </c>
      <c r="N334" s="8" t="n">
        <v>33</v>
      </c>
      <c r="O334" s="8" t="n">
        <v>19</v>
      </c>
      <c r="P334" s="9" t="n">
        <v>356.966637668356</v>
      </c>
      <c r="Q334" s="10" t="n">
        <v>0.0028013822426987</v>
      </c>
      <c r="R334" s="9" t="n">
        <v>51</v>
      </c>
      <c r="S334" s="11" t="n">
        <f aca="false">IF(AND(ISNUMBER(R334),R334&gt;1,P334&gt;0),R334/P334-1,"")</f>
        <v>-0.857129505622365</v>
      </c>
      <c r="T334" s="9" t="n">
        <f aca="false">IF(AND(ISNUMBER(P334),P334&gt;0),P334*EXP('Read me'!$B$22),"")</f>
        <v>436.000035819292</v>
      </c>
    </row>
    <row r="335" customFormat="false" ht="15" hidden="false" customHeight="false" outlineLevel="0" collapsed="false">
      <c r="A335" s="14" t="s">
        <v>227</v>
      </c>
      <c r="B335" s="14" t="s">
        <v>56</v>
      </c>
      <c r="C335" s="14" t="s">
        <v>228</v>
      </c>
      <c r="D335" s="14" t="s">
        <v>570</v>
      </c>
      <c r="E335" s="15" t="n">
        <v>8</v>
      </c>
      <c r="F335" s="14" t="s">
        <v>419</v>
      </c>
      <c r="G335" s="8" t="n">
        <v>6</v>
      </c>
      <c r="H335" s="14" t="s">
        <v>229</v>
      </c>
      <c r="I335" s="14" t="s">
        <v>84</v>
      </c>
      <c r="J335" s="14" t="s">
        <v>230</v>
      </c>
      <c r="K335" s="8" t="n">
        <v>2</v>
      </c>
      <c r="L335" s="8" t="n">
        <v>0</v>
      </c>
      <c r="M335" s="8" t="n">
        <v>2</v>
      </c>
      <c r="N335" s="8" t="n">
        <v>22</v>
      </c>
      <c r="O335" s="8" t="n">
        <v>1</v>
      </c>
      <c r="P335" s="9" t="n">
        <v>2.88832779379757</v>
      </c>
      <c r="Q335" s="10" t="n">
        <v>0.346221091022775</v>
      </c>
      <c r="R335" s="9" t="n">
        <v>2.625</v>
      </c>
      <c r="S335" s="11" t="n">
        <f aca="false">IF(AND(ISNUMBER(R335),R335&gt;1,P335&gt;0),R335/P335-1,"")</f>
        <v>-0.091169636065216</v>
      </c>
      <c r="T335" s="9" t="n">
        <f aca="false">IF(AND(ISNUMBER(P335),P335&gt;0),P335*EXP('Read me'!$B$22),"")</f>
        <v>3.52781153381503</v>
      </c>
    </row>
    <row r="336" customFormat="false" ht="15" hidden="false" customHeight="false" outlineLevel="0" collapsed="false">
      <c r="A336" s="14" t="s">
        <v>227</v>
      </c>
      <c r="B336" s="14" t="s">
        <v>56</v>
      </c>
      <c r="C336" s="14" t="s">
        <v>228</v>
      </c>
      <c r="D336" s="14" t="s">
        <v>570</v>
      </c>
      <c r="E336" s="15" t="n">
        <v>8</v>
      </c>
      <c r="F336" s="14" t="s">
        <v>419</v>
      </c>
      <c r="G336" s="8" t="n">
        <v>6</v>
      </c>
      <c r="H336" s="14" t="s">
        <v>231</v>
      </c>
      <c r="I336" s="14" t="s">
        <v>935</v>
      </c>
      <c r="J336" s="14" t="s">
        <v>133</v>
      </c>
      <c r="K336" s="8" t="n">
        <v>1</v>
      </c>
      <c r="L336" s="8" t="n">
        <v>0</v>
      </c>
      <c r="M336" s="8" t="n">
        <v>2</v>
      </c>
      <c r="N336" s="8" t="n">
        <v>18</v>
      </c>
      <c r="O336" s="8" t="n">
        <v>2</v>
      </c>
      <c r="P336" s="9" t="n">
        <v>3.6826015830931</v>
      </c>
      <c r="Q336" s="10" t="n">
        <v>0.271547159646871</v>
      </c>
      <c r="R336" s="9" t="n">
        <v>5</v>
      </c>
      <c r="S336" s="11" t="n">
        <f aca="false">IF(AND(ISNUMBER(R336),R336&gt;1,P336&gt;0),R336/P336-1,"")</f>
        <v>0.357735798234352</v>
      </c>
      <c r="T336" s="9" t="n">
        <f aca="false">IF(AND(ISNUMBER(P336),P336&gt;0),P336*EXP('Read me'!$B$22),"")</f>
        <v>4.49793973079492</v>
      </c>
    </row>
    <row r="337" customFormat="false" ht="15" hidden="false" customHeight="false" outlineLevel="0" collapsed="false">
      <c r="A337" s="14" t="s">
        <v>227</v>
      </c>
      <c r="B337" s="14" t="s">
        <v>56</v>
      </c>
      <c r="C337" s="14" t="s">
        <v>228</v>
      </c>
      <c r="D337" s="14" t="s">
        <v>570</v>
      </c>
      <c r="E337" s="15" t="n">
        <v>8</v>
      </c>
      <c r="F337" s="14" t="s">
        <v>419</v>
      </c>
      <c r="G337" s="8" t="n">
        <v>6</v>
      </c>
      <c r="H337" s="14" t="s">
        <v>936</v>
      </c>
      <c r="I337" s="14" t="s">
        <v>420</v>
      </c>
      <c r="J337" s="14" t="s">
        <v>582</v>
      </c>
      <c r="K337" s="8" t="n">
        <v>6</v>
      </c>
      <c r="L337" s="8" t="n">
        <v>0</v>
      </c>
      <c r="M337" s="8" t="n">
        <v>2</v>
      </c>
      <c r="N337" s="8" t="n">
        <v>23</v>
      </c>
      <c r="O337" s="8" t="n">
        <v>3</v>
      </c>
      <c r="P337" s="9" t="n">
        <v>4.85486723799022</v>
      </c>
      <c r="Q337" s="10" t="n">
        <v>0.205978856059094</v>
      </c>
      <c r="R337" s="9" t="n">
        <v>2.875</v>
      </c>
      <c r="S337" s="11" t="n">
        <f aca="false">IF(AND(ISNUMBER(R337),R337&gt;1,P337&gt;0),R337/P337-1,"")</f>
        <v>-0.407810788830104</v>
      </c>
      <c r="T337" s="9" t="n">
        <f aca="false">IF(AND(ISNUMBER(P337),P337&gt;0),P337*EXP('Read me'!$B$22),"")</f>
        <v>5.9297482349827</v>
      </c>
    </row>
    <row r="338" customFormat="false" ht="15" hidden="false" customHeight="false" outlineLevel="0" collapsed="false">
      <c r="A338" s="14" t="s">
        <v>227</v>
      </c>
      <c r="B338" s="14" t="s">
        <v>56</v>
      </c>
      <c r="C338" s="14" t="s">
        <v>228</v>
      </c>
      <c r="D338" s="14" t="s">
        <v>570</v>
      </c>
      <c r="E338" s="15" t="n">
        <v>8</v>
      </c>
      <c r="F338" s="14" t="s">
        <v>419</v>
      </c>
      <c r="G338" s="8" t="n">
        <v>6</v>
      </c>
      <c r="H338" s="14" t="s">
        <v>937</v>
      </c>
      <c r="I338" s="14" t="s">
        <v>427</v>
      </c>
      <c r="J338" s="14" t="s">
        <v>571</v>
      </c>
      <c r="K338" s="8" t="n">
        <v>7</v>
      </c>
      <c r="L338" s="8" t="n">
        <v>0</v>
      </c>
      <c r="M338" s="8" t="n">
        <v>2</v>
      </c>
      <c r="N338" s="8" t="n">
        <v>14</v>
      </c>
      <c r="O338" s="8" t="n">
        <v>4</v>
      </c>
      <c r="P338" s="9" t="n">
        <v>8.51783481774077</v>
      </c>
      <c r="Q338" s="10" t="n">
        <v>0.117400726991937</v>
      </c>
      <c r="R338" s="9" t="n">
        <v>6</v>
      </c>
      <c r="S338" s="11" t="n">
        <f aca="false">IF(AND(ISNUMBER(R338),R338&gt;1,P338&gt;0),R338/P338-1,"")</f>
        <v>-0.295595638048377</v>
      </c>
      <c r="T338" s="9" t="n">
        <f aca="false">IF(AND(ISNUMBER(P338),P338&gt;0),P338*EXP('Read me'!$B$22),"")</f>
        <v>10.4037069399413</v>
      </c>
    </row>
    <row r="339" customFormat="false" ht="15" hidden="false" customHeight="false" outlineLevel="0" collapsed="false">
      <c r="A339" s="14" t="s">
        <v>227</v>
      </c>
      <c r="B339" s="14" t="s">
        <v>56</v>
      </c>
      <c r="C339" s="14" t="s">
        <v>228</v>
      </c>
      <c r="D339" s="14" t="s">
        <v>570</v>
      </c>
      <c r="E339" s="15" t="n">
        <v>8</v>
      </c>
      <c r="F339" s="14" t="s">
        <v>419</v>
      </c>
      <c r="G339" s="8" t="n">
        <v>6</v>
      </c>
      <c r="H339" s="14" t="s">
        <v>938</v>
      </c>
      <c r="I339" s="14" t="s">
        <v>266</v>
      </c>
      <c r="J339" s="14" t="s">
        <v>91</v>
      </c>
      <c r="K339" s="8" t="n">
        <v>5</v>
      </c>
      <c r="L339" s="8" t="n">
        <v>0</v>
      </c>
      <c r="M339" s="8" t="n">
        <v>2</v>
      </c>
      <c r="N339" s="8" t="n">
        <v>23</v>
      </c>
      <c r="O339" s="8" t="n">
        <v>5</v>
      </c>
      <c r="P339" s="9" t="n">
        <v>25.6256722133149</v>
      </c>
      <c r="Q339" s="10" t="n">
        <v>0.0390233665550599</v>
      </c>
      <c r="R339" s="9" t="n">
        <v>26</v>
      </c>
      <c r="S339" s="11" t="n">
        <f aca="false">IF(AND(ISNUMBER(R339),R339&gt;1,P339&gt;0),R339/P339-1,"")</f>
        <v>0.0146075304315589</v>
      </c>
      <c r="T339" s="9" t="n">
        <f aca="false">IF(AND(ISNUMBER(P339),P339&gt;0),P339*EXP('Read me'!$B$22),"")</f>
        <v>31.2992667210512</v>
      </c>
    </row>
    <row r="340" customFormat="false" ht="15" hidden="false" customHeight="false" outlineLevel="0" collapsed="false">
      <c r="A340" s="14" t="s">
        <v>227</v>
      </c>
      <c r="B340" s="14" t="s">
        <v>56</v>
      </c>
      <c r="C340" s="14" t="s">
        <v>228</v>
      </c>
      <c r="D340" s="14" t="s">
        <v>570</v>
      </c>
      <c r="E340" s="15" t="n">
        <v>8</v>
      </c>
      <c r="F340" s="14" t="s">
        <v>419</v>
      </c>
      <c r="G340" s="8" t="n">
        <v>6</v>
      </c>
      <c r="H340" s="14" t="s">
        <v>939</v>
      </c>
      <c r="I340" s="14" t="s">
        <v>423</v>
      </c>
      <c r="J340" s="14" t="s">
        <v>574</v>
      </c>
      <c r="K340" s="8" t="n">
        <v>4</v>
      </c>
      <c r="L340" s="8" t="n">
        <v>0</v>
      </c>
      <c r="M340" s="8" t="n">
        <v>2</v>
      </c>
      <c r="N340" s="8"/>
      <c r="O340" s="8" t="n">
        <v>6</v>
      </c>
      <c r="P340" s="9" t="n">
        <v>50.4316960131661</v>
      </c>
      <c r="Q340" s="10" t="n">
        <v>0.0198287997242633</v>
      </c>
      <c r="R340" s="9" t="n">
        <v>151</v>
      </c>
      <c r="S340" s="11" t="n">
        <f aca="false">IF(AND(ISNUMBER(R340),R340&gt;1,P340&gt;0),R340/P340-1,"")</f>
        <v>1.99414875836376</v>
      </c>
      <c r="T340" s="9" t="n">
        <f aca="false">IF(AND(ISNUMBER(P340),P340&gt;0),P340*EXP('Read me'!$B$22),"")</f>
        <v>61.5974126091763</v>
      </c>
    </row>
    <row r="341" customFormat="false" ht="15" hidden="false" customHeight="false" outlineLevel="0" collapsed="false">
      <c r="A341" s="14" t="s">
        <v>232</v>
      </c>
      <c r="B341" s="14" t="s">
        <v>63</v>
      </c>
      <c r="C341" s="14" t="s">
        <v>233</v>
      </c>
      <c r="D341" s="14" t="s">
        <v>803</v>
      </c>
      <c r="E341" s="15" t="n">
        <v>6</v>
      </c>
      <c r="F341" s="14" t="s">
        <v>388</v>
      </c>
      <c r="G341" s="8" t="n">
        <v>10</v>
      </c>
      <c r="H341" s="14" t="s">
        <v>234</v>
      </c>
      <c r="I341" s="14" t="s">
        <v>235</v>
      </c>
      <c r="J341" s="14" t="s">
        <v>236</v>
      </c>
      <c r="K341" s="8" t="n">
        <v>9</v>
      </c>
      <c r="L341" s="8" t="n">
        <v>62</v>
      </c>
      <c r="M341" s="8" t="n">
        <v>5</v>
      </c>
      <c r="N341" s="8" t="n">
        <v>18</v>
      </c>
      <c r="O341" s="8" t="n">
        <v>1</v>
      </c>
      <c r="P341" s="9" t="n">
        <v>4.51066895635256</v>
      </c>
      <c r="Q341" s="10" t="n">
        <v>0.221696606351849</v>
      </c>
      <c r="R341" s="9" t="n">
        <v>3.5</v>
      </c>
      <c r="S341" s="11" t="n">
        <f aca="false">IF(AND(ISNUMBER(R341),R341&gt;1,P341&gt;0),R341/P341-1,"")</f>
        <v>-0.224061877768527</v>
      </c>
      <c r="T341" s="9" t="n">
        <f aca="false">IF(AND(ISNUMBER(P341),P341&gt;0),P341*EXP('Read me'!$B$22),"")</f>
        <v>5.50934350443647</v>
      </c>
    </row>
    <row r="342" customFormat="false" ht="15" hidden="false" customHeight="false" outlineLevel="0" collapsed="false">
      <c r="A342" s="14" t="s">
        <v>232</v>
      </c>
      <c r="B342" s="14" t="s">
        <v>63</v>
      </c>
      <c r="C342" s="14" t="s">
        <v>233</v>
      </c>
      <c r="D342" s="14" t="s">
        <v>803</v>
      </c>
      <c r="E342" s="15" t="n">
        <v>6</v>
      </c>
      <c r="F342" s="14" t="s">
        <v>388</v>
      </c>
      <c r="G342" s="8" t="n">
        <v>10</v>
      </c>
      <c r="H342" s="14" t="s">
        <v>237</v>
      </c>
      <c r="I342" s="14" t="s">
        <v>126</v>
      </c>
      <c r="J342" s="14" t="s">
        <v>447</v>
      </c>
      <c r="K342" s="8" t="n">
        <v>6</v>
      </c>
      <c r="L342" s="8" t="n">
        <v>65</v>
      </c>
      <c r="M342" s="8" t="n">
        <v>5</v>
      </c>
      <c r="N342" s="8" t="n">
        <v>18</v>
      </c>
      <c r="O342" s="8" t="n">
        <v>2</v>
      </c>
      <c r="P342" s="9" t="n">
        <v>4.88244188774174</v>
      </c>
      <c r="Q342" s="10" t="n">
        <v>0.204815545784719</v>
      </c>
      <c r="R342" s="9" t="n">
        <v>6</v>
      </c>
      <c r="S342" s="11" t="n">
        <f aca="false">IF(AND(ISNUMBER(R342),R342&gt;1,P342&gt;0),R342/P342-1,"")</f>
        <v>0.228893274708315</v>
      </c>
      <c r="T342" s="9" t="n">
        <f aca="false">IF(AND(ISNUMBER(P342),P342&gt;0),P342*EXP('Read me'!$B$22),"")</f>
        <v>5.96342798824451</v>
      </c>
    </row>
    <row r="343" customFormat="false" ht="15" hidden="false" customHeight="false" outlineLevel="0" collapsed="false">
      <c r="A343" s="14" t="s">
        <v>232</v>
      </c>
      <c r="B343" s="14" t="s">
        <v>63</v>
      </c>
      <c r="C343" s="14" t="s">
        <v>233</v>
      </c>
      <c r="D343" s="14" t="s">
        <v>803</v>
      </c>
      <c r="E343" s="15" t="n">
        <v>6</v>
      </c>
      <c r="F343" s="14" t="s">
        <v>388</v>
      </c>
      <c r="G343" s="8" t="n">
        <v>10</v>
      </c>
      <c r="H343" s="14" t="s">
        <v>940</v>
      </c>
      <c r="I343" s="14" t="s">
        <v>690</v>
      </c>
      <c r="J343" s="14" t="s">
        <v>941</v>
      </c>
      <c r="K343" s="8" t="n">
        <v>7</v>
      </c>
      <c r="L343" s="8" t="n">
        <v>57</v>
      </c>
      <c r="M343" s="8" t="n">
        <v>9</v>
      </c>
      <c r="N343" s="8" t="n">
        <v>17</v>
      </c>
      <c r="O343" s="8" t="n">
        <v>3</v>
      </c>
      <c r="P343" s="9" t="n">
        <v>7.91966158408915</v>
      </c>
      <c r="Q343" s="10" t="n">
        <v>0.126268021604488</v>
      </c>
      <c r="R343" s="9" t="n">
        <v>5.5</v>
      </c>
      <c r="S343" s="11" t="n">
        <f aca="false">IF(AND(ISNUMBER(R343),R343&gt;1,P343&gt;0),R343/P343-1,"")</f>
        <v>-0.305525881175318</v>
      </c>
      <c r="T343" s="9" t="n">
        <f aca="false">IF(AND(ISNUMBER(P343),P343&gt;0),P343*EXP('Read me'!$B$22),"")</f>
        <v>9.67309650250163</v>
      </c>
    </row>
    <row r="344" customFormat="false" ht="15" hidden="false" customHeight="false" outlineLevel="0" collapsed="false">
      <c r="A344" s="14" t="s">
        <v>232</v>
      </c>
      <c r="B344" s="14" t="s">
        <v>63</v>
      </c>
      <c r="C344" s="14" t="s">
        <v>233</v>
      </c>
      <c r="D344" s="14" t="s">
        <v>803</v>
      </c>
      <c r="E344" s="15" t="n">
        <v>6</v>
      </c>
      <c r="F344" s="14" t="s">
        <v>388</v>
      </c>
      <c r="G344" s="8" t="n">
        <v>10</v>
      </c>
      <c r="H344" s="14" t="s">
        <v>942</v>
      </c>
      <c r="I344" s="14" t="s">
        <v>438</v>
      </c>
      <c r="J344" s="14" t="s">
        <v>805</v>
      </c>
      <c r="K344" s="8" t="n">
        <v>4</v>
      </c>
      <c r="L344" s="8" t="n">
        <v>65</v>
      </c>
      <c r="M344" s="8" t="n">
        <v>3</v>
      </c>
      <c r="N344" s="8" t="n">
        <v>35</v>
      </c>
      <c r="O344" s="8" t="n">
        <v>4</v>
      </c>
      <c r="P344" s="9" t="n">
        <v>9.44660336051542</v>
      </c>
      <c r="Q344" s="10" t="n">
        <v>0.10585815470773</v>
      </c>
      <c r="R344" s="9" t="n">
        <v>10</v>
      </c>
      <c r="S344" s="11" t="n">
        <f aca="false">IF(AND(ISNUMBER(R344),R344&gt;1,P344&gt;0),R344/P344-1,"")</f>
        <v>0.0585815470772959</v>
      </c>
      <c r="T344" s="9" t="n">
        <f aca="false">IF(AND(ISNUMBER(P344),P344&gt;0),P344*EXP('Read me'!$B$22),"")</f>
        <v>11.5381073997787</v>
      </c>
    </row>
    <row r="345" customFormat="false" ht="15" hidden="false" customHeight="false" outlineLevel="0" collapsed="false">
      <c r="A345" s="14" t="s">
        <v>232</v>
      </c>
      <c r="B345" s="14" t="s">
        <v>63</v>
      </c>
      <c r="C345" s="14" t="s">
        <v>233</v>
      </c>
      <c r="D345" s="14" t="s">
        <v>803</v>
      </c>
      <c r="E345" s="15" t="n">
        <v>6</v>
      </c>
      <c r="F345" s="14" t="s">
        <v>388</v>
      </c>
      <c r="G345" s="8" t="n">
        <v>10</v>
      </c>
      <c r="H345" s="14" t="s">
        <v>943</v>
      </c>
      <c r="I345" s="14" t="s">
        <v>90</v>
      </c>
      <c r="J345" s="14" t="s">
        <v>944</v>
      </c>
      <c r="K345" s="8" t="n">
        <v>10</v>
      </c>
      <c r="L345" s="8" t="n">
        <v>54</v>
      </c>
      <c r="M345" s="8" t="n">
        <v>3</v>
      </c>
      <c r="N345" s="8" t="n">
        <v>12</v>
      </c>
      <c r="O345" s="8" t="n">
        <v>5</v>
      </c>
      <c r="P345" s="9" t="n">
        <v>11.3893698776608</v>
      </c>
      <c r="Q345" s="10" t="n">
        <v>0.0878011699278826</v>
      </c>
      <c r="R345" s="9" t="n">
        <v>9</v>
      </c>
      <c r="S345" s="11" t="n">
        <f aca="false">IF(AND(ISNUMBER(R345),R345&gt;1,P345&gt;0),R345/P345-1,"")</f>
        <v>-0.209789470649056</v>
      </c>
      <c r="T345" s="9" t="n">
        <f aca="false">IF(AND(ISNUMBER(P345),P345&gt;0),P345*EXP('Read me'!$B$22),"")</f>
        <v>13.9110077822812</v>
      </c>
    </row>
    <row r="346" customFormat="false" ht="15" hidden="false" customHeight="false" outlineLevel="0" collapsed="false">
      <c r="A346" s="14" t="s">
        <v>232</v>
      </c>
      <c r="B346" s="14" t="s">
        <v>63</v>
      </c>
      <c r="C346" s="14" t="s">
        <v>233</v>
      </c>
      <c r="D346" s="14" t="s">
        <v>803</v>
      </c>
      <c r="E346" s="15" t="n">
        <v>6</v>
      </c>
      <c r="F346" s="14" t="s">
        <v>388</v>
      </c>
      <c r="G346" s="8" t="n">
        <v>10</v>
      </c>
      <c r="H346" s="14" t="s">
        <v>945</v>
      </c>
      <c r="I346" s="14" t="s">
        <v>300</v>
      </c>
      <c r="J346" s="14" t="s">
        <v>615</v>
      </c>
      <c r="K346" s="8" t="n">
        <v>3</v>
      </c>
      <c r="L346" s="8" t="n">
        <v>59</v>
      </c>
      <c r="M346" s="8" t="n">
        <v>5</v>
      </c>
      <c r="N346" s="8" t="n">
        <v>18</v>
      </c>
      <c r="O346" s="8" t="n">
        <v>6</v>
      </c>
      <c r="P346" s="9" t="n">
        <v>17.2778796389886</v>
      </c>
      <c r="Q346" s="10" t="n">
        <v>0.0578774722879442</v>
      </c>
      <c r="R346" s="9" t="n">
        <v>8.5</v>
      </c>
      <c r="S346" s="11" t="n">
        <f aca="false">IF(AND(ISNUMBER(R346),R346&gt;1,P346&gt;0),R346/P346-1,"")</f>
        <v>-0.508041485552474</v>
      </c>
      <c r="T346" s="9" t="n">
        <f aca="false">IF(AND(ISNUMBER(P346),P346&gt;0),P346*EXP('Read me'!$B$22),"")</f>
        <v>21.1032498462201</v>
      </c>
    </row>
    <row r="347" customFormat="false" ht="15" hidden="false" customHeight="false" outlineLevel="0" collapsed="false">
      <c r="A347" s="14" t="s">
        <v>232</v>
      </c>
      <c r="B347" s="14" t="s">
        <v>63</v>
      </c>
      <c r="C347" s="14" t="s">
        <v>233</v>
      </c>
      <c r="D347" s="14" t="s">
        <v>803</v>
      </c>
      <c r="E347" s="15" t="n">
        <v>6</v>
      </c>
      <c r="F347" s="14" t="s">
        <v>388</v>
      </c>
      <c r="G347" s="8" t="n">
        <v>10</v>
      </c>
      <c r="H347" s="14" t="s">
        <v>946</v>
      </c>
      <c r="I347" s="14" t="s">
        <v>631</v>
      </c>
      <c r="J347" s="14" t="s">
        <v>236</v>
      </c>
      <c r="K347" s="8" t="n">
        <v>5</v>
      </c>
      <c r="L347" s="8" t="n">
        <v>60</v>
      </c>
      <c r="M347" s="8" t="n">
        <v>7</v>
      </c>
      <c r="N347" s="8" t="n">
        <v>18</v>
      </c>
      <c r="O347" s="8" t="n">
        <v>7</v>
      </c>
      <c r="P347" s="9" t="n">
        <v>17.8055608414118</v>
      </c>
      <c r="Q347" s="10" t="n">
        <v>0.0561622298172278</v>
      </c>
      <c r="R347" s="9" t="n">
        <v>17</v>
      </c>
      <c r="S347" s="11" t="n">
        <f aca="false">IF(AND(ISNUMBER(R347),R347&gt;1,P347&gt;0),R347/P347-1,"")</f>
        <v>-0.0452420931071262</v>
      </c>
      <c r="T347" s="9" t="n">
        <f aca="false">IF(AND(ISNUMBER(P347),P347&gt;0),P347*EXP('Read me'!$B$22),"")</f>
        <v>21.747761122289</v>
      </c>
    </row>
    <row r="348" customFormat="false" ht="15" hidden="false" customHeight="false" outlineLevel="0" collapsed="false">
      <c r="A348" s="14" t="s">
        <v>232</v>
      </c>
      <c r="B348" s="14" t="s">
        <v>63</v>
      </c>
      <c r="C348" s="14" t="s">
        <v>233</v>
      </c>
      <c r="D348" s="14" t="s">
        <v>803</v>
      </c>
      <c r="E348" s="15" t="n">
        <v>6</v>
      </c>
      <c r="F348" s="14" t="s">
        <v>388</v>
      </c>
      <c r="G348" s="8" t="n">
        <v>10</v>
      </c>
      <c r="H348" s="14" t="s">
        <v>947</v>
      </c>
      <c r="I348" s="14" t="s">
        <v>441</v>
      </c>
      <c r="J348" s="14" t="s">
        <v>948</v>
      </c>
      <c r="K348" s="8" t="n">
        <v>1</v>
      </c>
      <c r="L348" s="8" t="n">
        <v>58</v>
      </c>
      <c r="M348" s="8" t="n">
        <v>3</v>
      </c>
      <c r="N348" s="8" t="n">
        <v>9</v>
      </c>
      <c r="O348" s="8" t="n">
        <v>8</v>
      </c>
      <c r="P348" s="9" t="n">
        <v>18.1802916548631</v>
      </c>
      <c r="Q348" s="10" t="n">
        <v>0.0550046181317727</v>
      </c>
      <c r="R348" s="9" t="n">
        <v>19</v>
      </c>
      <c r="S348" s="11" t="n">
        <f aca="false">IF(AND(ISNUMBER(R348),R348&gt;1,P348&gt;0),R348/P348-1,"")</f>
        <v>0.0450877445036819</v>
      </c>
      <c r="T348" s="9" t="n">
        <f aca="false">IF(AND(ISNUMBER(P348),P348&gt;0),P348*EXP('Read me'!$B$22),"")</f>
        <v>22.2054583714061</v>
      </c>
    </row>
    <row r="349" customFormat="false" ht="15" hidden="false" customHeight="false" outlineLevel="0" collapsed="false">
      <c r="A349" s="14" t="s">
        <v>232</v>
      </c>
      <c r="B349" s="14" t="s">
        <v>63</v>
      </c>
      <c r="C349" s="14" t="s">
        <v>233</v>
      </c>
      <c r="D349" s="14" t="s">
        <v>803</v>
      </c>
      <c r="E349" s="15" t="n">
        <v>6</v>
      </c>
      <c r="F349" s="14" t="s">
        <v>388</v>
      </c>
      <c r="G349" s="8" t="n">
        <v>10</v>
      </c>
      <c r="H349" s="14" t="s">
        <v>949</v>
      </c>
      <c r="I349" s="14" t="s">
        <v>272</v>
      </c>
      <c r="J349" s="14" t="s">
        <v>950</v>
      </c>
      <c r="K349" s="8" t="n">
        <v>8</v>
      </c>
      <c r="L349" s="8" t="n">
        <v>52</v>
      </c>
      <c r="M349" s="8" t="n">
        <v>4</v>
      </c>
      <c r="N349" s="8" t="n">
        <v>11</v>
      </c>
      <c r="O349" s="8" t="n">
        <v>9</v>
      </c>
      <c r="P349" s="9" t="n">
        <v>20.8921178958789</v>
      </c>
      <c r="Q349" s="10" t="n">
        <v>0.0478649414570486</v>
      </c>
      <c r="R349" s="9" t="n">
        <v>17</v>
      </c>
      <c r="S349" s="11" t="n">
        <f aca="false">IF(AND(ISNUMBER(R349),R349&gt;1,P349&gt;0),R349/P349-1,"")</f>
        <v>-0.186295995230174</v>
      </c>
      <c r="T349" s="9" t="n">
        <f aca="false">IF(AND(ISNUMBER(P349),P349&gt;0),P349*EXP('Read me'!$B$22),"")</f>
        <v>25.5176904218339</v>
      </c>
    </row>
    <row r="350" customFormat="false" ht="15" hidden="false" customHeight="false" outlineLevel="0" collapsed="false">
      <c r="A350" s="14" t="s">
        <v>232</v>
      </c>
      <c r="B350" s="14" t="s">
        <v>63</v>
      </c>
      <c r="C350" s="14" t="s">
        <v>233</v>
      </c>
      <c r="D350" s="14" t="s">
        <v>803</v>
      </c>
      <c r="E350" s="15" t="n">
        <v>6</v>
      </c>
      <c r="F350" s="14" t="s">
        <v>388</v>
      </c>
      <c r="G350" s="8" t="n">
        <v>10</v>
      </c>
      <c r="H350" s="14" t="s">
        <v>951</v>
      </c>
      <c r="I350" s="14" t="s">
        <v>66</v>
      </c>
      <c r="J350" s="14" t="s">
        <v>952</v>
      </c>
      <c r="K350" s="8" t="n">
        <v>2</v>
      </c>
      <c r="L350" s="8" t="n">
        <v>61</v>
      </c>
      <c r="M350" s="8" t="n">
        <v>3</v>
      </c>
      <c r="N350" s="8" t="n">
        <v>74</v>
      </c>
      <c r="O350" s="8" t="n">
        <v>10</v>
      </c>
      <c r="P350" s="9" t="n">
        <v>27.2842065351119</v>
      </c>
      <c r="Q350" s="10" t="n">
        <v>0.036651239929338</v>
      </c>
      <c r="R350" s="9" t="n">
        <v>34</v>
      </c>
      <c r="S350" s="11" t="n">
        <f aca="false">IF(AND(ISNUMBER(R350),R350&gt;1,P350&gt;0),R350/P350-1,"")</f>
        <v>0.246142157597494</v>
      </c>
      <c r="T350" s="9" t="n">
        <f aca="false">IF(AND(ISNUMBER(P350),P350&gt;0),P350*EXP('Read me'!$B$22),"")</f>
        <v>33.3250051161974</v>
      </c>
    </row>
    <row r="351" customFormat="false" ht="15" hidden="false" customHeight="false" outlineLevel="0" collapsed="false">
      <c r="A351" s="14" t="s">
        <v>238</v>
      </c>
      <c r="B351" s="14" t="s">
        <v>197</v>
      </c>
      <c r="C351" s="14" t="s">
        <v>239</v>
      </c>
      <c r="D351" s="14" t="s">
        <v>877</v>
      </c>
      <c r="E351" s="15" t="n">
        <v>5</v>
      </c>
      <c r="F351" s="14" t="s">
        <v>819</v>
      </c>
      <c r="G351" s="8" t="n">
        <v>10</v>
      </c>
      <c r="H351" s="14" t="s">
        <v>240</v>
      </c>
      <c r="I351" s="14" t="s">
        <v>200</v>
      </c>
      <c r="J351" s="14" t="s">
        <v>241</v>
      </c>
      <c r="K351" s="8" t="n">
        <v>6</v>
      </c>
      <c r="L351" s="8" t="n">
        <v>70</v>
      </c>
      <c r="M351" s="8" t="n">
        <v>2</v>
      </c>
      <c r="N351" s="8" t="n">
        <v>19</v>
      </c>
      <c r="O351" s="8" t="n">
        <v>1</v>
      </c>
      <c r="P351" s="9" t="n">
        <v>2.31421543300291</v>
      </c>
      <c r="Q351" s="10" t="n">
        <v>0.432111888002754</v>
      </c>
      <c r="R351" s="9" t="n">
        <v>2.875</v>
      </c>
      <c r="S351" s="11" t="n">
        <f aca="false">IF(AND(ISNUMBER(R351),R351&gt;1,P351&gt;0),R351/P351-1,"")</f>
        <v>0.242321678007918</v>
      </c>
      <c r="T351" s="9" t="n">
        <f aca="false">IF(AND(ISNUMBER(P351),P351&gt;0),P351*EXP('Read me'!$B$22),"")</f>
        <v>2.82658911284659</v>
      </c>
    </row>
    <row r="352" customFormat="false" ht="15" hidden="false" customHeight="false" outlineLevel="0" collapsed="false">
      <c r="A352" s="14" t="s">
        <v>238</v>
      </c>
      <c r="B352" s="14" t="s">
        <v>197</v>
      </c>
      <c r="C352" s="14" t="s">
        <v>239</v>
      </c>
      <c r="D352" s="14" t="s">
        <v>877</v>
      </c>
      <c r="E352" s="15" t="n">
        <v>5</v>
      </c>
      <c r="F352" s="14" t="s">
        <v>819</v>
      </c>
      <c r="G352" s="8" t="n">
        <v>10</v>
      </c>
      <c r="H352" s="14" t="s">
        <v>242</v>
      </c>
      <c r="I352" s="14" t="s">
        <v>820</v>
      </c>
      <c r="J352" s="14" t="s">
        <v>692</v>
      </c>
      <c r="K352" s="8" t="n">
        <v>3</v>
      </c>
      <c r="L352" s="8" t="n">
        <v>68</v>
      </c>
      <c r="M352" s="8" t="n">
        <v>2</v>
      </c>
      <c r="N352" s="8" t="n">
        <v>37</v>
      </c>
      <c r="O352" s="8" t="n">
        <v>2</v>
      </c>
      <c r="P352" s="9" t="n">
        <v>5.82025846048623</v>
      </c>
      <c r="Q352" s="10" t="n">
        <v>0.171813675765261</v>
      </c>
      <c r="R352" s="9" t="n">
        <v>4.5</v>
      </c>
      <c r="S352" s="11" t="n">
        <f aca="false">IF(AND(ISNUMBER(R352),R352&gt;1,P352&gt;0),R352/P352-1,"")</f>
        <v>-0.226838459056325</v>
      </c>
      <c r="T352" s="9" t="n">
        <f aca="false">IF(AND(ISNUMBER(P352),P352&gt;0),P352*EXP('Read me'!$B$22),"")</f>
        <v>7.10887973684295</v>
      </c>
    </row>
    <row r="353" customFormat="false" ht="15" hidden="false" customHeight="false" outlineLevel="0" collapsed="false">
      <c r="A353" s="14" t="s">
        <v>238</v>
      </c>
      <c r="B353" s="14" t="s">
        <v>197</v>
      </c>
      <c r="C353" s="14" t="s">
        <v>239</v>
      </c>
      <c r="D353" s="14" t="s">
        <v>877</v>
      </c>
      <c r="E353" s="15" t="n">
        <v>5</v>
      </c>
      <c r="F353" s="14" t="s">
        <v>819</v>
      </c>
      <c r="G353" s="8" t="n">
        <v>10</v>
      </c>
      <c r="H353" s="14" t="s">
        <v>953</v>
      </c>
      <c r="I353" s="14" t="s">
        <v>306</v>
      </c>
      <c r="J353" s="14" t="s">
        <v>954</v>
      </c>
      <c r="K353" s="8" t="n">
        <v>7</v>
      </c>
      <c r="L353" s="8" t="n">
        <v>69</v>
      </c>
      <c r="M353" s="8" t="n">
        <v>2</v>
      </c>
      <c r="N353" s="8" t="n">
        <v>10</v>
      </c>
      <c r="O353" s="8" t="n">
        <v>3</v>
      </c>
      <c r="P353" s="9" t="n">
        <v>7.5572084010296</v>
      </c>
      <c r="Q353" s="10" t="n">
        <v>0.132323994117161</v>
      </c>
      <c r="R353" s="9" t="n">
        <v>6.5</v>
      </c>
      <c r="S353" s="11" t="n">
        <f aca="false">IF(AND(ISNUMBER(R353),R353&gt;1,P353&gt;0),R353/P353-1,"")</f>
        <v>-0.139894038238453</v>
      </c>
      <c r="T353" s="9" t="n">
        <f aca="false">IF(AND(ISNUMBER(P353),P353&gt;0),P353*EXP('Read me'!$B$22),"")</f>
        <v>9.23039518500876</v>
      </c>
    </row>
    <row r="354" customFormat="false" ht="15" hidden="false" customHeight="false" outlineLevel="0" collapsed="false">
      <c r="A354" s="14" t="s">
        <v>238</v>
      </c>
      <c r="B354" s="14" t="s">
        <v>197</v>
      </c>
      <c r="C354" s="14" t="s">
        <v>239</v>
      </c>
      <c r="D354" s="14" t="s">
        <v>877</v>
      </c>
      <c r="E354" s="15" t="n">
        <v>5</v>
      </c>
      <c r="F354" s="14" t="s">
        <v>819</v>
      </c>
      <c r="G354" s="8" t="n">
        <v>10</v>
      </c>
      <c r="H354" s="14" t="s">
        <v>955</v>
      </c>
      <c r="I354" s="14" t="s">
        <v>956</v>
      </c>
      <c r="J354" s="14" t="s">
        <v>456</v>
      </c>
      <c r="K354" s="8" t="n">
        <v>8</v>
      </c>
      <c r="L354" s="8" t="n">
        <v>72</v>
      </c>
      <c r="M354" s="8" t="n">
        <v>2</v>
      </c>
      <c r="N354" s="8" t="n">
        <v>31</v>
      </c>
      <c r="O354" s="8" t="n">
        <v>4</v>
      </c>
      <c r="P354" s="9" t="n">
        <v>10.198812216014</v>
      </c>
      <c r="Q354" s="10" t="n">
        <v>0.0980506336247491</v>
      </c>
      <c r="R354" s="9" t="n">
        <v>6.5</v>
      </c>
      <c r="S354" s="11" t="n">
        <f aca="false">IF(AND(ISNUMBER(R354),R354&gt;1,P354&gt;0),R354/P354-1,"")</f>
        <v>-0.362670881439131</v>
      </c>
      <c r="T354" s="9" t="n">
        <f aca="false">IF(AND(ISNUMBER(P354),P354&gt;0),P354*EXP('Read me'!$B$22),"")</f>
        <v>12.4568573705971</v>
      </c>
    </row>
    <row r="355" customFormat="false" ht="15" hidden="false" customHeight="false" outlineLevel="0" collapsed="false">
      <c r="A355" s="14" t="s">
        <v>238</v>
      </c>
      <c r="B355" s="14" t="s">
        <v>197</v>
      </c>
      <c r="C355" s="14" t="s">
        <v>239</v>
      </c>
      <c r="D355" s="14" t="s">
        <v>877</v>
      </c>
      <c r="E355" s="15" t="n">
        <v>5</v>
      </c>
      <c r="F355" s="14" t="s">
        <v>819</v>
      </c>
      <c r="G355" s="8" t="n">
        <v>10</v>
      </c>
      <c r="H355" s="14" t="s">
        <v>957</v>
      </c>
      <c r="I355" s="14" t="s">
        <v>822</v>
      </c>
      <c r="J355" s="14" t="s">
        <v>655</v>
      </c>
      <c r="K355" s="8" t="n">
        <v>4</v>
      </c>
      <c r="L355" s="8" t="n">
        <v>70</v>
      </c>
      <c r="M355" s="8" t="n">
        <v>2</v>
      </c>
      <c r="N355" s="8" t="n">
        <v>7</v>
      </c>
      <c r="O355" s="8" t="n">
        <v>5</v>
      </c>
      <c r="P355" s="9" t="n">
        <v>13.2459855903363</v>
      </c>
      <c r="Q355" s="10" t="n">
        <v>0.0754945710290943</v>
      </c>
      <c r="R355" s="9" t="n">
        <v>8.5</v>
      </c>
      <c r="S355" s="11" t="n">
        <f aca="false">IF(AND(ISNUMBER(R355),R355&gt;1,P355&gt;0),R355/P355-1,"")</f>
        <v>-0.358296146252698</v>
      </c>
      <c r="T355" s="9" t="n">
        <f aca="false">IF(AND(ISNUMBER(P355),P355&gt;0),P355*EXP('Read me'!$B$22),"")</f>
        <v>16.1786833345866</v>
      </c>
    </row>
    <row r="356" customFormat="false" ht="15" hidden="false" customHeight="false" outlineLevel="0" collapsed="false">
      <c r="A356" s="14" t="s">
        <v>238</v>
      </c>
      <c r="B356" s="14" t="s">
        <v>197</v>
      </c>
      <c r="C356" s="14" t="s">
        <v>239</v>
      </c>
      <c r="D356" s="14" t="s">
        <v>877</v>
      </c>
      <c r="E356" s="15" t="n">
        <v>5</v>
      </c>
      <c r="F356" s="14" t="s">
        <v>819</v>
      </c>
      <c r="G356" s="8" t="n">
        <v>10</v>
      </c>
      <c r="H356" s="14" t="s">
        <v>958</v>
      </c>
      <c r="I356" s="14" t="s">
        <v>959</v>
      </c>
      <c r="J356" s="14" t="s">
        <v>67</v>
      </c>
      <c r="K356" s="8" t="n">
        <v>1</v>
      </c>
      <c r="L356" s="8" t="n">
        <v>0</v>
      </c>
      <c r="M356" s="8" t="n">
        <v>2</v>
      </c>
      <c r="N356" s="8"/>
      <c r="O356" s="8" t="n">
        <v>6</v>
      </c>
      <c r="P356" s="9" t="n">
        <v>26.1469617869335</v>
      </c>
      <c r="Q356" s="10" t="n">
        <v>0.0382453612832268</v>
      </c>
      <c r="R356" s="9" t="n">
        <v>13</v>
      </c>
      <c r="S356" s="11" t="n">
        <f aca="false">IF(AND(ISNUMBER(R356),R356&gt;1,P356&gt;0),R356/P356-1,"")</f>
        <v>-0.502810303318051</v>
      </c>
      <c r="T356" s="9" t="n">
        <f aca="false">IF(AND(ISNUMBER(P356),P356&gt;0),P356*EXP('Read me'!$B$22),"")</f>
        <v>31.9359712440692</v>
      </c>
    </row>
    <row r="357" customFormat="false" ht="15" hidden="false" customHeight="false" outlineLevel="0" collapsed="false">
      <c r="A357" s="14" t="s">
        <v>238</v>
      </c>
      <c r="B357" s="14" t="s">
        <v>197</v>
      </c>
      <c r="C357" s="14" t="s">
        <v>239</v>
      </c>
      <c r="D357" s="14" t="s">
        <v>877</v>
      </c>
      <c r="E357" s="15" t="n">
        <v>5</v>
      </c>
      <c r="F357" s="14" t="s">
        <v>819</v>
      </c>
      <c r="G357" s="8" t="n">
        <v>10</v>
      </c>
      <c r="H357" s="14" t="s">
        <v>960</v>
      </c>
      <c r="I357" s="14" t="s">
        <v>961</v>
      </c>
      <c r="J357" s="14" t="s">
        <v>480</v>
      </c>
      <c r="K357" s="8" t="n">
        <v>5</v>
      </c>
      <c r="L357" s="8" t="n">
        <v>0</v>
      </c>
      <c r="M357" s="8" t="n">
        <v>2</v>
      </c>
      <c r="N357" s="8" t="n">
        <v>5</v>
      </c>
      <c r="O357" s="8" t="n">
        <v>7</v>
      </c>
      <c r="P357" s="9" t="n">
        <v>31.2649109824003</v>
      </c>
      <c r="Q357" s="10" t="n">
        <v>0.0319847384360992</v>
      </c>
      <c r="R357" s="9" t="n">
        <v>17</v>
      </c>
      <c r="S357" s="11" t="n">
        <f aca="false">IF(AND(ISNUMBER(R357),R357&gt;1,P357&gt;0),R357/P357-1,"")</f>
        <v>-0.456259446586313</v>
      </c>
      <c r="T357" s="9" t="n">
        <f aca="false">IF(AND(ISNUMBER(P357),P357&gt;0),P357*EXP('Read me'!$B$22),"")</f>
        <v>38.1870485075359</v>
      </c>
    </row>
    <row r="358" customFormat="false" ht="15" hidden="false" customHeight="false" outlineLevel="0" collapsed="false">
      <c r="A358" s="14" t="s">
        <v>238</v>
      </c>
      <c r="B358" s="14" t="s">
        <v>197</v>
      </c>
      <c r="C358" s="14" t="s">
        <v>239</v>
      </c>
      <c r="D358" s="14" t="s">
        <v>877</v>
      </c>
      <c r="E358" s="15" t="n">
        <v>5</v>
      </c>
      <c r="F358" s="14" t="s">
        <v>819</v>
      </c>
      <c r="G358" s="8" t="n">
        <v>10</v>
      </c>
      <c r="H358" s="14" t="s">
        <v>962</v>
      </c>
      <c r="I358" s="14" t="s">
        <v>963</v>
      </c>
      <c r="J358" s="14" t="s">
        <v>964</v>
      </c>
      <c r="K358" s="8" t="n">
        <v>9</v>
      </c>
      <c r="L358" s="8" t="n">
        <v>0</v>
      </c>
      <c r="M358" s="8" t="n">
        <v>2</v>
      </c>
      <c r="N358" s="8" t="n">
        <v>11</v>
      </c>
      <c r="O358" s="8" t="n">
        <v>8</v>
      </c>
      <c r="P358" s="9" t="n">
        <v>60.8617312169326</v>
      </c>
      <c r="Q358" s="10" t="n">
        <v>0.0164306860814663</v>
      </c>
      <c r="R358" s="9" t="n">
        <v>26</v>
      </c>
      <c r="S358" s="11" t="n">
        <f aca="false">IF(AND(ISNUMBER(R358),R358&gt;1,P358&gt;0),R358/P358-1,"")</f>
        <v>-0.572802161881875</v>
      </c>
      <c r="T358" s="9" t="n">
        <f aca="false">IF(AND(ISNUMBER(P358),P358&gt;0),P358*EXP('Read me'!$B$22),"")</f>
        <v>74.3366863747644</v>
      </c>
    </row>
    <row r="359" customFormat="false" ht="15" hidden="false" customHeight="false" outlineLevel="0" collapsed="false">
      <c r="A359" s="14" t="s">
        <v>238</v>
      </c>
      <c r="B359" s="14" t="s">
        <v>197</v>
      </c>
      <c r="C359" s="14" t="s">
        <v>239</v>
      </c>
      <c r="D359" s="14" t="s">
        <v>877</v>
      </c>
      <c r="E359" s="15" t="n">
        <v>5</v>
      </c>
      <c r="F359" s="14" t="s">
        <v>819</v>
      </c>
      <c r="G359" s="8" t="n">
        <v>10</v>
      </c>
      <c r="H359" s="14" t="s">
        <v>965</v>
      </c>
      <c r="I359" s="14" t="s">
        <v>966</v>
      </c>
      <c r="J359" s="14" t="s">
        <v>67</v>
      </c>
      <c r="K359" s="8" t="n">
        <v>10</v>
      </c>
      <c r="L359" s="8" t="n">
        <v>0</v>
      </c>
      <c r="M359" s="8" t="n">
        <v>2</v>
      </c>
      <c r="N359" s="8" t="n">
        <v>11</v>
      </c>
      <c r="O359" s="8" t="n">
        <v>9</v>
      </c>
      <c r="P359" s="9" t="n">
        <v>404.063417887461</v>
      </c>
      <c r="Q359" s="10" t="n">
        <v>0.0024748590338324</v>
      </c>
      <c r="R359" s="9" t="n">
        <v>67</v>
      </c>
      <c r="S359" s="11" t="n">
        <f aca="false">IF(AND(ISNUMBER(R359),R359&gt;1,P359&gt;0),R359/P359-1,"")</f>
        <v>-0.834184444733226</v>
      </c>
      <c r="T359" s="9" t="n">
        <f aca="false">IF(AND(ISNUMBER(P359),P359&gt;0),P359*EXP('Read me'!$B$22),"")</f>
        <v>493.52417307937</v>
      </c>
    </row>
    <row r="360" customFormat="false" ht="15" hidden="false" customHeight="false" outlineLevel="0" collapsed="false">
      <c r="A360" s="14" t="s">
        <v>238</v>
      </c>
      <c r="B360" s="14" t="s">
        <v>197</v>
      </c>
      <c r="C360" s="14" t="s">
        <v>239</v>
      </c>
      <c r="D360" s="14" t="s">
        <v>877</v>
      </c>
      <c r="E360" s="15" t="n">
        <v>5</v>
      </c>
      <c r="F360" s="14" t="s">
        <v>819</v>
      </c>
      <c r="G360" s="8" t="n">
        <v>10</v>
      </c>
      <c r="H360" s="14" t="s">
        <v>967</v>
      </c>
      <c r="I360" s="14" t="s">
        <v>968</v>
      </c>
      <c r="J360" s="14" t="s">
        <v>207</v>
      </c>
      <c r="K360" s="8" t="n">
        <v>2</v>
      </c>
      <c r="L360" s="8" t="n">
        <v>0</v>
      </c>
      <c r="M360" s="8" t="n">
        <v>2</v>
      </c>
      <c r="N360" s="8" t="n">
        <v>24</v>
      </c>
      <c r="O360" s="8" t="n">
        <v>10</v>
      </c>
      <c r="P360" s="9" t="n">
        <v>934.935390689433</v>
      </c>
      <c r="Q360" s="10" t="n">
        <v>0.0010695926263552</v>
      </c>
      <c r="R360" s="9" t="n">
        <v>101</v>
      </c>
      <c r="S360" s="11" t="n">
        <f aca="false">IF(AND(ISNUMBER(R360),R360&gt;1,P360&gt;0),R360/P360-1,"")</f>
        <v>-0.891971144738118</v>
      </c>
      <c r="T360" s="9" t="n">
        <f aca="false">IF(AND(ISNUMBER(P360),P360&gt;0),P360*EXP('Read me'!$B$22),"")</f>
        <v>1141.93266488963</v>
      </c>
    </row>
    <row r="361" customFormat="false" ht="15" hidden="false" customHeight="false" outlineLevel="0" collapsed="false">
      <c r="A361" s="14" t="s">
        <v>243</v>
      </c>
      <c r="B361" s="14" t="s">
        <v>42</v>
      </c>
      <c r="C361" s="14" t="s">
        <v>244</v>
      </c>
      <c r="D361" s="14" t="s">
        <v>366</v>
      </c>
      <c r="E361" s="15" t="n">
        <v>7</v>
      </c>
      <c r="F361" s="14" t="s">
        <v>367</v>
      </c>
      <c r="G361" s="8" t="n">
        <v>12</v>
      </c>
      <c r="H361" s="14" t="s">
        <v>245</v>
      </c>
      <c r="I361" s="14" t="s">
        <v>246</v>
      </c>
      <c r="J361" s="14" t="s">
        <v>247</v>
      </c>
      <c r="K361" s="8" t="n">
        <v>13</v>
      </c>
      <c r="L361" s="8" t="n">
        <v>97</v>
      </c>
      <c r="M361" s="8" t="n">
        <v>4</v>
      </c>
      <c r="N361" s="8" t="n">
        <v>21</v>
      </c>
      <c r="O361" s="8" t="n">
        <v>1</v>
      </c>
      <c r="P361" s="9" t="n">
        <v>5.13145321501293</v>
      </c>
      <c r="Q361" s="10" t="n">
        <v>0.194876569677052</v>
      </c>
      <c r="R361" s="9" t="n">
        <v>5</v>
      </c>
      <c r="S361" s="11" t="n">
        <f aca="false">IF(AND(ISNUMBER(R361),R361&gt;1,P361&gt;0),R361/P361-1,"")</f>
        <v>-0.0256171516147405</v>
      </c>
      <c r="T361" s="9" t="n">
        <f aca="false">IF(AND(ISNUMBER(P361),P361&gt;0),P361*EXP('Read me'!$B$22),"")</f>
        <v>6.26757111018667</v>
      </c>
    </row>
    <row r="362" customFormat="false" ht="15" hidden="false" customHeight="false" outlineLevel="0" collapsed="false">
      <c r="A362" s="14" t="s">
        <v>243</v>
      </c>
      <c r="B362" s="14" t="s">
        <v>42</v>
      </c>
      <c r="C362" s="14" t="s">
        <v>244</v>
      </c>
      <c r="D362" s="14" t="s">
        <v>366</v>
      </c>
      <c r="E362" s="15" t="n">
        <v>7</v>
      </c>
      <c r="F362" s="14" t="s">
        <v>367</v>
      </c>
      <c r="G362" s="8" t="n">
        <v>12</v>
      </c>
      <c r="H362" s="14" t="s">
        <v>248</v>
      </c>
      <c r="I362" s="14" t="s">
        <v>717</v>
      </c>
      <c r="J362" s="14" t="s">
        <v>338</v>
      </c>
      <c r="K362" s="8" t="n">
        <v>7</v>
      </c>
      <c r="L362" s="8" t="n">
        <v>92</v>
      </c>
      <c r="M362" s="8" t="n">
        <v>4</v>
      </c>
      <c r="N362" s="8" t="n">
        <v>7</v>
      </c>
      <c r="O362" s="8" t="n">
        <v>2</v>
      </c>
      <c r="P362" s="9" t="n">
        <v>6.78424055611339</v>
      </c>
      <c r="Q362" s="10" t="n">
        <v>0.147400433656334</v>
      </c>
      <c r="R362" s="9" t="n">
        <v>5.5</v>
      </c>
      <c r="S362" s="11" t="n">
        <f aca="false">IF(AND(ISNUMBER(R362),R362&gt;1,P362&gt;0),R362/P362-1,"")</f>
        <v>-0.189297614890164</v>
      </c>
      <c r="T362" s="9" t="n">
        <f aca="false">IF(AND(ISNUMBER(P362),P362&gt;0),P362*EXP('Read me'!$B$22),"")</f>
        <v>8.28629012725897</v>
      </c>
    </row>
    <row r="363" customFormat="false" ht="15" hidden="false" customHeight="false" outlineLevel="0" collapsed="false">
      <c r="A363" s="14" t="s">
        <v>243</v>
      </c>
      <c r="B363" s="14" t="s">
        <v>42</v>
      </c>
      <c r="C363" s="14" t="s">
        <v>244</v>
      </c>
      <c r="D363" s="14" t="s">
        <v>366</v>
      </c>
      <c r="E363" s="15" t="n">
        <v>7</v>
      </c>
      <c r="F363" s="14" t="s">
        <v>367</v>
      </c>
      <c r="G363" s="8" t="n">
        <v>12</v>
      </c>
      <c r="H363" s="14" t="s">
        <v>969</v>
      </c>
      <c r="I363" s="14" t="s">
        <v>45</v>
      </c>
      <c r="J363" s="14" t="s">
        <v>970</v>
      </c>
      <c r="K363" s="8" t="n">
        <v>10</v>
      </c>
      <c r="L363" s="8" t="n">
        <v>102</v>
      </c>
      <c r="M363" s="8" t="n">
        <v>5</v>
      </c>
      <c r="N363" s="8" t="n">
        <v>37</v>
      </c>
      <c r="O363" s="8" t="n">
        <v>3</v>
      </c>
      <c r="P363" s="9" t="n">
        <v>7.16717812228162</v>
      </c>
      <c r="Q363" s="10" t="n">
        <v>0.139524926399019</v>
      </c>
      <c r="R363" s="9" t="n">
        <v>6</v>
      </c>
      <c r="S363" s="11" t="n">
        <f aca="false">IF(AND(ISNUMBER(R363),R363&gt;1,P363&gt;0),R363/P363-1,"")</f>
        <v>-0.162850441605888</v>
      </c>
      <c r="T363" s="9" t="n">
        <f aca="false">IF(AND(ISNUMBER(P363),P363&gt;0),P363*EXP('Read me'!$B$22),"")</f>
        <v>8.75401112678</v>
      </c>
    </row>
    <row r="364" customFormat="false" ht="15" hidden="false" customHeight="false" outlineLevel="0" collapsed="false">
      <c r="A364" s="14" t="s">
        <v>243</v>
      </c>
      <c r="B364" s="14" t="s">
        <v>42</v>
      </c>
      <c r="C364" s="14" t="s">
        <v>244</v>
      </c>
      <c r="D364" s="14" t="s">
        <v>366</v>
      </c>
      <c r="E364" s="15" t="n">
        <v>7</v>
      </c>
      <c r="F364" s="14" t="s">
        <v>367</v>
      </c>
      <c r="G364" s="8" t="n">
        <v>12</v>
      </c>
      <c r="H364" s="14" t="s">
        <v>971</v>
      </c>
      <c r="I364" s="14" t="s">
        <v>378</v>
      </c>
      <c r="J364" s="14" t="s">
        <v>674</v>
      </c>
      <c r="K364" s="8" t="n">
        <v>5</v>
      </c>
      <c r="L364" s="8" t="n">
        <v>88</v>
      </c>
      <c r="M364" s="8" t="n">
        <v>4</v>
      </c>
      <c r="N364" s="8" t="n">
        <v>15</v>
      </c>
      <c r="O364" s="8" t="n">
        <v>4</v>
      </c>
      <c r="P364" s="9" t="n">
        <v>9.20461144706109</v>
      </c>
      <c r="Q364" s="10" t="n">
        <v>0.108641196399364</v>
      </c>
      <c r="R364" s="9" t="n">
        <v>8</v>
      </c>
      <c r="S364" s="11" t="n">
        <f aca="false">IF(AND(ISNUMBER(R364),R364&gt;1,P364&gt;0),R364/P364-1,"")</f>
        <v>-0.130870428805086</v>
      </c>
      <c r="T364" s="9" t="n">
        <f aca="false">IF(AND(ISNUMBER(P364),P364&gt;0),P364*EXP('Read me'!$B$22),"")</f>
        <v>11.2425378092331</v>
      </c>
    </row>
    <row r="365" customFormat="false" ht="15" hidden="false" customHeight="false" outlineLevel="0" collapsed="false">
      <c r="A365" s="14" t="s">
        <v>243</v>
      </c>
      <c r="B365" s="14" t="s">
        <v>42</v>
      </c>
      <c r="C365" s="14" t="s">
        <v>244</v>
      </c>
      <c r="D365" s="14" t="s">
        <v>366</v>
      </c>
      <c r="E365" s="15" t="n">
        <v>7</v>
      </c>
      <c r="F365" s="14" t="s">
        <v>367</v>
      </c>
      <c r="G365" s="8" t="n">
        <v>12</v>
      </c>
      <c r="H365" s="14" t="s">
        <v>972</v>
      </c>
      <c r="I365" s="14" t="s">
        <v>369</v>
      </c>
      <c r="J365" s="14" t="s">
        <v>973</v>
      </c>
      <c r="K365" s="8" t="n">
        <v>8</v>
      </c>
      <c r="L365" s="8" t="n">
        <v>96</v>
      </c>
      <c r="M365" s="8" t="n">
        <v>3</v>
      </c>
      <c r="N365" s="8" t="n">
        <v>359</v>
      </c>
      <c r="O365" s="8" t="n">
        <v>5</v>
      </c>
      <c r="P365" s="9" t="n">
        <v>9.28031025204958</v>
      </c>
      <c r="Q365" s="10" t="n">
        <v>0.107755018188012</v>
      </c>
      <c r="R365" s="9" t="n">
        <v>4.5</v>
      </c>
      <c r="S365" s="11" t="n">
        <f aca="false">IF(AND(ISNUMBER(R365),R365&gt;1,P365&gt;0),R365/P365-1,"")</f>
        <v>-0.515102418153944</v>
      </c>
      <c r="T365" s="9" t="n">
        <f aca="false">IF(AND(ISNUMBER(P365),P365&gt;0),P365*EXP('Read me'!$B$22),"")</f>
        <v>11.3349965384355</v>
      </c>
    </row>
    <row r="366" customFormat="false" ht="15" hidden="false" customHeight="false" outlineLevel="0" collapsed="false">
      <c r="A366" s="14" t="s">
        <v>243</v>
      </c>
      <c r="B366" s="14" t="s">
        <v>42</v>
      </c>
      <c r="C366" s="14" t="s">
        <v>244</v>
      </c>
      <c r="D366" s="14" t="s">
        <v>366</v>
      </c>
      <c r="E366" s="15" t="n">
        <v>7</v>
      </c>
      <c r="F366" s="14" t="s">
        <v>367</v>
      </c>
      <c r="G366" s="8" t="n">
        <v>12</v>
      </c>
      <c r="H366" s="14" t="s">
        <v>974</v>
      </c>
      <c r="I366" s="14" t="s">
        <v>705</v>
      </c>
      <c r="J366" s="14" t="s">
        <v>114</v>
      </c>
      <c r="K366" s="8" t="n">
        <v>3</v>
      </c>
      <c r="L366" s="8" t="n">
        <v>94</v>
      </c>
      <c r="M366" s="8" t="n">
        <v>3</v>
      </c>
      <c r="N366" s="8" t="n">
        <v>35</v>
      </c>
      <c r="O366" s="8" t="n">
        <v>6</v>
      </c>
      <c r="P366" s="9" t="n">
        <v>16.6207582023254</v>
      </c>
      <c r="Q366" s="10" t="n">
        <v>0.0601657269678642</v>
      </c>
      <c r="R366" s="9" t="n">
        <v>29</v>
      </c>
      <c r="S366" s="11" t="n">
        <f aca="false">IF(AND(ISNUMBER(R366),R366&gt;1,P366&gt;0),R366/P366-1,"")</f>
        <v>0.744806082068063</v>
      </c>
      <c r="T366" s="9" t="n">
        <f aca="false">IF(AND(ISNUMBER(P366),P366&gt;0),P366*EXP('Read me'!$B$22),"")</f>
        <v>20.3006399110335</v>
      </c>
    </row>
    <row r="367" customFormat="false" ht="15" hidden="false" customHeight="false" outlineLevel="0" collapsed="false">
      <c r="A367" s="14" t="s">
        <v>243</v>
      </c>
      <c r="B367" s="14" t="s">
        <v>42</v>
      </c>
      <c r="C367" s="14" t="s">
        <v>244</v>
      </c>
      <c r="D367" s="14" t="s">
        <v>366</v>
      </c>
      <c r="E367" s="15" t="n">
        <v>7</v>
      </c>
      <c r="F367" s="14" t="s">
        <v>367</v>
      </c>
      <c r="G367" s="8" t="n">
        <v>12</v>
      </c>
      <c r="H367" s="14" t="s">
        <v>975</v>
      </c>
      <c r="I367" s="14" t="s">
        <v>976</v>
      </c>
      <c r="J367" s="14" t="s">
        <v>379</v>
      </c>
      <c r="K367" s="8" t="n">
        <v>2</v>
      </c>
      <c r="L367" s="8" t="n">
        <v>86</v>
      </c>
      <c r="M367" s="8" t="n">
        <v>5</v>
      </c>
      <c r="N367" s="8" t="n">
        <v>21</v>
      </c>
      <c r="O367" s="8" t="n">
        <v>7</v>
      </c>
      <c r="P367" s="9" t="n">
        <v>17.2548656719418</v>
      </c>
      <c r="Q367" s="10" t="n">
        <v>0.0579546673392017</v>
      </c>
      <c r="R367" s="9" t="n">
        <v>17</v>
      </c>
      <c r="S367" s="11" t="n">
        <f aca="false">IF(AND(ISNUMBER(R367),R367&gt;1,P367&gt;0),R367/P367-1,"")</f>
        <v>-0.0147706552335708</v>
      </c>
      <c r="T367" s="9" t="n">
        <f aca="false">IF(AND(ISNUMBER(P367),P367&gt;0),P367*EXP('Read me'!$B$22),"")</f>
        <v>21.075140523393</v>
      </c>
    </row>
    <row r="368" customFormat="false" ht="15" hidden="false" customHeight="false" outlineLevel="0" collapsed="false">
      <c r="A368" s="14" t="s">
        <v>243</v>
      </c>
      <c r="B368" s="14" t="s">
        <v>42</v>
      </c>
      <c r="C368" s="14" t="s">
        <v>244</v>
      </c>
      <c r="D368" s="14" t="s">
        <v>366</v>
      </c>
      <c r="E368" s="15" t="n">
        <v>7</v>
      </c>
      <c r="F368" s="14" t="s">
        <v>367</v>
      </c>
      <c r="G368" s="8" t="n">
        <v>12</v>
      </c>
      <c r="H368" s="14" t="s">
        <v>977</v>
      </c>
      <c r="I368" s="14" t="s">
        <v>978</v>
      </c>
      <c r="J368" s="14" t="s">
        <v>230</v>
      </c>
      <c r="K368" s="8" t="n">
        <v>11</v>
      </c>
      <c r="L368" s="8" t="n">
        <v>104</v>
      </c>
      <c r="M368" s="8" t="n">
        <v>3</v>
      </c>
      <c r="N368" s="8" t="n">
        <v>35</v>
      </c>
      <c r="O368" s="8" t="n">
        <v>8</v>
      </c>
      <c r="P368" s="9" t="n">
        <v>18.1365888646213</v>
      </c>
      <c r="Q368" s="10" t="n">
        <v>0.0551371598851579</v>
      </c>
      <c r="R368" s="9" t="n">
        <v>11</v>
      </c>
      <c r="S368" s="11" t="n">
        <f aca="false">IF(AND(ISNUMBER(R368),R368&gt;1,P368&gt;0),R368/P368-1,"")</f>
        <v>-0.393491241263263</v>
      </c>
      <c r="T368" s="9" t="n">
        <f aca="false">IF(AND(ISNUMBER(P368),P368&gt;0),P368*EXP('Read me'!$B$22),"")</f>
        <v>22.1520796628655</v>
      </c>
    </row>
    <row r="369" customFormat="false" ht="15" hidden="false" customHeight="false" outlineLevel="0" collapsed="false">
      <c r="A369" s="14" t="s">
        <v>243</v>
      </c>
      <c r="B369" s="14" t="s">
        <v>42</v>
      </c>
      <c r="C369" s="14" t="s">
        <v>244</v>
      </c>
      <c r="D369" s="14" t="s">
        <v>366</v>
      </c>
      <c r="E369" s="15" t="n">
        <v>7</v>
      </c>
      <c r="F369" s="14" t="s">
        <v>367</v>
      </c>
      <c r="G369" s="8" t="n">
        <v>12</v>
      </c>
      <c r="H369" s="14" t="s">
        <v>979</v>
      </c>
      <c r="I369" s="14" t="s">
        <v>462</v>
      </c>
      <c r="J369" s="14" t="s">
        <v>980</v>
      </c>
      <c r="K369" s="8" t="n">
        <v>9</v>
      </c>
      <c r="L369" s="8" t="n">
        <v>99</v>
      </c>
      <c r="M369" s="8" t="n">
        <v>5</v>
      </c>
      <c r="N369" s="8" t="n">
        <v>349</v>
      </c>
      <c r="O369" s="8" t="n">
        <v>9</v>
      </c>
      <c r="P369" s="9" t="n">
        <v>21.6693300405853</v>
      </c>
      <c r="Q369" s="10" t="n">
        <v>0.0461481733919351</v>
      </c>
      <c r="R369" s="9" t="n">
        <v>13</v>
      </c>
      <c r="S369" s="11" t="n">
        <f aca="false">IF(AND(ISNUMBER(R369),R369&gt;1,P369&gt;0),R369/P369-1,"")</f>
        <v>-0.400073745904843</v>
      </c>
      <c r="T369" s="9" t="n">
        <f aca="false">IF(AND(ISNUMBER(P369),P369&gt;0),P369*EXP('Read me'!$B$22),"")</f>
        <v>26.4669794790539</v>
      </c>
    </row>
    <row r="370" customFormat="false" ht="15" hidden="false" customHeight="false" outlineLevel="0" collapsed="false">
      <c r="A370" s="14" t="s">
        <v>243</v>
      </c>
      <c r="B370" s="14" t="s">
        <v>42</v>
      </c>
      <c r="C370" s="14" t="s">
        <v>244</v>
      </c>
      <c r="D370" s="14" t="s">
        <v>366</v>
      </c>
      <c r="E370" s="15" t="n">
        <v>7</v>
      </c>
      <c r="F370" s="14" t="s">
        <v>367</v>
      </c>
      <c r="G370" s="8" t="n">
        <v>12</v>
      </c>
      <c r="H370" s="14" t="s">
        <v>981</v>
      </c>
      <c r="I370" s="14" t="s">
        <v>729</v>
      </c>
      <c r="J370" s="14" t="s">
        <v>982</v>
      </c>
      <c r="K370" s="8" t="n">
        <v>6</v>
      </c>
      <c r="L370" s="8" t="n">
        <v>86</v>
      </c>
      <c r="M370" s="8" t="n">
        <v>4</v>
      </c>
      <c r="N370" s="8" t="n">
        <v>16</v>
      </c>
      <c r="O370" s="8" t="n">
        <v>10</v>
      </c>
      <c r="P370" s="9" t="n">
        <v>24.0382197402477</v>
      </c>
      <c r="Q370" s="10" t="n">
        <v>0.041600418450526</v>
      </c>
      <c r="R370" s="9" t="n">
        <v>17</v>
      </c>
      <c r="S370" s="11" t="n">
        <f aca="false">IF(AND(ISNUMBER(R370),R370&gt;1,P370&gt;0),R370/P370-1,"")</f>
        <v>-0.292792886341057</v>
      </c>
      <c r="T370" s="9" t="n">
        <f aca="false">IF(AND(ISNUMBER(P370),P370&gt;0),P370*EXP('Read me'!$B$22),"")</f>
        <v>29.3603478919988</v>
      </c>
    </row>
    <row r="371" customFormat="false" ht="15" hidden="false" customHeight="false" outlineLevel="0" collapsed="false">
      <c r="A371" s="14" t="s">
        <v>243</v>
      </c>
      <c r="B371" s="14" t="s">
        <v>42</v>
      </c>
      <c r="C371" s="14" t="s">
        <v>244</v>
      </c>
      <c r="D371" s="14" t="s">
        <v>366</v>
      </c>
      <c r="E371" s="15" t="n">
        <v>7</v>
      </c>
      <c r="F371" s="14" t="s">
        <v>367</v>
      </c>
      <c r="G371" s="8" t="n">
        <v>12</v>
      </c>
      <c r="H371" s="14" t="s">
        <v>983</v>
      </c>
      <c r="I371" s="14" t="s">
        <v>383</v>
      </c>
      <c r="J371" s="14" t="s">
        <v>984</v>
      </c>
      <c r="K371" s="8" t="n">
        <v>12</v>
      </c>
      <c r="L371" s="8" t="n">
        <v>86</v>
      </c>
      <c r="M371" s="8" t="n">
        <v>6</v>
      </c>
      <c r="N371" s="8" t="n">
        <v>7</v>
      </c>
      <c r="O371" s="8" t="n">
        <v>11</v>
      </c>
      <c r="P371" s="9" t="n">
        <v>29.993479472822</v>
      </c>
      <c r="Q371" s="10" t="n">
        <v>0.0333405799385873</v>
      </c>
      <c r="R371" s="9" t="n">
        <v>17</v>
      </c>
      <c r="S371" s="11" t="n">
        <f aca="false">IF(AND(ISNUMBER(R371),R371&gt;1,P371&gt;0),R371/P371-1,"")</f>
        <v>-0.433210141044016</v>
      </c>
      <c r="T371" s="9" t="n">
        <f aca="false">IF(AND(ISNUMBER(P371),P371&gt;0),P371*EXP('Read me'!$B$22),"")</f>
        <v>36.6341185549253</v>
      </c>
    </row>
    <row r="372" customFormat="false" ht="15" hidden="false" customHeight="false" outlineLevel="0" collapsed="false">
      <c r="A372" s="14" t="s">
        <v>243</v>
      </c>
      <c r="B372" s="14" t="s">
        <v>42</v>
      </c>
      <c r="C372" s="14" t="s">
        <v>244</v>
      </c>
      <c r="D372" s="14" t="s">
        <v>366</v>
      </c>
      <c r="E372" s="15" t="n">
        <v>7</v>
      </c>
      <c r="F372" s="14" t="s">
        <v>367</v>
      </c>
      <c r="G372" s="8" t="n">
        <v>12</v>
      </c>
      <c r="H372" s="14" t="s">
        <v>985</v>
      </c>
      <c r="I372" s="14" t="s">
        <v>986</v>
      </c>
      <c r="J372" s="14" t="s">
        <v>379</v>
      </c>
      <c r="K372" s="8" t="n">
        <v>1</v>
      </c>
      <c r="L372" s="8" t="n">
        <v>90</v>
      </c>
      <c r="M372" s="8" t="n">
        <v>3</v>
      </c>
      <c r="N372" s="8" t="n">
        <v>20</v>
      </c>
      <c r="O372" s="8" t="n">
        <v>12</v>
      </c>
      <c r="P372" s="9" t="n">
        <v>134.135828524648</v>
      </c>
      <c r="Q372" s="10" t="n">
        <v>0.0074551297069466</v>
      </c>
      <c r="R372" s="9" t="n">
        <v>67</v>
      </c>
      <c r="S372" s="11" t="n">
        <f aca="false">IF(AND(ISNUMBER(R372),R372&gt;1,P372&gt;0),R372/P372-1,"")</f>
        <v>-0.500506309634575</v>
      </c>
      <c r="T372" s="9" t="n">
        <f aca="false">IF(AND(ISNUMBER(P372),P372&gt;0),P372*EXP('Read me'!$B$22),"")</f>
        <v>163.833870928104</v>
      </c>
    </row>
    <row r="373" customFormat="false" ht="15" hidden="false" customHeight="false" outlineLevel="0" collapsed="false">
      <c r="A373" s="14" t="s">
        <v>249</v>
      </c>
      <c r="B373" s="14" t="s">
        <v>49</v>
      </c>
      <c r="C373" s="14" t="s">
        <v>250</v>
      </c>
      <c r="D373" s="14"/>
      <c r="E373" s="15" t="n">
        <v>10</v>
      </c>
      <c r="F373" s="14" t="s">
        <v>388</v>
      </c>
      <c r="G373" s="8" t="n">
        <v>18</v>
      </c>
      <c r="H373" s="14" t="s">
        <v>251</v>
      </c>
      <c r="I373" s="14" t="s">
        <v>252</v>
      </c>
      <c r="J373" s="14" t="s">
        <v>253</v>
      </c>
      <c r="K373" s="8" t="n">
        <v>16</v>
      </c>
      <c r="L373" s="8" t="n">
        <v>86</v>
      </c>
      <c r="M373" s="8" t="n">
        <v>3</v>
      </c>
      <c r="N373" s="8" t="n">
        <v>26</v>
      </c>
      <c r="O373" s="8" t="n">
        <v>1</v>
      </c>
      <c r="P373" s="9" t="n">
        <v>4.21028083000194</v>
      </c>
      <c r="Q373" s="10" t="n">
        <v>0.237513847740066</v>
      </c>
      <c r="R373" s="9" t="n">
        <v>4.33333333333333</v>
      </c>
      <c r="S373" s="11" t="n">
        <f aca="false">IF(AND(ISNUMBER(R373),R373&gt;1,P373&gt;0),R373/P373-1,"")</f>
        <v>0.029226673540286</v>
      </c>
      <c r="T373" s="9" t="n">
        <f aca="false">IF(AND(ISNUMBER(P373),P373&gt;0),P373*EXP('Read me'!$B$22),"")</f>
        <v>5.14244861839326</v>
      </c>
    </row>
    <row r="374" customFormat="false" ht="15" hidden="false" customHeight="false" outlineLevel="0" collapsed="false">
      <c r="A374" s="14" t="s">
        <v>249</v>
      </c>
      <c r="B374" s="14" t="s">
        <v>49</v>
      </c>
      <c r="C374" s="14" t="s">
        <v>250</v>
      </c>
      <c r="D374" s="14"/>
      <c r="E374" s="15" t="n">
        <v>10</v>
      </c>
      <c r="F374" s="14" t="s">
        <v>388</v>
      </c>
      <c r="G374" s="8" t="n">
        <v>18</v>
      </c>
      <c r="H374" s="14" t="s">
        <v>254</v>
      </c>
      <c r="I374" s="14" t="s">
        <v>212</v>
      </c>
      <c r="J374" s="14" t="s">
        <v>213</v>
      </c>
      <c r="K374" s="8" t="n">
        <v>8</v>
      </c>
      <c r="L374" s="8" t="n">
        <v>0</v>
      </c>
      <c r="M374" s="8" t="n">
        <v>3</v>
      </c>
      <c r="N374" s="8" t="n">
        <v>180</v>
      </c>
      <c r="O374" s="8" t="n">
        <v>2</v>
      </c>
      <c r="P374" s="9" t="n">
        <v>4.81663632211831</v>
      </c>
      <c r="Q374" s="10" t="n">
        <v>0.207613764694655</v>
      </c>
      <c r="R374" s="9" t="n">
        <v>4.5</v>
      </c>
      <c r="S374" s="11" t="n">
        <f aca="false">IF(AND(ISNUMBER(R374),R374&gt;1,P374&gt;0),R374/P374-1,"")</f>
        <v>-0.0657380588740525</v>
      </c>
      <c r="T374" s="9" t="n">
        <f aca="false">IF(AND(ISNUMBER(P374),P374&gt;0),P374*EXP('Read me'!$B$22),"")</f>
        <v>5.88305288888976</v>
      </c>
    </row>
    <row r="375" customFormat="false" ht="15" hidden="false" customHeight="false" outlineLevel="0" collapsed="false">
      <c r="A375" s="14" t="s">
        <v>249</v>
      </c>
      <c r="B375" s="14" t="s">
        <v>49</v>
      </c>
      <c r="C375" s="14" t="s">
        <v>250</v>
      </c>
      <c r="D375" s="14"/>
      <c r="E375" s="15" t="n">
        <v>10</v>
      </c>
      <c r="F375" s="14" t="s">
        <v>388</v>
      </c>
      <c r="G375" s="8" t="n">
        <v>18</v>
      </c>
      <c r="H375" s="14" t="s">
        <v>987</v>
      </c>
      <c r="I375" s="14" t="s">
        <v>52</v>
      </c>
      <c r="J375" s="14" t="s">
        <v>53</v>
      </c>
      <c r="K375" s="8" t="n">
        <v>18</v>
      </c>
      <c r="L375" s="8" t="n">
        <v>0</v>
      </c>
      <c r="M375" s="8" t="n">
        <v>3</v>
      </c>
      <c r="N375" s="8" t="n">
        <v>195</v>
      </c>
      <c r="O375" s="8" t="n">
        <v>3</v>
      </c>
      <c r="P375" s="9" t="n">
        <v>7.6661253030192</v>
      </c>
      <c r="Q375" s="10" t="n">
        <v>0.130443993604718</v>
      </c>
      <c r="R375" s="9" t="n">
        <v>7</v>
      </c>
      <c r="S375" s="11" t="n">
        <f aca="false">IF(AND(ISNUMBER(R375),R375&gt;1,P375&gt;0),R375/P375-1,"")</f>
        <v>-0.0868920447669769</v>
      </c>
      <c r="T375" s="9" t="n">
        <f aca="false">IF(AND(ISNUMBER(P375),P375&gt;0),P375*EXP('Read me'!$B$22),"")</f>
        <v>9.36342658950912</v>
      </c>
    </row>
    <row r="376" customFormat="false" ht="15" hidden="false" customHeight="false" outlineLevel="0" collapsed="false">
      <c r="A376" s="14" t="s">
        <v>249</v>
      </c>
      <c r="B376" s="14" t="s">
        <v>49</v>
      </c>
      <c r="C376" s="14" t="s">
        <v>250</v>
      </c>
      <c r="D376" s="14"/>
      <c r="E376" s="15" t="n">
        <v>10</v>
      </c>
      <c r="F376" s="14" t="s">
        <v>388</v>
      </c>
      <c r="G376" s="8" t="n">
        <v>18</v>
      </c>
      <c r="H376" s="14" t="s">
        <v>988</v>
      </c>
      <c r="I376" s="14" t="s">
        <v>391</v>
      </c>
      <c r="J376" s="14" t="s">
        <v>392</v>
      </c>
      <c r="K376" s="8" t="n">
        <v>6</v>
      </c>
      <c r="L376" s="8" t="n">
        <v>80</v>
      </c>
      <c r="M376" s="8" t="n">
        <v>3</v>
      </c>
      <c r="N376" s="8" t="n">
        <v>24</v>
      </c>
      <c r="O376" s="8" t="n">
        <v>4</v>
      </c>
      <c r="P376" s="9" t="n">
        <v>8.86417120858891</v>
      </c>
      <c r="Q376" s="10" t="n">
        <v>0.112813705474354</v>
      </c>
      <c r="R376" s="9" t="n">
        <v>9</v>
      </c>
      <c r="S376" s="11" t="n">
        <f aca="false">IF(AND(ISNUMBER(R376),R376&gt;1,P376&gt;0),R376/P376-1,"")</f>
        <v>0.0153233492691887</v>
      </c>
      <c r="T376" s="9" t="n">
        <f aca="false">IF(AND(ISNUMBER(P376),P376&gt;0),P376*EXP('Read me'!$B$22),"")</f>
        <v>10.8267231629745</v>
      </c>
    </row>
    <row r="377" customFormat="false" ht="15" hidden="false" customHeight="false" outlineLevel="0" collapsed="false">
      <c r="A377" s="14" t="s">
        <v>249</v>
      </c>
      <c r="B377" s="14" t="s">
        <v>49</v>
      </c>
      <c r="C377" s="14" t="s">
        <v>250</v>
      </c>
      <c r="D377" s="14"/>
      <c r="E377" s="15" t="n">
        <v>10</v>
      </c>
      <c r="F377" s="14" t="s">
        <v>388</v>
      </c>
      <c r="G377" s="8" t="n">
        <v>18</v>
      </c>
      <c r="H377" s="14" t="s">
        <v>989</v>
      </c>
      <c r="I377" s="14" t="s">
        <v>144</v>
      </c>
      <c r="J377" s="14" t="s">
        <v>73</v>
      </c>
      <c r="K377" s="8" t="n">
        <v>13</v>
      </c>
      <c r="L377" s="8" t="n">
        <v>0</v>
      </c>
      <c r="M377" s="8" t="n">
        <v>3</v>
      </c>
      <c r="N377" s="8"/>
      <c r="O377" s="8" t="n">
        <v>5</v>
      </c>
      <c r="P377" s="9" t="n">
        <v>13.3651009610213</v>
      </c>
      <c r="Q377" s="10" t="n">
        <v>0.0748217318310165</v>
      </c>
      <c r="R377" s="9" t="n">
        <v>6</v>
      </c>
      <c r="S377" s="11" t="n">
        <f aca="false">IF(AND(ISNUMBER(R377),R377&gt;1,P377&gt;0),R377/P377-1,"")</f>
        <v>-0.551069609013901</v>
      </c>
      <c r="T377" s="9" t="n">
        <f aca="false">IF(AND(ISNUMBER(P377),P377&gt;0),P377*EXP('Read me'!$B$22),"")</f>
        <v>16.3241711768806</v>
      </c>
    </row>
    <row r="378" customFormat="false" ht="15" hidden="false" customHeight="false" outlineLevel="0" collapsed="false">
      <c r="A378" s="14" t="s">
        <v>249</v>
      </c>
      <c r="B378" s="14" t="s">
        <v>49</v>
      </c>
      <c r="C378" s="14" t="s">
        <v>250</v>
      </c>
      <c r="D378" s="14"/>
      <c r="E378" s="15" t="n">
        <v>10</v>
      </c>
      <c r="F378" s="14" t="s">
        <v>388</v>
      </c>
      <c r="G378" s="8" t="n">
        <v>18</v>
      </c>
      <c r="H378" s="14" t="s">
        <v>990</v>
      </c>
      <c r="I378" s="14" t="s">
        <v>394</v>
      </c>
      <c r="J378" s="14" t="s">
        <v>536</v>
      </c>
      <c r="K378" s="8" t="n">
        <v>2</v>
      </c>
      <c r="L378" s="8" t="n">
        <v>0</v>
      </c>
      <c r="M378" s="8" t="n">
        <v>3</v>
      </c>
      <c r="N378" s="8"/>
      <c r="O378" s="8" t="n">
        <v>6</v>
      </c>
      <c r="P378" s="9" t="n">
        <v>20.3797400027459</v>
      </c>
      <c r="Q378" s="10" t="n">
        <v>0.0490683394324591</v>
      </c>
      <c r="R378" s="9" t="n">
        <v>15</v>
      </c>
      <c r="S378" s="11" t="n">
        <f aca="false">IF(AND(ISNUMBER(R378),R378&gt;1,P378&gt;0),R378/P378-1,"")</f>
        <v>-0.263974908513112</v>
      </c>
      <c r="T378" s="9" t="n">
        <f aca="false">IF(AND(ISNUMBER(P378),P378&gt;0),P378*EXP('Read me'!$B$22),"")</f>
        <v>24.8918706499409</v>
      </c>
    </row>
    <row r="379" customFormat="false" ht="15" hidden="false" customHeight="false" outlineLevel="0" collapsed="false">
      <c r="A379" s="14" t="s">
        <v>249</v>
      </c>
      <c r="B379" s="14" t="s">
        <v>49</v>
      </c>
      <c r="C379" s="14" t="s">
        <v>250</v>
      </c>
      <c r="D379" s="14"/>
      <c r="E379" s="15" t="n">
        <v>10</v>
      </c>
      <c r="F379" s="14" t="s">
        <v>388</v>
      </c>
      <c r="G379" s="8" t="n">
        <v>18</v>
      </c>
      <c r="H379" s="14" t="s">
        <v>991</v>
      </c>
      <c r="I379" s="14" t="s">
        <v>466</v>
      </c>
      <c r="J379" s="14" t="s">
        <v>992</v>
      </c>
      <c r="K379" s="8" t="n">
        <v>10</v>
      </c>
      <c r="L379" s="8" t="n">
        <v>0</v>
      </c>
      <c r="M379" s="8" t="n">
        <v>3</v>
      </c>
      <c r="N379" s="8" t="n">
        <v>11</v>
      </c>
      <c r="O379" s="8" t="n">
        <v>7</v>
      </c>
      <c r="P379" s="9" t="n">
        <v>23.3539122468997</v>
      </c>
      <c r="Q379" s="10" t="n">
        <v>0.0428193781593382</v>
      </c>
      <c r="R379" s="9" t="n">
        <v>26</v>
      </c>
      <c r="S379" s="11" t="n">
        <f aca="false">IF(AND(ISNUMBER(R379),R379&gt;1,P379&gt;0),R379/P379-1,"")</f>
        <v>0.113303832142794</v>
      </c>
      <c r="T379" s="9" t="n">
        <f aca="false">IF(AND(ISNUMBER(P379),P379&gt;0),P379*EXP('Read me'!$B$22),"")</f>
        <v>28.5245328321939</v>
      </c>
    </row>
    <row r="380" customFormat="false" ht="15" hidden="false" customHeight="false" outlineLevel="0" collapsed="false">
      <c r="A380" s="14" t="s">
        <v>249</v>
      </c>
      <c r="B380" s="14" t="s">
        <v>49</v>
      </c>
      <c r="C380" s="14" t="s">
        <v>250</v>
      </c>
      <c r="D380" s="14"/>
      <c r="E380" s="15" t="n">
        <v>10</v>
      </c>
      <c r="F380" s="14" t="s">
        <v>388</v>
      </c>
      <c r="G380" s="8" t="n">
        <v>18</v>
      </c>
      <c r="H380" s="14" t="s">
        <v>993</v>
      </c>
      <c r="I380" s="14" t="s">
        <v>554</v>
      </c>
      <c r="J380" s="14" t="s">
        <v>994</v>
      </c>
      <c r="K380" s="8" t="n">
        <v>11</v>
      </c>
      <c r="L380" s="8" t="n">
        <v>0</v>
      </c>
      <c r="M380" s="8" t="n">
        <v>3</v>
      </c>
      <c r="N380" s="8" t="n">
        <v>35</v>
      </c>
      <c r="O380" s="8" t="n">
        <v>8</v>
      </c>
      <c r="P380" s="9" t="n">
        <v>29.2747940544085</v>
      </c>
      <c r="Q380" s="10" t="n">
        <v>0.0341590789039012</v>
      </c>
      <c r="R380" s="9" t="n">
        <v>21</v>
      </c>
      <c r="S380" s="11" t="n">
        <f aca="false">IF(AND(ISNUMBER(R380),R380&gt;1,P380&gt;0),R380/P380-1,"")</f>
        <v>-0.282659343018074</v>
      </c>
      <c r="T380" s="9" t="n">
        <f aca="false">IF(AND(ISNUMBER(P380),P380&gt;0),P380*EXP('Read me'!$B$22),"")</f>
        <v>35.7563142026255</v>
      </c>
    </row>
    <row r="381" customFormat="false" ht="15" hidden="false" customHeight="false" outlineLevel="0" collapsed="false">
      <c r="A381" s="14" t="s">
        <v>249</v>
      </c>
      <c r="B381" s="14" t="s">
        <v>49</v>
      </c>
      <c r="C381" s="14" t="s">
        <v>250</v>
      </c>
      <c r="D381" s="14"/>
      <c r="E381" s="15" t="n">
        <v>10</v>
      </c>
      <c r="F381" s="14" t="s">
        <v>388</v>
      </c>
      <c r="G381" s="8" t="n">
        <v>18</v>
      </c>
      <c r="H381" s="14" t="s">
        <v>995</v>
      </c>
      <c r="I381" s="14" t="s">
        <v>996</v>
      </c>
      <c r="J381" s="14" t="s">
        <v>997</v>
      </c>
      <c r="K381" s="8" t="n">
        <v>15</v>
      </c>
      <c r="L381" s="8" t="n">
        <v>87</v>
      </c>
      <c r="M381" s="8" t="n">
        <v>4</v>
      </c>
      <c r="N381" s="8" t="n">
        <v>63</v>
      </c>
      <c r="O381" s="8" t="n">
        <v>9</v>
      </c>
      <c r="P381" s="9" t="n">
        <v>31.9289815988348</v>
      </c>
      <c r="Q381" s="10" t="n">
        <v>0.0313195081686067</v>
      </c>
      <c r="R381" s="9" t="n">
        <v>11</v>
      </c>
      <c r="S381" s="11" t="n">
        <f aca="false">IF(AND(ISNUMBER(R381),R381&gt;1,P381&gt;0),R381/P381-1,"")</f>
        <v>-0.655485410145326</v>
      </c>
      <c r="T381" s="9" t="n">
        <f aca="false">IF(AND(ISNUMBER(P381),P381&gt;0),P381*EXP('Read me'!$B$22),"")</f>
        <v>38.9981461900621</v>
      </c>
    </row>
    <row r="382" customFormat="false" ht="15" hidden="false" customHeight="false" outlineLevel="0" collapsed="false">
      <c r="A382" s="14" t="s">
        <v>249</v>
      </c>
      <c r="B382" s="14" t="s">
        <v>49</v>
      </c>
      <c r="C382" s="14" t="s">
        <v>250</v>
      </c>
      <c r="D382" s="14"/>
      <c r="E382" s="15" t="n">
        <v>10</v>
      </c>
      <c r="F382" s="14" t="s">
        <v>388</v>
      </c>
      <c r="G382" s="8" t="n">
        <v>18</v>
      </c>
      <c r="H382" s="14" t="s">
        <v>998</v>
      </c>
      <c r="I382" s="14" t="s">
        <v>171</v>
      </c>
      <c r="J382" s="14" t="s">
        <v>550</v>
      </c>
      <c r="K382" s="8" t="n">
        <v>3</v>
      </c>
      <c r="L382" s="8" t="n">
        <v>0</v>
      </c>
      <c r="M382" s="8" t="n">
        <v>4</v>
      </c>
      <c r="N382" s="8" t="n">
        <v>17</v>
      </c>
      <c r="O382" s="8" t="n">
        <v>10</v>
      </c>
      <c r="P382" s="9" t="n">
        <v>35.9559308508132</v>
      </c>
      <c r="Q382" s="10" t="n">
        <v>0.0278118234276608</v>
      </c>
      <c r="R382" s="9" t="n">
        <v>13</v>
      </c>
      <c r="S382" s="11" t="n">
        <f aca="false">IF(AND(ISNUMBER(R382),R382&gt;1,P382&gt;0),R382/P382-1,"")</f>
        <v>-0.638446295440409</v>
      </c>
      <c r="T382" s="9" t="n">
        <f aca="false">IF(AND(ISNUMBER(P382),P382&gt;0),P382*EXP('Read me'!$B$22),"")</f>
        <v>43.9166731133996</v>
      </c>
    </row>
    <row r="383" customFormat="false" ht="15" hidden="false" customHeight="false" outlineLevel="0" collapsed="false">
      <c r="A383" s="14" t="s">
        <v>249</v>
      </c>
      <c r="B383" s="14" t="s">
        <v>49</v>
      </c>
      <c r="C383" s="14" t="s">
        <v>250</v>
      </c>
      <c r="D383" s="14"/>
      <c r="E383" s="15" t="n">
        <v>10</v>
      </c>
      <c r="F383" s="14" t="s">
        <v>388</v>
      </c>
      <c r="G383" s="8" t="n">
        <v>18</v>
      </c>
      <c r="H383" s="14" t="s">
        <v>999</v>
      </c>
      <c r="I383" s="14" t="s">
        <v>403</v>
      </c>
      <c r="J383" s="14" t="s">
        <v>1000</v>
      </c>
      <c r="K383" s="8" t="n">
        <v>1</v>
      </c>
      <c r="L383" s="8" t="n">
        <v>0</v>
      </c>
      <c r="M383" s="8" t="n">
        <v>3</v>
      </c>
      <c r="N383" s="8"/>
      <c r="O383" s="8" t="n">
        <v>11</v>
      </c>
      <c r="P383" s="9" t="n">
        <v>46.6241150755718</v>
      </c>
      <c r="Q383" s="10" t="n">
        <v>0.0214481282567856</v>
      </c>
      <c r="R383" s="9" t="n">
        <v>13</v>
      </c>
      <c r="S383" s="11" t="n">
        <f aca="false">IF(AND(ISNUMBER(R383),R383&gt;1,P383&gt;0),R383/P383-1,"")</f>
        <v>-0.721174332661786</v>
      </c>
      <c r="T383" s="9" t="n">
        <f aca="false">IF(AND(ISNUMBER(P383),P383&gt;0),P383*EXP('Read me'!$B$22),"")</f>
        <v>56.9468227500806</v>
      </c>
    </row>
    <row r="384" customFormat="false" ht="15" hidden="false" customHeight="false" outlineLevel="0" collapsed="false">
      <c r="A384" s="14" t="s">
        <v>249</v>
      </c>
      <c r="B384" s="14" t="s">
        <v>49</v>
      </c>
      <c r="C384" s="14" t="s">
        <v>250</v>
      </c>
      <c r="D384" s="14"/>
      <c r="E384" s="15" t="n">
        <v>10</v>
      </c>
      <c r="F384" s="14" t="s">
        <v>388</v>
      </c>
      <c r="G384" s="8" t="n">
        <v>18</v>
      </c>
      <c r="H384" s="14" t="s">
        <v>1001</v>
      </c>
      <c r="I384" s="14" t="s">
        <v>417</v>
      </c>
      <c r="J384" s="14" t="s">
        <v>1002</v>
      </c>
      <c r="K384" s="8" t="n">
        <v>14</v>
      </c>
      <c r="L384" s="8" t="n">
        <v>0</v>
      </c>
      <c r="M384" s="8" t="n">
        <v>3</v>
      </c>
      <c r="N384" s="8"/>
      <c r="O384" s="8" t="n">
        <v>12</v>
      </c>
      <c r="P384" s="9" t="n">
        <v>91.2357405695747</v>
      </c>
      <c r="Q384" s="10" t="n">
        <v>0.010960616900319</v>
      </c>
      <c r="R384" s="9" t="n">
        <v>34</v>
      </c>
      <c r="S384" s="11" t="n">
        <f aca="false">IF(AND(ISNUMBER(R384),R384&gt;1,P384&gt;0),R384/P384-1,"")</f>
        <v>-0.627339025389154</v>
      </c>
      <c r="T384" s="9" t="n">
        <f aca="false">IF(AND(ISNUMBER(P384),P384&gt;0),P384*EXP('Read me'!$B$22),"")</f>
        <v>111.435585174464</v>
      </c>
    </row>
    <row r="385" customFormat="false" ht="15" hidden="false" customHeight="false" outlineLevel="0" collapsed="false">
      <c r="A385" s="14" t="s">
        <v>249</v>
      </c>
      <c r="B385" s="14" t="s">
        <v>49</v>
      </c>
      <c r="C385" s="14" t="s">
        <v>250</v>
      </c>
      <c r="D385" s="14"/>
      <c r="E385" s="15" t="n">
        <v>10</v>
      </c>
      <c r="F385" s="14" t="s">
        <v>388</v>
      </c>
      <c r="G385" s="8" t="n">
        <v>18</v>
      </c>
      <c r="H385" s="14" t="s">
        <v>1003</v>
      </c>
      <c r="I385" s="14" t="s">
        <v>531</v>
      </c>
      <c r="J385" s="14" t="s">
        <v>869</v>
      </c>
      <c r="K385" s="8" t="n">
        <v>9</v>
      </c>
      <c r="L385" s="8" t="n">
        <v>0</v>
      </c>
      <c r="M385" s="8" t="n">
        <v>3</v>
      </c>
      <c r="N385" s="8" t="n">
        <v>26</v>
      </c>
      <c r="O385" s="8" t="n">
        <v>13</v>
      </c>
      <c r="P385" s="9" t="n">
        <v>119.095272774088</v>
      </c>
      <c r="Q385" s="10" t="n">
        <v>0.00839663889848</v>
      </c>
      <c r="R385" s="9" t="n">
        <v>23</v>
      </c>
      <c r="S385" s="11" t="n">
        <f aca="false">IF(AND(ISNUMBER(R385),R385&gt;1,P385&gt;0),R385/P385-1,"")</f>
        <v>-0.806877305334959</v>
      </c>
      <c r="T385" s="9" t="n">
        <f aca="false">IF(AND(ISNUMBER(P385),P385&gt;0),P385*EXP('Read me'!$B$22),"")</f>
        <v>145.463294650109</v>
      </c>
    </row>
    <row r="386" customFormat="false" ht="15" hidden="false" customHeight="false" outlineLevel="0" collapsed="false">
      <c r="A386" s="14" t="s">
        <v>249</v>
      </c>
      <c r="B386" s="14" t="s">
        <v>49</v>
      </c>
      <c r="C386" s="14" t="s">
        <v>250</v>
      </c>
      <c r="D386" s="14"/>
      <c r="E386" s="15" t="n">
        <v>10</v>
      </c>
      <c r="F386" s="14" t="s">
        <v>388</v>
      </c>
      <c r="G386" s="8" t="n">
        <v>18</v>
      </c>
      <c r="H386" s="14" t="s">
        <v>1004</v>
      </c>
      <c r="I386" s="14" t="s">
        <v>397</v>
      </c>
      <c r="J386" s="14" t="s">
        <v>1005</v>
      </c>
      <c r="K386" s="8" t="n">
        <v>4</v>
      </c>
      <c r="L386" s="8" t="n">
        <v>0</v>
      </c>
      <c r="M386" s="8" t="n">
        <v>3</v>
      </c>
      <c r="N386" s="8"/>
      <c r="O386" s="8" t="n">
        <v>14</v>
      </c>
      <c r="P386" s="9" t="n">
        <v>253.48448623397</v>
      </c>
      <c r="Q386" s="10" t="n">
        <v>0.0039450146036826</v>
      </c>
      <c r="R386" s="9" t="n">
        <v>51</v>
      </c>
      <c r="S386" s="11" t="n">
        <f aca="false">IF(AND(ISNUMBER(R386),R386&gt;1,P386&gt;0),R386/P386-1,"")</f>
        <v>-0.798804255212186</v>
      </c>
      <c r="T386" s="9" t="n">
        <f aca="false">IF(AND(ISNUMBER(P386),P386&gt;0),P386*EXP('Read me'!$B$22),"")</f>
        <v>309.606650636984</v>
      </c>
    </row>
    <row r="387" customFormat="false" ht="15" hidden="false" customHeight="false" outlineLevel="0" collapsed="false">
      <c r="A387" s="14" t="s">
        <v>249</v>
      </c>
      <c r="B387" s="14" t="s">
        <v>49</v>
      </c>
      <c r="C387" s="14" t="s">
        <v>250</v>
      </c>
      <c r="D387" s="14"/>
      <c r="E387" s="15" t="n">
        <v>10</v>
      </c>
      <c r="F387" s="14" t="s">
        <v>388</v>
      </c>
      <c r="G387" s="8" t="n">
        <v>18</v>
      </c>
      <c r="H387" s="14" t="s">
        <v>1006</v>
      </c>
      <c r="I387" s="14" t="s">
        <v>107</v>
      </c>
      <c r="J387" s="14" t="s">
        <v>1007</v>
      </c>
      <c r="K387" s="8" t="n">
        <v>5</v>
      </c>
      <c r="L387" s="8" t="n">
        <v>0</v>
      </c>
      <c r="M387" s="8" t="n">
        <v>4</v>
      </c>
      <c r="N387" s="8" t="n">
        <v>10</v>
      </c>
      <c r="O387" s="8" t="n">
        <v>15</v>
      </c>
      <c r="P387" s="9" t="n">
        <v>378.734808534495</v>
      </c>
      <c r="Q387" s="10" t="n">
        <v>0.0026403699302672</v>
      </c>
      <c r="R387" s="9" t="n">
        <v>101</v>
      </c>
      <c r="S387" s="11" t="n">
        <f aca="false">IF(AND(ISNUMBER(R387),R387&gt;1,P387&gt;0),R387/P387-1,"")</f>
        <v>-0.733322637043009</v>
      </c>
      <c r="T387" s="9" t="n">
        <f aca="false">IF(AND(ISNUMBER(P387),P387&gt;0),P387*EXP('Read me'!$B$22),"")</f>
        <v>462.587739755296</v>
      </c>
    </row>
    <row r="388" customFormat="false" ht="15" hidden="false" customHeight="false" outlineLevel="0" collapsed="false">
      <c r="A388" s="14" t="s">
        <v>249</v>
      </c>
      <c r="B388" s="14" t="s">
        <v>49</v>
      </c>
      <c r="C388" s="14" t="s">
        <v>250</v>
      </c>
      <c r="D388" s="14"/>
      <c r="E388" s="15" t="n">
        <v>10</v>
      </c>
      <c r="F388" s="14" t="s">
        <v>388</v>
      </c>
      <c r="G388" s="8" t="n">
        <v>18</v>
      </c>
      <c r="H388" s="14" t="s">
        <v>1008</v>
      </c>
      <c r="I388" s="14" t="s">
        <v>565</v>
      </c>
      <c r="J388" s="14" t="s">
        <v>550</v>
      </c>
      <c r="K388" s="8" t="n">
        <v>12</v>
      </c>
      <c r="L388" s="8" t="n">
        <v>0</v>
      </c>
      <c r="M388" s="8" t="n">
        <v>3</v>
      </c>
      <c r="N388" s="8" t="n">
        <v>24</v>
      </c>
      <c r="O388" s="8" t="n">
        <v>16</v>
      </c>
      <c r="P388" s="9" t="n">
        <v>458.021922460464</v>
      </c>
      <c r="Q388" s="10" t="n">
        <v>0.0021833016084209</v>
      </c>
      <c r="R388" s="9" t="n">
        <v>101</v>
      </c>
      <c r="S388" s="11" t="n">
        <f aca="false">IF(AND(ISNUMBER(R388),R388&gt;1,P388&gt;0),R388/P388-1,"")</f>
        <v>-0.779486537549481</v>
      </c>
      <c r="T388" s="9" t="n">
        <f aca="false">IF(AND(ISNUMBER(P388),P388&gt;0),P388*EXP('Read me'!$B$22),"")</f>
        <v>559.429239391034</v>
      </c>
    </row>
    <row r="389" customFormat="false" ht="15" hidden="false" customHeight="false" outlineLevel="0" collapsed="false">
      <c r="A389" s="14" t="s">
        <v>249</v>
      </c>
      <c r="B389" s="14" t="s">
        <v>49</v>
      </c>
      <c r="C389" s="14" t="s">
        <v>250</v>
      </c>
      <c r="D389" s="14"/>
      <c r="E389" s="15" t="n">
        <v>10</v>
      </c>
      <c r="F389" s="14" t="s">
        <v>388</v>
      </c>
      <c r="G389" s="8" t="n">
        <v>18</v>
      </c>
      <c r="H389" s="14" t="s">
        <v>1009</v>
      </c>
      <c r="I389" s="14" t="s">
        <v>412</v>
      </c>
      <c r="J389" s="14" t="s">
        <v>1010</v>
      </c>
      <c r="K389" s="8" t="n">
        <v>7</v>
      </c>
      <c r="L389" s="8" t="n">
        <v>0</v>
      </c>
      <c r="M389" s="8" t="n">
        <v>3</v>
      </c>
      <c r="N389" s="8" t="n">
        <v>10</v>
      </c>
      <c r="O389" s="8" t="n">
        <v>17</v>
      </c>
      <c r="P389" s="9" t="n">
        <v>937.575715162869</v>
      </c>
      <c r="Q389" s="10" t="n">
        <v>0.0010665805265938</v>
      </c>
      <c r="R389" s="9" t="n">
        <v>201</v>
      </c>
      <c r="S389" s="11" t="n">
        <f aca="false">IF(AND(ISNUMBER(R389),R389&gt;1,P389&gt;0),R389/P389-1,"")</f>
        <v>-0.78561731415464</v>
      </c>
      <c r="T389" s="9" t="n">
        <f aca="false">IF(AND(ISNUMBER(P389),P389&gt;0),P389*EXP('Read me'!$B$22),"")</f>
        <v>1145.15756448392</v>
      </c>
    </row>
    <row r="390" customFormat="false" ht="15" hidden="false" customHeight="false" outlineLevel="0" collapsed="false">
      <c r="A390" s="14" t="s">
        <v>249</v>
      </c>
      <c r="B390" s="14" t="s">
        <v>49</v>
      </c>
      <c r="C390" s="14" t="s">
        <v>250</v>
      </c>
      <c r="D390" s="14"/>
      <c r="E390" s="15" t="n">
        <v>10</v>
      </c>
      <c r="F390" s="14" t="s">
        <v>388</v>
      </c>
      <c r="G390" s="8" t="n">
        <v>18</v>
      </c>
      <c r="H390" s="14" t="s">
        <v>1011</v>
      </c>
      <c r="I390" s="14" t="s">
        <v>859</v>
      </c>
      <c r="J390" s="14" t="s">
        <v>1012</v>
      </c>
      <c r="K390" s="8" t="n">
        <v>17</v>
      </c>
      <c r="L390" s="8" t="n">
        <v>0</v>
      </c>
      <c r="M390" s="8" t="n">
        <v>5</v>
      </c>
      <c r="N390" s="8" t="n">
        <v>117</v>
      </c>
      <c r="O390" s="8" t="n">
        <v>18</v>
      </c>
      <c r="P390" s="9" t="n">
        <v>1026.50661953066</v>
      </c>
      <c r="Q390" s="10" t="n">
        <v>0.000974177838675</v>
      </c>
      <c r="R390" s="9" t="n">
        <v>201</v>
      </c>
      <c r="S390" s="11" t="n">
        <f aca="false">IF(AND(ISNUMBER(R390),R390&gt;1,P390&gt;0),R390/P390-1,"")</f>
        <v>-0.804190254426317</v>
      </c>
      <c r="T390" s="9" t="n">
        <f aca="false">IF(AND(ISNUMBER(P390),P390&gt;0),P390*EXP('Read me'!$B$22),"")</f>
        <v>1253.77801636442</v>
      </c>
    </row>
    <row r="391" customFormat="false" ht="15" hidden="false" customHeight="false" outlineLevel="0" collapsed="false">
      <c r="A391" s="14" t="s">
        <v>255</v>
      </c>
      <c r="B391" s="14" t="s">
        <v>98</v>
      </c>
      <c r="C391" s="14" t="s">
        <v>256</v>
      </c>
      <c r="D391" s="14" t="s">
        <v>877</v>
      </c>
      <c r="E391" s="15" t="n">
        <v>19.5</v>
      </c>
      <c r="F391" s="14" t="s">
        <v>388</v>
      </c>
      <c r="G391" s="8" t="n">
        <v>11</v>
      </c>
      <c r="H391" s="14" t="s">
        <v>257</v>
      </c>
      <c r="I391" s="14" t="s">
        <v>218</v>
      </c>
      <c r="J391" s="14" t="s">
        <v>219</v>
      </c>
      <c r="K391" s="8" t="n">
        <v>1</v>
      </c>
      <c r="L391" s="8" t="n">
        <v>100</v>
      </c>
      <c r="M391" s="8" t="n">
        <v>6</v>
      </c>
      <c r="N391" s="8" t="n">
        <v>70</v>
      </c>
      <c r="O391" s="8" t="n">
        <v>1</v>
      </c>
      <c r="P391" s="9" t="n">
        <v>4.82930999727491</v>
      </c>
      <c r="Q391" s="10" t="n">
        <v>0.207068918865072</v>
      </c>
      <c r="R391" s="9" t="n">
        <v>3.5</v>
      </c>
      <c r="S391" s="11" t="n">
        <f aca="false">IF(AND(ISNUMBER(R391),R391&gt;1,P391&gt;0),R391/P391-1,"")</f>
        <v>-0.275258783972248</v>
      </c>
      <c r="T391" s="9" t="n">
        <f aca="false">IF(AND(ISNUMBER(P391),P391&gt;0),P391*EXP('Read me'!$B$22),"")</f>
        <v>5.89853255068206</v>
      </c>
    </row>
    <row r="392" customFormat="false" ht="15" hidden="false" customHeight="false" outlineLevel="0" collapsed="false">
      <c r="A392" s="14" t="s">
        <v>255</v>
      </c>
      <c r="B392" s="14" t="s">
        <v>98</v>
      </c>
      <c r="C392" s="14" t="s">
        <v>256</v>
      </c>
      <c r="D392" s="14" t="s">
        <v>877</v>
      </c>
      <c r="E392" s="15" t="n">
        <v>19.5</v>
      </c>
      <c r="F392" s="14" t="s">
        <v>388</v>
      </c>
      <c r="G392" s="8" t="n">
        <v>11</v>
      </c>
      <c r="H392" s="14" t="s">
        <v>258</v>
      </c>
      <c r="I392" s="14" t="s">
        <v>1013</v>
      </c>
      <c r="J392" s="14" t="s">
        <v>1014</v>
      </c>
      <c r="K392" s="8" t="n">
        <v>3</v>
      </c>
      <c r="L392" s="8" t="n">
        <v>94</v>
      </c>
      <c r="M392" s="8" t="n">
        <v>7</v>
      </c>
      <c r="N392" s="8" t="n">
        <v>30</v>
      </c>
      <c r="O392" s="8" t="n">
        <v>2</v>
      </c>
      <c r="P392" s="9" t="n">
        <v>5.64912937875498</v>
      </c>
      <c r="Q392" s="10" t="n">
        <v>0.177018427611299</v>
      </c>
      <c r="R392" s="9" t="n">
        <v>6</v>
      </c>
      <c r="S392" s="11" t="n">
        <f aca="false">IF(AND(ISNUMBER(R392),R392&gt;1,P392&gt;0),R392/P392-1,"")</f>
        <v>0.0621105656677925</v>
      </c>
      <c r="T392" s="9" t="n">
        <f aca="false">IF(AND(ISNUMBER(P392),P392&gt;0),P392*EXP('Read me'!$B$22),"")</f>
        <v>6.89986220441498</v>
      </c>
    </row>
    <row r="393" customFormat="false" ht="15" hidden="false" customHeight="false" outlineLevel="0" collapsed="false">
      <c r="A393" s="14" t="s">
        <v>255</v>
      </c>
      <c r="B393" s="14" t="s">
        <v>98</v>
      </c>
      <c r="C393" s="14" t="s">
        <v>256</v>
      </c>
      <c r="D393" s="14" t="s">
        <v>877</v>
      </c>
      <c r="E393" s="15" t="n">
        <v>19.5</v>
      </c>
      <c r="F393" s="14" t="s">
        <v>388</v>
      </c>
      <c r="G393" s="8" t="n">
        <v>11</v>
      </c>
      <c r="H393" s="14" t="s">
        <v>1015</v>
      </c>
      <c r="I393" s="14" t="s">
        <v>881</v>
      </c>
      <c r="J393" s="14" t="s">
        <v>882</v>
      </c>
      <c r="K393" s="8" t="n">
        <v>7</v>
      </c>
      <c r="L393" s="8" t="n">
        <v>100</v>
      </c>
      <c r="M393" s="8" t="n">
        <v>3</v>
      </c>
      <c r="N393" s="8" t="n">
        <v>19</v>
      </c>
      <c r="O393" s="8" t="n">
        <v>3</v>
      </c>
      <c r="P393" s="9" t="n">
        <v>5.7622182079911</v>
      </c>
      <c r="Q393" s="10" t="n">
        <v>0.173544278245692</v>
      </c>
      <c r="R393" s="9" t="n">
        <v>3.5</v>
      </c>
      <c r="S393" s="11" t="n">
        <f aca="false">IF(AND(ISNUMBER(R393),R393&gt;1,P393&gt;0),R393/P393-1,"")</f>
        <v>-0.392595026140078</v>
      </c>
      <c r="T393" s="9" t="n">
        <f aca="false">IF(AND(ISNUMBER(P393),P393&gt;0),P393*EXP('Read me'!$B$22),"")</f>
        <v>7.03798921236108</v>
      </c>
    </row>
    <row r="394" customFormat="false" ht="15" hidden="false" customHeight="false" outlineLevel="0" collapsed="false">
      <c r="A394" s="14" t="s">
        <v>255</v>
      </c>
      <c r="B394" s="14" t="s">
        <v>98</v>
      </c>
      <c r="C394" s="14" t="s">
        <v>256</v>
      </c>
      <c r="D394" s="14" t="s">
        <v>877</v>
      </c>
      <c r="E394" s="15" t="n">
        <v>19.5</v>
      </c>
      <c r="F394" s="14" t="s">
        <v>388</v>
      </c>
      <c r="G394" s="8" t="n">
        <v>11</v>
      </c>
      <c r="H394" s="14" t="s">
        <v>1016</v>
      </c>
      <c r="I394" s="14" t="s">
        <v>1017</v>
      </c>
      <c r="J394" s="14" t="s">
        <v>655</v>
      </c>
      <c r="K394" s="8" t="n">
        <v>2</v>
      </c>
      <c r="L394" s="8" t="n">
        <v>96</v>
      </c>
      <c r="M394" s="8" t="n">
        <v>8</v>
      </c>
      <c r="N394" s="8" t="n">
        <v>18</v>
      </c>
      <c r="O394" s="8" t="n">
        <v>4</v>
      </c>
      <c r="P394" s="9" t="n">
        <v>9.69986356178347</v>
      </c>
      <c r="Q394" s="10" t="n">
        <v>0.103094233607564</v>
      </c>
      <c r="R394" s="9" t="n">
        <v>11</v>
      </c>
      <c r="S394" s="11" t="n">
        <f aca="false">IF(AND(ISNUMBER(R394),R394&gt;1,P394&gt;0),R394/P394-1,"")</f>
        <v>0.134036569683201</v>
      </c>
      <c r="T394" s="9" t="n">
        <f aca="false">IF(AND(ISNUMBER(P394),P394&gt;0),P394*EXP('Read me'!$B$22),"")</f>
        <v>11.8474401081397</v>
      </c>
    </row>
    <row r="395" customFormat="false" ht="15" hidden="false" customHeight="false" outlineLevel="0" collapsed="false">
      <c r="A395" s="14" t="s">
        <v>255</v>
      </c>
      <c r="B395" s="14" t="s">
        <v>98</v>
      </c>
      <c r="C395" s="14" t="s">
        <v>256</v>
      </c>
      <c r="D395" s="14" t="s">
        <v>877</v>
      </c>
      <c r="E395" s="15" t="n">
        <v>19.5</v>
      </c>
      <c r="F395" s="14" t="s">
        <v>388</v>
      </c>
      <c r="G395" s="8" t="n">
        <v>11</v>
      </c>
      <c r="H395" s="14" t="s">
        <v>1018</v>
      </c>
      <c r="I395" s="14" t="s">
        <v>651</v>
      </c>
      <c r="J395" s="14" t="s">
        <v>652</v>
      </c>
      <c r="K395" s="8" t="n">
        <v>8</v>
      </c>
      <c r="L395" s="8" t="n">
        <v>78</v>
      </c>
      <c r="M395" s="8" t="n">
        <v>5</v>
      </c>
      <c r="N395" s="8" t="n">
        <v>12</v>
      </c>
      <c r="O395" s="8" t="n">
        <v>5</v>
      </c>
      <c r="P395" s="9" t="n">
        <v>11.0856858625663</v>
      </c>
      <c r="Q395" s="10" t="n">
        <v>0.0902064168511898</v>
      </c>
      <c r="R395" s="9" t="n">
        <v>17</v>
      </c>
      <c r="S395" s="11" t="n">
        <f aca="false">IF(AND(ISNUMBER(R395),R395&gt;1,P395&gt;0),R395/P395-1,"")</f>
        <v>0.533509086470228</v>
      </c>
      <c r="T395" s="9" t="n">
        <f aca="false">IF(AND(ISNUMBER(P395),P395&gt;0),P395*EXP('Read me'!$B$22),"")</f>
        <v>13.5400872886357</v>
      </c>
    </row>
    <row r="396" customFormat="false" ht="15" hidden="false" customHeight="false" outlineLevel="0" collapsed="false">
      <c r="A396" s="14" t="s">
        <v>255</v>
      </c>
      <c r="B396" s="14" t="s">
        <v>98</v>
      </c>
      <c r="C396" s="14" t="s">
        <v>256</v>
      </c>
      <c r="D396" s="14" t="s">
        <v>877</v>
      </c>
      <c r="E396" s="15" t="n">
        <v>19.5</v>
      </c>
      <c r="F396" s="14" t="s">
        <v>388</v>
      </c>
      <c r="G396" s="8" t="n">
        <v>11</v>
      </c>
      <c r="H396" s="14" t="s">
        <v>1019</v>
      </c>
      <c r="I396" s="14" t="s">
        <v>1020</v>
      </c>
      <c r="J396" s="14" t="s">
        <v>1021</v>
      </c>
      <c r="K396" s="8" t="n">
        <v>4</v>
      </c>
      <c r="L396" s="8" t="n">
        <v>91</v>
      </c>
      <c r="M396" s="8" t="n">
        <v>4</v>
      </c>
      <c r="N396" s="8" t="n">
        <v>56</v>
      </c>
      <c r="O396" s="8" t="n">
        <v>6</v>
      </c>
      <c r="P396" s="9" t="n">
        <v>12.2793292825301</v>
      </c>
      <c r="Q396" s="10" t="n">
        <v>0.0814376727744167</v>
      </c>
      <c r="R396" s="9" t="n">
        <v>12</v>
      </c>
      <c r="S396" s="11" t="n">
        <f aca="false">IF(AND(ISNUMBER(R396),R396&gt;1,P396&gt;0),R396/P396-1,"")</f>
        <v>-0.0227479267069989</v>
      </c>
      <c r="T396" s="9" t="n">
        <f aca="false">IF(AND(ISNUMBER(P396),P396&gt;0),P396*EXP('Read me'!$B$22),"")</f>
        <v>14.9980066540392</v>
      </c>
    </row>
    <row r="397" customFormat="false" ht="15" hidden="false" customHeight="false" outlineLevel="0" collapsed="false">
      <c r="A397" s="14" t="s">
        <v>255</v>
      </c>
      <c r="B397" s="14" t="s">
        <v>98</v>
      </c>
      <c r="C397" s="14" t="s">
        <v>256</v>
      </c>
      <c r="D397" s="14" t="s">
        <v>877</v>
      </c>
      <c r="E397" s="15" t="n">
        <v>19.5</v>
      </c>
      <c r="F397" s="14" t="s">
        <v>388</v>
      </c>
      <c r="G397" s="8" t="n">
        <v>11</v>
      </c>
      <c r="H397" s="14" t="s">
        <v>1022</v>
      </c>
      <c r="I397" s="14" t="s">
        <v>1023</v>
      </c>
      <c r="J397" s="14" t="s">
        <v>952</v>
      </c>
      <c r="K397" s="8" t="n">
        <v>5</v>
      </c>
      <c r="L397" s="8" t="n">
        <v>86</v>
      </c>
      <c r="M397" s="8" t="n">
        <v>9</v>
      </c>
      <c r="N397" s="8" t="n">
        <v>29</v>
      </c>
      <c r="O397" s="8" t="n">
        <v>7</v>
      </c>
      <c r="P397" s="9" t="n">
        <v>12.973333914084</v>
      </c>
      <c r="Q397" s="10" t="n">
        <v>0.0770811887385697</v>
      </c>
      <c r="R397" s="9" t="n">
        <v>13</v>
      </c>
      <c r="S397" s="11" t="n">
        <f aca="false">IF(AND(ISNUMBER(R397),R397&gt;1,P397&gt;0),R397/P397-1,"")</f>
        <v>0.00205545360140702</v>
      </c>
      <c r="T397" s="9" t="n">
        <f aca="false">IF(AND(ISNUMBER(P397),P397&gt;0),P397*EXP('Read me'!$B$22),"")</f>
        <v>15.8456658251951</v>
      </c>
    </row>
    <row r="398" customFormat="false" ht="15" hidden="false" customHeight="false" outlineLevel="0" collapsed="false">
      <c r="A398" s="14" t="s">
        <v>255</v>
      </c>
      <c r="B398" s="14" t="s">
        <v>98</v>
      </c>
      <c r="C398" s="14" t="s">
        <v>256</v>
      </c>
      <c r="D398" s="14" t="s">
        <v>877</v>
      </c>
      <c r="E398" s="15" t="n">
        <v>19.5</v>
      </c>
      <c r="F398" s="14" t="s">
        <v>388</v>
      </c>
      <c r="G398" s="8" t="n">
        <v>11</v>
      </c>
      <c r="H398" s="14" t="s">
        <v>1024</v>
      </c>
      <c r="I398" s="14" t="s">
        <v>523</v>
      </c>
      <c r="J398" s="14" t="s">
        <v>1025</v>
      </c>
      <c r="K398" s="8" t="n">
        <v>9</v>
      </c>
      <c r="L398" s="8" t="n">
        <v>74</v>
      </c>
      <c r="M398" s="8" t="n">
        <v>7</v>
      </c>
      <c r="N398" s="8" t="n">
        <v>22</v>
      </c>
      <c r="O398" s="8" t="n">
        <v>8</v>
      </c>
      <c r="P398" s="9" t="n">
        <v>17.0334653099285</v>
      </c>
      <c r="Q398" s="10" t="n">
        <v>0.0587079599954987</v>
      </c>
      <c r="R398" s="9" t="n">
        <v>12</v>
      </c>
      <c r="S398" s="11" t="n">
        <f aca="false">IF(AND(ISNUMBER(R398),R398&gt;1,P398&gt;0),R398/P398-1,"")</f>
        <v>-0.295504480054015</v>
      </c>
      <c r="T398" s="9" t="n">
        <f aca="false">IF(AND(ISNUMBER(P398),P398&gt;0),P398*EXP('Read me'!$B$22),"")</f>
        <v>20.8047215105723</v>
      </c>
    </row>
    <row r="399" customFormat="false" ht="15" hidden="false" customHeight="false" outlineLevel="0" collapsed="false">
      <c r="A399" s="14" t="s">
        <v>255</v>
      </c>
      <c r="B399" s="14" t="s">
        <v>98</v>
      </c>
      <c r="C399" s="14" t="s">
        <v>256</v>
      </c>
      <c r="D399" s="14" t="s">
        <v>877</v>
      </c>
      <c r="E399" s="15" t="n">
        <v>19.5</v>
      </c>
      <c r="F399" s="14" t="s">
        <v>388</v>
      </c>
      <c r="G399" s="8" t="n">
        <v>11</v>
      </c>
      <c r="H399" s="14" t="s">
        <v>1026</v>
      </c>
      <c r="I399" s="14" t="s">
        <v>1027</v>
      </c>
      <c r="J399" s="14" t="s">
        <v>1028</v>
      </c>
      <c r="K399" s="8" t="n">
        <v>6</v>
      </c>
      <c r="L399" s="8" t="n">
        <v>81</v>
      </c>
      <c r="M399" s="8" t="n">
        <v>8</v>
      </c>
      <c r="N399" s="8" t="n">
        <v>37</v>
      </c>
      <c r="O399" s="8" t="n">
        <v>9</v>
      </c>
      <c r="P399" s="9" t="n">
        <v>40.8577162640954</v>
      </c>
      <c r="Q399" s="10" t="n">
        <v>0.0244751809801658</v>
      </c>
      <c r="R399" s="9" t="n">
        <v>26</v>
      </c>
      <c r="S399" s="11" t="n">
        <f aca="false">IF(AND(ISNUMBER(R399),R399&gt;1,P399&gt;0),R399/P399-1,"")</f>
        <v>-0.363645294515688</v>
      </c>
      <c r="T399" s="9" t="n">
        <f aca="false">IF(AND(ISNUMBER(P399),P399&gt;0),P399*EXP('Read me'!$B$22),"")</f>
        <v>49.9037273370917</v>
      </c>
    </row>
    <row r="400" customFormat="false" ht="15" hidden="false" customHeight="false" outlineLevel="0" collapsed="false">
      <c r="A400" s="14" t="s">
        <v>255</v>
      </c>
      <c r="B400" s="14" t="s">
        <v>98</v>
      </c>
      <c r="C400" s="14" t="s">
        <v>256</v>
      </c>
      <c r="D400" s="14" t="s">
        <v>877</v>
      </c>
      <c r="E400" s="15" t="n">
        <v>19.5</v>
      </c>
      <c r="F400" s="14" t="s">
        <v>388</v>
      </c>
      <c r="G400" s="8" t="n">
        <v>11</v>
      </c>
      <c r="H400" s="14" t="s">
        <v>1029</v>
      </c>
      <c r="I400" s="14" t="s">
        <v>895</v>
      </c>
      <c r="J400" s="14" t="s">
        <v>178</v>
      </c>
      <c r="K400" s="8" t="n">
        <v>11</v>
      </c>
      <c r="L400" s="8" t="n">
        <v>77</v>
      </c>
      <c r="M400" s="8" t="n">
        <v>4</v>
      </c>
      <c r="N400" s="8" t="n">
        <v>16</v>
      </c>
      <c r="O400" s="8" t="n">
        <v>10</v>
      </c>
      <c r="P400" s="9" t="n">
        <v>252.700608933006</v>
      </c>
      <c r="Q400" s="10" t="n">
        <v>0.0039572520391714</v>
      </c>
      <c r="R400" s="9" t="n">
        <v>101</v>
      </c>
      <c r="S400" s="11" t="n">
        <f aca="false">IF(AND(ISNUMBER(R400),R400&gt;1,P400&gt;0),R400/P400-1,"")</f>
        <v>-0.600317544043686</v>
      </c>
      <c r="T400" s="9" t="n">
        <f aca="false">IF(AND(ISNUMBER(P400),P400&gt;0),P400*EXP('Read me'!$B$22),"")</f>
        <v>308.649220739528</v>
      </c>
    </row>
    <row r="401" customFormat="false" ht="15" hidden="false" customHeight="false" outlineLevel="0" collapsed="false">
      <c r="A401" s="14" t="s">
        <v>255</v>
      </c>
      <c r="B401" s="14" t="s">
        <v>98</v>
      </c>
      <c r="C401" s="14" t="s">
        <v>256</v>
      </c>
      <c r="D401" s="14" t="s">
        <v>877</v>
      </c>
      <c r="E401" s="15" t="n">
        <v>19.5</v>
      </c>
      <c r="F401" s="14" t="s">
        <v>388</v>
      </c>
      <c r="G401" s="8" t="n">
        <v>11</v>
      </c>
      <c r="H401" s="14" t="s">
        <v>1030</v>
      </c>
      <c r="I401" s="14" t="s">
        <v>1031</v>
      </c>
      <c r="J401" s="14" t="s">
        <v>1032</v>
      </c>
      <c r="K401" s="8" t="n">
        <v>10</v>
      </c>
      <c r="L401" s="8" t="n">
        <v>77</v>
      </c>
      <c r="M401" s="8" t="n">
        <v>4</v>
      </c>
      <c r="N401" s="8" t="n">
        <v>21</v>
      </c>
      <c r="O401" s="8" t="n">
        <v>11</v>
      </c>
      <c r="P401" s="9" t="n">
        <v>293.386743764381</v>
      </c>
      <c r="Q401" s="10" t="n">
        <v>0.0034084702913608</v>
      </c>
      <c r="R401" s="9" t="n">
        <v>67</v>
      </c>
      <c r="S401" s="11" t="n">
        <f aca="false">IF(AND(ISNUMBER(R401),R401&gt;1,P401&gt;0),R401/P401-1,"")</f>
        <v>-0.771632490478821</v>
      </c>
      <c r="T401" s="9" t="n">
        <f aca="false">IF(AND(ISNUMBER(P401),P401&gt;0),P401*EXP('Read me'!$B$22),"")</f>
        <v>358.343378041446</v>
      </c>
    </row>
    <row r="402" customFormat="false" ht="15" hidden="false" customHeight="false" outlineLevel="0" collapsed="false">
      <c r="A402" s="14" t="s">
        <v>259</v>
      </c>
      <c r="B402" s="14" t="s">
        <v>117</v>
      </c>
      <c r="C402" s="14" t="s">
        <v>260</v>
      </c>
      <c r="D402" s="14"/>
      <c r="E402" s="15" t="n">
        <v>22</v>
      </c>
      <c r="F402" s="14" t="s">
        <v>388</v>
      </c>
      <c r="G402" s="8" t="n">
        <v>13</v>
      </c>
      <c r="H402" s="14" t="s">
        <v>261</v>
      </c>
      <c r="I402" s="14" t="s">
        <v>153</v>
      </c>
      <c r="J402" s="14" t="s">
        <v>154</v>
      </c>
      <c r="K402" s="8" t="n">
        <v>7</v>
      </c>
      <c r="L402" s="8" t="n">
        <v>128</v>
      </c>
      <c r="M402" s="8" t="n">
        <v>7</v>
      </c>
      <c r="N402" s="8" t="n">
        <v>57</v>
      </c>
      <c r="O402" s="8" t="n">
        <v>1</v>
      </c>
      <c r="P402" s="9" t="n">
        <v>4.55620328242862</v>
      </c>
      <c r="Q402" s="10" t="n">
        <v>0.219480988448559</v>
      </c>
      <c r="R402" s="9" t="n">
        <v>5</v>
      </c>
      <c r="S402" s="11" t="n">
        <f aca="false">IF(AND(ISNUMBER(R402),R402&gt;1,P402&gt;0),R402/P402-1,"")</f>
        <v>0.0974049422427932</v>
      </c>
      <c r="T402" s="9" t="n">
        <f aca="false">IF(AND(ISNUMBER(P402),P402&gt;0),P402*EXP('Read me'!$B$22),"")</f>
        <v>5.56495925589673</v>
      </c>
    </row>
    <row r="403" customFormat="false" ht="15" hidden="false" customHeight="false" outlineLevel="0" collapsed="false">
      <c r="A403" s="14" t="s">
        <v>259</v>
      </c>
      <c r="B403" s="14" t="s">
        <v>117</v>
      </c>
      <c r="C403" s="14" t="s">
        <v>260</v>
      </c>
      <c r="D403" s="14"/>
      <c r="E403" s="15" t="n">
        <v>22</v>
      </c>
      <c r="F403" s="14" t="s">
        <v>388</v>
      </c>
      <c r="G403" s="8" t="n">
        <v>13</v>
      </c>
      <c r="H403" s="14" t="s">
        <v>262</v>
      </c>
      <c r="I403" s="14" t="s">
        <v>120</v>
      </c>
      <c r="J403" s="14" t="s">
        <v>121</v>
      </c>
      <c r="K403" s="8" t="n">
        <v>4</v>
      </c>
      <c r="L403" s="8" t="n">
        <v>132</v>
      </c>
      <c r="M403" s="8" t="n">
        <v>6</v>
      </c>
      <c r="N403" s="8" t="n">
        <v>22</v>
      </c>
      <c r="O403" s="8" t="n">
        <v>2</v>
      </c>
      <c r="P403" s="9" t="n">
        <v>5.83872200596591</v>
      </c>
      <c r="Q403" s="10" t="n">
        <v>0.171270356591428</v>
      </c>
      <c r="R403" s="9" t="n">
        <v>5.5</v>
      </c>
      <c r="S403" s="11" t="n">
        <f aca="false">IF(AND(ISNUMBER(R403),R403&gt;1,P403&gt;0),R403/P403-1,"")</f>
        <v>-0.0580130387471446</v>
      </c>
      <c r="T403" s="9" t="n">
        <f aca="false">IF(AND(ISNUMBER(P403),P403&gt;0),P403*EXP('Read me'!$B$22),"")</f>
        <v>7.13143116221724</v>
      </c>
    </row>
    <row r="404" customFormat="false" ht="15" hidden="false" customHeight="false" outlineLevel="0" collapsed="false">
      <c r="A404" s="14" t="s">
        <v>259</v>
      </c>
      <c r="B404" s="14" t="s">
        <v>117</v>
      </c>
      <c r="C404" s="14" t="s">
        <v>260</v>
      </c>
      <c r="D404" s="14"/>
      <c r="E404" s="15" t="n">
        <v>22</v>
      </c>
      <c r="F404" s="14" t="s">
        <v>388</v>
      </c>
      <c r="G404" s="8" t="n">
        <v>13</v>
      </c>
      <c r="H404" s="14" t="s">
        <v>1033</v>
      </c>
      <c r="I404" s="14" t="s">
        <v>1034</v>
      </c>
      <c r="J404" s="14" t="s">
        <v>1035</v>
      </c>
      <c r="K404" s="8" t="n">
        <v>10</v>
      </c>
      <c r="L404" s="8" t="n">
        <v>122</v>
      </c>
      <c r="M404" s="8" t="n">
        <v>8</v>
      </c>
      <c r="N404" s="8" t="n">
        <v>35</v>
      </c>
      <c r="O404" s="8" t="n">
        <v>3</v>
      </c>
      <c r="P404" s="9" t="n">
        <v>8.156461615439</v>
      </c>
      <c r="Q404" s="10" t="n">
        <v>0.122602183047995</v>
      </c>
      <c r="R404" s="9" t="n">
        <v>5</v>
      </c>
      <c r="S404" s="11" t="n">
        <f aca="false">IF(AND(ISNUMBER(R404),R404&gt;1,P404&gt;0),R404/P404-1,"")</f>
        <v>-0.386989084760023</v>
      </c>
      <c r="T404" s="9" t="n">
        <f aca="false">IF(AND(ISNUMBER(P404),P404&gt;0),P404*EXP('Read me'!$B$22),"")</f>
        <v>9.96232471392475</v>
      </c>
    </row>
    <row r="405" customFormat="false" ht="15" hidden="false" customHeight="false" outlineLevel="0" collapsed="false">
      <c r="A405" s="14" t="s">
        <v>259</v>
      </c>
      <c r="B405" s="14" t="s">
        <v>117</v>
      </c>
      <c r="C405" s="14" t="s">
        <v>260</v>
      </c>
      <c r="D405" s="14"/>
      <c r="E405" s="15" t="n">
        <v>22</v>
      </c>
      <c r="F405" s="14" t="s">
        <v>388</v>
      </c>
      <c r="G405" s="8" t="n">
        <v>13</v>
      </c>
      <c r="H405" s="14" t="s">
        <v>1036</v>
      </c>
      <c r="I405" s="14" t="s">
        <v>587</v>
      </c>
      <c r="J405" s="14" t="s">
        <v>418</v>
      </c>
      <c r="K405" s="8" t="n">
        <v>12</v>
      </c>
      <c r="L405" s="8" t="n">
        <v>118</v>
      </c>
      <c r="M405" s="8" t="n">
        <v>8</v>
      </c>
      <c r="N405" s="8" t="n">
        <v>35</v>
      </c>
      <c r="O405" s="8" t="n">
        <v>4</v>
      </c>
      <c r="P405" s="9" t="n">
        <v>13.6302176219756</v>
      </c>
      <c r="Q405" s="10" t="n">
        <v>0.0733664001363948</v>
      </c>
      <c r="R405" s="9" t="n">
        <v>7.5</v>
      </c>
      <c r="S405" s="11" t="n">
        <f aca="false">IF(AND(ISNUMBER(R405),R405&gt;1,P405&gt;0),R405/P405-1,"")</f>
        <v>-0.449751998977039</v>
      </c>
      <c r="T405" s="9" t="n">
        <f aca="false">IF(AND(ISNUMBER(P405),P405&gt;0),P405*EXP('Read me'!$B$22),"")</f>
        <v>16.6479853978043</v>
      </c>
    </row>
    <row r="406" customFormat="false" ht="15" hidden="false" customHeight="false" outlineLevel="0" collapsed="false">
      <c r="A406" s="14" t="s">
        <v>259</v>
      </c>
      <c r="B406" s="14" t="s">
        <v>117</v>
      </c>
      <c r="C406" s="14" t="s">
        <v>260</v>
      </c>
      <c r="D406" s="14"/>
      <c r="E406" s="15" t="n">
        <v>22</v>
      </c>
      <c r="F406" s="14" t="s">
        <v>388</v>
      </c>
      <c r="G406" s="8" t="n">
        <v>13</v>
      </c>
      <c r="H406" s="14" t="s">
        <v>1037</v>
      </c>
      <c r="I406" s="14" t="s">
        <v>610</v>
      </c>
      <c r="J406" s="14" t="s">
        <v>418</v>
      </c>
      <c r="K406" s="8" t="n">
        <v>14</v>
      </c>
      <c r="L406" s="8" t="n">
        <v>115</v>
      </c>
      <c r="M406" s="8" t="n">
        <v>9</v>
      </c>
      <c r="N406" s="8" t="n">
        <v>49</v>
      </c>
      <c r="O406" s="8" t="n">
        <v>5</v>
      </c>
      <c r="P406" s="9" t="n">
        <v>14.140404569861</v>
      </c>
      <c r="Q406" s="10" t="n">
        <v>0.0707193344475735</v>
      </c>
      <c r="R406" s="9" t="n">
        <v>13</v>
      </c>
      <c r="S406" s="11" t="n">
        <f aca="false">IF(AND(ISNUMBER(R406),R406&gt;1,P406&gt;0),R406/P406-1,"")</f>
        <v>-0.0806486521815442</v>
      </c>
      <c r="T406" s="9" t="n">
        <f aca="false">IF(AND(ISNUMBER(P406),P406&gt;0),P406*EXP('Read me'!$B$22),"")</f>
        <v>17.2711291431289</v>
      </c>
    </row>
    <row r="407" customFormat="false" ht="15" hidden="false" customHeight="false" outlineLevel="0" collapsed="false">
      <c r="A407" s="14" t="s">
        <v>259</v>
      </c>
      <c r="B407" s="14" t="s">
        <v>117</v>
      </c>
      <c r="C407" s="14" t="s">
        <v>260</v>
      </c>
      <c r="D407" s="14"/>
      <c r="E407" s="15" t="n">
        <v>22</v>
      </c>
      <c r="F407" s="14" t="s">
        <v>388</v>
      </c>
      <c r="G407" s="8" t="n">
        <v>13</v>
      </c>
      <c r="H407" s="14" t="s">
        <v>1038</v>
      </c>
      <c r="I407" s="14" t="s">
        <v>1039</v>
      </c>
      <c r="J407" s="14" t="s">
        <v>1040</v>
      </c>
      <c r="K407" s="8" t="n">
        <v>6</v>
      </c>
      <c r="L407" s="8" t="n">
        <v>129</v>
      </c>
      <c r="M407" s="8" t="n">
        <v>10</v>
      </c>
      <c r="N407" s="8" t="n">
        <v>3</v>
      </c>
      <c r="O407" s="8" t="n">
        <v>6</v>
      </c>
      <c r="P407" s="9" t="n">
        <v>16.0251668725755</v>
      </c>
      <c r="Q407" s="10" t="n">
        <v>0.062401846292867</v>
      </c>
      <c r="R407" s="9" t="n">
        <v>12</v>
      </c>
      <c r="S407" s="11" t="n">
        <f aca="false">IF(AND(ISNUMBER(R407),R407&gt;1,P407&gt;0),R407/P407-1,"")</f>
        <v>-0.251177844485595</v>
      </c>
      <c r="T407" s="9" t="n">
        <f aca="false">IF(AND(ISNUMBER(P407),P407&gt;0),P407*EXP('Read me'!$B$22),"")</f>
        <v>19.5731830181407</v>
      </c>
    </row>
    <row r="408" customFormat="false" ht="15" hidden="false" customHeight="false" outlineLevel="0" collapsed="false">
      <c r="A408" s="14" t="s">
        <v>259</v>
      </c>
      <c r="B408" s="14" t="s">
        <v>117</v>
      </c>
      <c r="C408" s="14" t="s">
        <v>260</v>
      </c>
      <c r="D408" s="14"/>
      <c r="E408" s="15" t="n">
        <v>22</v>
      </c>
      <c r="F408" s="14" t="s">
        <v>388</v>
      </c>
      <c r="G408" s="8" t="n">
        <v>13</v>
      </c>
      <c r="H408" s="14" t="s">
        <v>1041</v>
      </c>
      <c r="I408" s="14" t="s">
        <v>595</v>
      </c>
      <c r="J408" s="14" t="s">
        <v>585</v>
      </c>
      <c r="K408" s="8" t="n">
        <v>11</v>
      </c>
      <c r="L408" s="8" t="n">
        <v>120</v>
      </c>
      <c r="M408" s="8" t="n">
        <v>7</v>
      </c>
      <c r="N408" s="8" t="n">
        <v>6</v>
      </c>
      <c r="O408" s="8" t="n">
        <v>7</v>
      </c>
      <c r="P408" s="9" t="n">
        <v>16.529535280099</v>
      </c>
      <c r="Q408" s="10" t="n">
        <v>0.0604977685733226</v>
      </c>
      <c r="R408" s="9" t="n">
        <v>15</v>
      </c>
      <c r="S408" s="11" t="n">
        <f aca="false">IF(AND(ISNUMBER(R408),R408&gt;1,P408&gt;0),R408/P408-1,"")</f>
        <v>-0.0925334714001603</v>
      </c>
      <c r="T408" s="9" t="n">
        <f aca="false">IF(AND(ISNUMBER(P408),P408&gt;0),P408*EXP('Read me'!$B$22),"")</f>
        <v>20.1892199822187</v>
      </c>
    </row>
    <row r="409" customFormat="false" ht="15" hidden="false" customHeight="false" outlineLevel="0" collapsed="false">
      <c r="A409" s="14" t="s">
        <v>259</v>
      </c>
      <c r="B409" s="14" t="s">
        <v>117</v>
      </c>
      <c r="C409" s="14" t="s">
        <v>260</v>
      </c>
      <c r="D409" s="14"/>
      <c r="E409" s="15" t="n">
        <v>22</v>
      </c>
      <c r="F409" s="14" t="s">
        <v>388</v>
      </c>
      <c r="G409" s="8" t="n">
        <v>13</v>
      </c>
      <c r="H409" s="14" t="s">
        <v>1042</v>
      </c>
      <c r="I409" s="14" t="s">
        <v>1043</v>
      </c>
      <c r="J409" s="14" t="s">
        <v>1044</v>
      </c>
      <c r="K409" s="8" t="n">
        <v>2</v>
      </c>
      <c r="L409" s="8" t="n">
        <v>139</v>
      </c>
      <c r="M409" s="8" t="n">
        <v>8</v>
      </c>
      <c r="N409" s="8" t="n">
        <v>161</v>
      </c>
      <c r="O409" s="8" t="n">
        <v>8</v>
      </c>
      <c r="P409" s="9" t="n">
        <v>19.8609700215555</v>
      </c>
      <c r="Q409" s="10" t="n">
        <v>0.0503500080265303</v>
      </c>
      <c r="R409" s="9" t="n">
        <v>13</v>
      </c>
      <c r="S409" s="11" t="n">
        <f aca="false">IF(AND(ISNUMBER(R409),R409&gt;1,P409&gt;0),R409/P409-1,"")</f>
        <v>-0.345449895655105</v>
      </c>
      <c r="T409" s="9" t="n">
        <f aca="false">IF(AND(ISNUMBER(P409),P409&gt;0),P409*EXP('Read me'!$B$22),"")</f>
        <v>24.2582435640644</v>
      </c>
    </row>
    <row r="410" customFormat="false" ht="15" hidden="false" customHeight="false" outlineLevel="0" collapsed="false">
      <c r="A410" s="14" t="s">
        <v>259</v>
      </c>
      <c r="B410" s="14" t="s">
        <v>117</v>
      </c>
      <c r="C410" s="14" t="s">
        <v>260</v>
      </c>
      <c r="D410" s="14"/>
      <c r="E410" s="15" t="n">
        <v>22</v>
      </c>
      <c r="F410" s="14" t="s">
        <v>388</v>
      </c>
      <c r="G410" s="8" t="n">
        <v>13</v>
      </c>
      <c r="H410" s="14" t="s">
        <v>1045</v>
      </c>
      <c r="I410" s="14" t="s">
        <v>681</v>
      </c>
      <c r="J410" s="14" t="s">
        <v>154</v>
      </c>
      <c r="K410" s="8" t="n">
        <v>8</v>
      </c>
      <c r="L410" s="8" t="n">
        <v>126</v>
      </c>
      <c r="M410" s="8" t="n">
        <v>7</v>
      </c>
      <c r="N410" s="8" t="n">
        <v>35</v>
      </c>
      <c r="O410" s="8" t="n">
        <v>9</v>
      </c>
      <c r="P410" s="9" t="n">
        <v>20.4308468429859</v>
      </c>
      <c r="Q410" s="10" t="n">
        <v>0.0489455971984494</v>
      </c>
      <c r="R410" s="9" t="n">
        <v>15</v>
      </c>
      <c r="S410" s="11" t="n">
        <f aca="false">IF(AND(ISNUMBER(R410),R410&gt;1,P410&gt;0),R410/P410-1,"")</f>
        <v>-0.265816042023259</v>
      </c>
      <c r="T410" s="9" t="n">
        <f aca="false">IF(AND(ISNUMBER(P410),P410&gt;0),P410*EXP('Read me'!$B$22),"")</f>
        <v>24.954292685571</v>
      </c>
    </row>
    <row r="411" customFormat="false" ht="15" hidden="false" customHeight="false" outlineLevel="0" collapsed="false">
      <c r="A411" s="14" t="s">
        <v>259</v>
      </c>
      <c r="B411" s="14" t="s">
        <v>117</v>
      </c>
      <c r="C411" s="14" t="s">
        <v>260</v>
      </c>
      <c r="D411" s="14"/>
      <c r="E411" s="15" t="n">
        <v>22</v>
      </c>
      <c r="F411" s="14" t="s">
        <v>388</v>
      </c>
      <c r="G411" s="8" t="n">
        <v>13</v>
      </c>
      <c r="H411" s="14" t="s">
        <v>1046</v>
      </c>
      <c r="I411" s="14" t="s">
        <v>584</v>
      </c>
      <c r="J411" s="14" t="s">
        <v>1047</v>
      </c>
      <c r="K411" s="8" t="n">
        <v>5</v>
      </c>
      <c r="L411" s="8" t="n">
        <v>130</v>
      </c>
      <c r="M411" s="8" t="n">
        <v>6</v>
      </c>
      <c r="N411" s="8" t="n">
        <v>33</v>
      </c>
      <c r="O411" s="8" t="n">
        <v>10</v>
      </c>
      <c r="P411" s="9" t="n">
        <v>30.5043226420138</v>
      </c>
      <c r="Q411" s="10" t="n">
        <v>0.0327822391513356</v>
      </c>
      <c r="R411" s="9" t="n">
        <v>21</v>
      </c>
      <c r="S411" s="11" t="n">
        <f aca="false">IF(AND(ISNUMBER(R411),R411&gt;1,P411&gt;0),R411/P411-1,"")</f>
        <v>-0.311572977821951</v>
      </c>
      <c r="T411" s="9" t="n">
        <f aca="false">IF(AND(ISNUMBER(P411),P411&gt;0),P411*EXP('Read me'!$B$22),"")</f>
        <v>37.2580638107634</v>
      </c>
    </row>
    <row r="412" customFormat="false" ht="15" hidden="false" customHeight="false" outlineLevel="0" collapsed="false">
      <c r="A412" s="14" t="s">
        <v>259</v>
      </c>
      <c r="B412" s="14" t="s">
        <v>117</v>
      </c>
      <c r="C412" s="14" t="s">
        <v>260</v>
      </c>
      <c r="D412" s="14"/>
      <c r="E412" s="15" t="n">
        <v>22</v>
      </c>
      <c r="F412" s="14" t="s">
        <v>388</v>
      </c>
      <c r="G412" s="8" t="n">
        <v>13</v>
      </c>
      <c r="H412" s="14" t="s">
        <v>1048</v>
      </c>
      <c r="I412" s="14" t="s">
        <v>598</v>
      </c>
      <c r="J412" s="14" t="s">
        <v>611</v>
      </c>
      <c r="K412" s="8" t="n">
        <v>13</v>
      </c>
      <c r="L412" s="8" t="n">
        <v>117</v>
      </c>
      <c r="M412" s="8" t="n">
        <v>8</v>
      </c>
      <c r="N412" s="8" t="n">
        <v>111</v>
      </c>
      <c r="O412" s="8" t="n">
        <v>11</v>
      </c>
      <c r="P412" s="9" t="n">
        <v>30.9583173243996</v>
      </c>
      <c r="Q412" s="10" t="n">
        <v>0.0323014971880224</v>
      </c>
      <c r="R412" s="9" t="n">
        <v>10</v>
      </c>
      <c r="S412" s="11" t="n">
        <f aca="false">IF(AND(ISNUMBER(R412),R412&gt;1,P412&gt;0),R412/P412-1,"")</f>
        <v>-0.676985028119775</v>
      </c>
      <c r="T412" s="9" t="n">
        <f aca="false">IF(AND(ISNUMBER(P412),P412&gt;0),P412*EXP('Read me'!$B$22),"")</f>
        <v>37.8125741680194</v>
      </c>
    </row>
    <row r="413" customFormat="false" ht="15" hidden="false" customHeight="false" outlineLevel="0" collapsed="false">
      <c r="A413" s="14" t="s">
        <v>259</v>
      </c>
      <c r="B413" s="14" t="s">
        <v>117</v>
      </c>
      <c r="C413" s="14" t="s">
        <v>260</v>
      </c>
      <c r="D413" s="14"/>
      <c r="E413" s="15" t="n">
        <v>22</v>
      </c>
      <c r="F413" s="14" t="s">
        <v>388</v>
      </c>
      <c r="G413" s="8" t="n">
        <v>13</v>
      </c>
      <c r="H413" s="14" t="s">
        <v>1049</v>
      </c>
      <c r="I413" s="14" t="s">
        <v>1050</v>
      </c>
      <c r="J413" s="14" t="s">
        <v>1051</v>
      </c>
      <c r="K413" s="8" t="n">
        <v>9</v>
      </c>
      <c r="L413" s="8" t="n">
        <v>125</v>
      </c>
      <c r="M413" s="8" t="n">
        <v>10</v>
      </c>
      <c r="N413" s="8" t="n">
        <v>71</v>
      </c>
      <c r="O413" s="8" t="n">
        <v>12</v>
      </c>
      <c r="P413" s="9" t="n">
        <v>31.0126540069976</v>
      </c>
      <c r="Q413" s="10" t="n">
        <v>0.0322449023477436</v>
      </c>
      <c r="R413" s="9" t="n">
        <v>26</v>
      </c>
      <c r="S413" s="11" t="n">
        <f aca="false">IF(AND(ISNUMBER(R413),R413&gt;1,P413&gt;0),R413/P413-1,"")</f>
        <v>-0.161632538958664</v>
      </c>
      <c r="T413" s="9" t="n">
        <f aca="false">IF(AND(ISNUMBER(P413),P413&gt;0),P413*EXP('Read me'!$B$22),"")</f>
        <v>37.8789411420139</v>
      </c>
    </row>
    <row r="414" customFormat="false" ht="15" hidden="false" customHeight="false" outlineLevel="0" collapsed="false">
      <c r="A414" s="14" t="s">
        <v>259</v>
      </c>
      <c r="B414" s="14" t="s">
        <v>117</v>
      </c>
      <c r="C414" s="14" t="s">
        <v>260</v>
      </c>
      <c r="D414" s="14"/>
      <c r="E414" s="15" t="n">
        <v>22</v>
      </c>
      <c r="F414" s="14" t="s">
        <v>388</v>
      </c>
      <c r="G414" s="8" t="n">
        <v>13</v>
      </c>
      <c r="H414" s="14" t="s">
        <v>1052</v>
      </c>
      <c r="I414" s="14" t="s">
        <v>1053</v>
      </c>
      <c r="J414" s="14" t="s">
        <v>920</v>
      </c>
      <c r="K414" s="8" t="n">
        <v>3</v>
      </c>
      <c r="L414" s="8" t="n">
        <v>138</v>
      </c>
      <c r="M414" s="8" t="n">
        <v>8</v>
      </c>
      <c r="N414" s="8" t="n">
        <v>59</v>
      </c>
      <c r="O414" s="8" t="n">
        <v>13</v>
      </c>
      <c r="P414" s="9" t="n">
        <v>43.4086587659523</v>
      </c>
      <c r="Q414" s="10" t="n">
        <v>0.023036878549778</v>
      </c>
      <c r="R414" s="9" t="n">
        <v>21</v>
      </c>
      <c r="S414" s="11" t="n">
        <f aca="false">IF(AND(ISNUMBER(R414),R414&gt;1,P414&gt;0),R414/P414-1,"")</f>
        <v>-0.516225550454661</v>
      </c>
      <c r="T414" s="9" t="n">
        <f aca="false">IF(AND(ISNUMBER(P414),P414&gt;0),P414*EXP('Read me'!$B$22),"")</f>
        <v>53.0194555447677</v>
      </c>
    </row>
    <row r="415" customFormat="false" ht="15" hidden="false" customHeight="false" outlineLevel="0" collapsed="false">
      <c r="A415" s="14" t="s">
        <v>263</v>
      </c>
      <c r="B415" s="14" t="s">
        <v>56</v>
      </c>
      <c r="C415" s="14" t="s">
        <v>264</v>
      </c>
      <c r="D415" s="14" t="s">
        <v>436</v>
      </c>
      <c r="E415" s="15" t="n">
        <v>14.5</v>
      </c>
      <c r="F415" s="14" t="s">
        <v>419</v>
      </c>
      <c r="G415" s="8" t="n">
        <v>9</v>
      </c>
      <c r="H415" s="14" t="s">
        <v>265</v>
      </c>
      <c r="I415" s="14" t="s">
        <v>266</v>
      </c>
      <c r="J415" s="14" t="s">
        <v>267</v>
      </c>
      <c r="K415" s="8" t="n">
        <v>10</v>
      </c>
      <c r="L415" s="8" t="n">
        <v>86</v>
      </c>
      <c r="M415" s="8" t="n">
        <v>4</v>
      </c>
      <c r="N415" s="8" t="n">
        <v>153</v>
      </c>
      <c r="O415" s="8" t="n">
        <v>1</v>
      </c>
      <c r="P415" s="9" t="n">
        <v>5.01631464656624</v>
      </c>
      <c r="Q415" s="10" t="n">
        <v>0.199349536553597</v>
      </c>
      <c r="R415" s="9" t="n">
        <v>3.5</v>
      </c>
      <c r="S415" s="11" t="n">
        <f aca="false">IF(AND(ISNUMBER(R415),R415&gt;1,P415&gt;0),R415/P415-1,"")</f>
        <v>-0.302276622062411</v>
      </c>
      <c r="T415" s="9" t="n">
        <f aca="false">IF(AND(ISNUMBER(P415),P415&gt;0),P415*EXP('Read me'!$B$22),"")</f>
        <v>6.12694054511526</v>
      </c>
    </row>
    <row r="416" customFormat="false" ht="15" hidden="false" customHeight="false" outlineLevel="0" collapsed="false">
      <c r="A416" s="14" t="s">
        <v>263</v>
      </c>
      <c r="B416" s="14" t="s">
        <v>56</v>
      </c>
      <c r="C416" s="14" t="s">
        <v>264</v>
      </c>
      <c r="D416" s="14" t="s">
        <v>436</v>
      </c>
      <c r="E416" s="15" t="n">
        <v>14.5</v>
      </c>
      <c r="F416" s="14" t="s">
        <v>419</v>
      </c>
      <c r="G416" s="8" t="n">
        <v>9</v>
      </c>
      <c r="H416" s="14" t="s">
        <v>268</v>
      </c>
      <c r="I416" s="14" t="s">
        <v>59</v>
      </c>
      <c r="J416" s="14" t="s">
        <v>60</v>
      </c>
      <c r="K416" s="8" t="n">
        <v>8</v>
      </c>
      <c r="L416" s="8" t="n">
        <v>76</v>
      </c>
      <c r="M416" s="8" t="n">
        <v>4</v>
      </c>
      <c r="N416" s="8" t="n">
        <v>23</v>
      </c>
      <c r="O416" s="8" t="n">
        <v>2</v>
      </c>
      <c r="P416" s="9" t="n">
        <v>5.79895090121431</v>
      </c>
      <c r="Q416" s="10" t="n">
        <v>0.172444984797267</v>
      </c>
      <c r="R416" s="9" t="n">
        <v>9</v>
      </c>
      <c r="S416" s="11" t="n">
        <f aca="false">IF(AND(ISNUMBER(R416),R416&gt;1,P416&gt;0),R416/P416-1,"")</f>
        <v>0.552004863175403</v>
      </c>
      <c r="T416" s="9" t="n">
        <f aca="false">IF(AND(ISNUMBER(P416),P416&gt;0),P416*EXP('Read me'!$B$22),"")</f>
        <v>7.08285462517857</v>
      </c>
    </row>
    <row r="417" customFormat="false" ht="15" hidden="false" customHeight="false" outlineLevel="0" collapsed="false">
      <c r="A417" s="14" t="s">
        <v>263</v>
      </c>
      <c r="B417" s="14" t="s">
        <v>56</v>
      </c>
      <c r="C417" s="14" t="s">
        <v>264</v>
      </c>
      <c r="D417" s="14" t="s">
        <v>436</v>
      </c>
      <c r="E417" s="15" t="n">
        <v>14.5</v>
      </c>
      <c r="F417" s="14" t="s">
        <v>419</v>
      </c>
      <c r="G417" s="8" t="n">
        <v>9</v>
      </c>
      <c r="H417" s="14" t="s">
        <v>1054</v>
      </c>
      <c r="I417" s="14" t="s">
        <v>482</v>
      </c>
      <c r="J417" s="14" t="s">
        <v>665</v>
      </c>
      <c r="K417" s="8" t="n">
        <v>3</v>
      </c>
      <c r="L417" s="8" t="n">
        <v>71</v>
      </c>
      <c r="M417" s="8" t="n">
        <v>6</v>
      </c>
      <c r="N417" s="8" t="n">
        <v>14</v>
      </c>
      <c r="O417" s="8" t="n">
        <v>3</v>
      </c>
      <c r="P417" s="9" t="n">
        <v>6.31461475891406</v>
      </c>
      <c r="Q417" s="10" t="n">
        <v>0.158362788258515</v>
      </c>
      <c r="R417" s="9" t="n">
        <v>4.5</v>
      </c>
      <c r="S417" s="11" t="n">
        <f aca="false">IF(AND(ISNUMBER(R417),R417&gt;1,P417&gt;0),R417/P417-1,"")</f>
        <v>-0.287367452836683</v>
      </c>
      <c r="T417" s="9" t="n">
        <f aca="false">IF(AND(ISNUMBER(P417),P417&gt;0),P417*EXP('Read me'!$B$22),"")</f>
        <v>7.71268788325655</v>
      </c>
    </row>
    <row r="418" customFormat="false" ht="15" hidden="false" customHeight="false" outlineLevel="0" collapsed="false">
      <c r="A418" s="14" t="s">
        <v>263</v>
      </c>
      <c r="B418" s="14" t="s">
        <v>56</v>
      </c>
      <c r="C418" s="14" t="s">
        <v>264</v>
      </c>
      <c r="D418" s="14" t="s">
        <v>436</v>
      </c>
      <c r="E418" s="15" t="n">
        <v>14.5</v>
      </c>
      <c r="F418" s="14" t="s">
        <v>419</v>
      </c>
      <c r="G418" s="8" t="n">
        <v>9</v>
      </c>
      <c r="H418" s="14" t="s">
        <v>1055</v>
      </c>
      <c r="I418" s="14" t="s">
        <v>495</v>
      </c>
      <c r="J418" s="14" t="s">
        <v>439</v>
      </c>
      <c r="K418" s="8" t="n">
        <v>2</v>
      </c>
      <c r="L418" s="8" t="n">
        <v>71</v>
      </c>
      <c r="M418" s="8" t="n">
        <v>4</v>
      </c>
      <c r="N418" s="8" t="n">
        <v>14</v>
      </c>
      <c r="O418" s="8" t="n">
        <v>4</v>
      </c>
      <c r="P418" s="9" t="n">
        <v>6.51770800758459</v>
      </c>
      <c r="Q418" s="10" t="n">
        <v>0.153428168128476</v>
      </c>
      <c r="R418" s="9" t="n">
        <v>7</v>
      </c>
      <c r="S418" s="11" t="n">
        <f aca="false">IF(AND(ISNUMBER(R418),R418&gt;1,P418&gt;0),R418/P418-1,"")</f>
        <v>0.0739971768993286</v>
      </c>
      <c r="T418" s="9" t="n">
        <f aca="false">IF(AND(ISNUMBER(P418),P418&gt;0),P418*EXP('Read me'!$B$22),"")</f>
        <v>7.96074653734645</v>
      </c>
    </row>
    <row r="419" customFormat="false" ht="15" hidden="false" customHeight="false" outlineLevel="0" collapsed="false">
      <c r="A419" s="14" t="s">
        <v>263</v>
      </c>
      <c r="B419" s="14" t="s">
        <v>56</v>
      </c>
      <c r="C419" s="14" t="s">
        <v>264</v>
      </c>
      <c r="D419" s="14" t="s">
        <v>436</v>
      </c>
      <c r="E419" s="15" t="n">
        <v>14.5</v>
      </c>
      <c r="F419" s="14" t="s">
        <v>419</v>
      </c>
      <c r="G419" s="8" t="n">
        <v>9</v>
      </c>
      <c r="H419" s="14" t="s">
        <v>1056</v>
      </c>
      <c r="I419" s="14" t="s">
        <v>84</v>
      </c>
      <c r="J419" s="14" t="s">
        <v>1057</v>
      </c>
      <c r="K419" s="8" t="n">
        <v>9</v>
      </c>
      <c r="L419" s="8" t="n">
        <v>78</v>
      </c>
      <c r="M419" s="8" t="n">
        <v>5</v>
      </c>
      <c r="N419" s="8" t="n">
        <v>14</v>
      </c>
      <c r="O419" s="8" t="n">
        <v>5</v>
      </c>
      <c r="P419" s="9" t="n">
        <v>7.0117428203914</v>
      </c>
      <c r="Q419" s="10" t="n">
        <v>0.142617894810948</v>
      </c>
      <c r="R419" s="9" t="n">
        <v>5</v>
      </c>
      <c r="S419" s="11" t="n">
        <f aca="false">IF(AND(ISNUMBER(R419),R419&gt;1,P419&gt;0),R419/P419-1,"")</f>
        <v>-0.286910525945261</v>
      </c>
      <c r="T419" s="9" t="n">
        <f aca="false">IF(AND(ISNUMBER(P419),P419&gt;0),P419*EXP('Read me'!$B$22),"")</f>
        <v>8.56416202033583</v>
      </c>
    </row>
    <row r="420" customFormat="false" ht="15" hidden="false" customHeight="false" outlineLevel="0" collapsed="false">
      <c r="A420" s="14" t="s">
        <v>263</v>
      </c>
      <c r="B420" s="14" t="s">
        <v>56</v>
      </c>
      <c r="C420" s="14" t="s">
        <v>264</v>
      </c>
      <c r="D420" s="14" t="s">
        <v>436</v>
      </c>
      <c r="E420" s="15" t="n">
        <v>14.5</v>
      </c>
      <c r="F420" s="14" t="s">
        <v>419</v>
      </c>
      <c r="G420" s="8" t="n">
        <v>9</v>
      </c>
      <c r="H420" s="14" t="s">
        <v>1058</v>
      </c>
      <c r="I420" s="14" t="s">
        <v>579</v>
      </c>
      <c r="J420" s="14" t="s">
        <v>574</v>
      </c>
      <c r="K420" s="8" t="n">
        <v>5</v>
      </c>
      <c r="L420" s="8" t="n">
        <v>83</v>
      </c>
      <c r="M420" s="8" t="n">
        <v>6</v>
      </c>
      <c r="N420" s="8" t="n">
        <v>20</v>
      </c>
      <c r="O420" s="8" t="n">
        <v>6</v>
      </c>
      <c r="P420" s="9" t="n">
        <v>16.0351376377611</v>
      </c>
      <c r="Q420" s="10" t="n">
        <v>0.0623630443710755</v>
      </c>
      <c r="R420" s="9" t="n">
        <v>29</v>
      </c>
      <c r="S420" s="11" t="n">
        <f aca="false">IF(AND(ISNUMBER(R420),R420&gt;1,P420&gt;0),R420/P420-1,"")</f>
        <v>0.80852828676119</v>
      </c>
      <c r="T420" s="9" t="n">
        <f aca="false">IF(AND(ISNUMBER(P420),P420&gt;0),P420*EXP('Read me'!$B$22),"")</f>
        <v>19.5853613382394</v>
      </c>
    </row>
    <row r="421" customFormat="false" ht="15" hidden="false" customHeight="false" outlineLevel="0" collapsed="false">
      <c r="A421" s="14" t="s">
        <v>263</v>
      </c>
      <c r="B421" s="14" t="s">
        <v>56</v>
      </c>
      <c r="C421" s="14" t="s">
        <v>264</v>
      </c>
      <c r="D421" s="14" t="s">
        <v>436</v>
      </c>
      <c r="E421" s="15" t="n">
        <v>14.5</v>
      </c>
      <c r="F421" s="14" t="s">
        <v>419</v>
      </c>
      <c r="G421" s="8" t="n">
        <v>9</v>
      </c>
      <c r="H421" s="14" t="s">
        <v>1059</v>
      </c>
      <c r="I421" s="14" t="s">
        <v>187</v>
      </c>
      <c r="J421" s="14" t="s">
        <v>1060</v>
      </c>
      <c r="K421" s="8" t="n">
        <v>7</v>
      </c>
      <c r="L421" s="8" t="n">
        <v>74</v>
      </c>
      <c r="M421" s="8" t="n">
        <v>6</v>
      </c>
      <c r="N421" s="8" t="n">
        <v>355</v>
      </c>
      <c r="O421" s="8" t="n">
        <v>7</v>
      </c>
      <c r="P421" s="9" t="n">
        <v>16.7609892963814</v>
      </c>
      <c r="Q421" s="10" t="n">
        <v>0.0596623494184735</v>
      </c>
      <c r="R421" s="9" t="n">
        <v>12</v>
      </c>
      <c r="S421" s="11" t="n">
        <f aca="false">IF(AND(ISNUMBER(R421),R421&gt;1,P421&gt;0),R421/P421-1,"")</f>
        <v>-0.284051806978317</v>
      </c>
      <c r="T421" s="9" t="n">
        <f aca="false">IF(AND(ISNUMBER(P421),P421&gt;0),P421*EXP('Read me'!$B$22),"")</f>
        <v>20.4719185560933</v>
      </c>
    </row>
    <row r="422" customFormat="false" ht="15" hidden="false" customHeight="false" outlineLevel="0" collapsed="false">
      <c r="A422" s="14" t="s">
        <v>263</v>
      </c>
      <c r="B422" s="14" t="s">
        <v>56</v>
      </c>
      <c r="C422" s="14" t="s">
        <v>264</v>
      </c>
      <c r="D422" s="14" t="s">
        <v>436</v>
      </c>
      <c r="E422" s="15" t="n">
        <v>14.5</v>
      </c>
      <c r="F422" s="14" t="s">
        <v>419</v>
      </c>
      <c r="G422" s="8" t="n">
        <v>9</v>
      </c>
      <c r="H422" s="14" t="s">
        <v>1061</v>
      </c>
      <c r="I422" s="14" t="s">
        <v>935</v>
      </c>
      <c r="J422" s="14" t="s">
        <v>1062</v>
      </c>
      <c r="K422" s="8" t="n">
        <v>6</v>
      </c>
      <c r="L422" s="8" t="n">
        <v>78</v>
      </c>
      <c r="M422" s="8" t="n">
        <v>4</v>
      </c>
      <c r="N422" s="8" t="n">
        <v>26</v>
      </c>
      <c r="O422" s="8" t="n">
        <v>8</v>
      </c>
      <c r="P422" s="9" t="n">
        <v>23.6603358559781</v>
      </c>
      <c r="Q422" s="10" t="n">
        <v>0.0422648269275237</v>
      </c>
      <c r="R422" s="9" t="n">
        <v>15</v>
      </c>
      <c r="S422" s="11" t="n">
        <f aca="false">IF(AND(ISNUMBER(R422),R422&gt;1,P422&gt;0),R422/P422-1,"")</f>
        <v>-0.366027596087144</v>
      </c>
      <c r="T422" s="9" t="n">
        <f aca="false">IF(AND(ISNUMBER(P422),P422&gt;0),P422*EXP('Read me'!$B$22),"")</f>
        <v>28.8987994734877</v>
      </c>
    </row>
    <row r="423" customFormat="false" ht="15" hidden="false" customHeight="false" outlineLevel="0" collapsed="false">
      <c r="A423" s="14" t="s">
        <v>263</v>
      </c>
      <c r="B423" s="14" t="s">
        <v>56</v>
      </c>
      <c r="C423" s="14" t="s">
        <v>264</v>
      </c>
      <c r="D423" s="14" t="s">
        <v>436</v>
      </c>
      <c r="E423" s="15" t="n">
        <v>14.5</v>
      </c>
      <c r="F423" s="14" t="s">
        <v>419</v>
      </c>
      <c r="G423" s="8" t="n">
        <v>9</v>
      </c>
      <c r="H423" s="14" t="s">
        <v>1063</v>
      </c>
      <c r="I423" s="14" t="s">
        <v>799</v>
      </c>
      <c r="J423" s="14" t="s">
        <v>1064</v>
      </c>
      <c r="K423" s="8" t="n">
        <v>4</v>
      </c>
      <c r="L423" s="8" t="n">
        <v>85</v>
      </c>
      <c r="M423" s="8" t="n">
        <v>8</v>
      </c>
      <c r="N423" s="8" t="n">
        <v>36</v>
      </c>
      <c r="O423" s="8" t="n">
        <v>9</v>
      </c>
      <c r="P423" s="9" t="n">
        <v>105.192216993022</v>
      </c>
      <c r="Q423" s="10" t="n">
        <v>0.0095064067341249</v>
      </c>
      <c r="R423" s="9" t="n">
        <v>81</v>
      </c>
      <c r="S423" s="11" t="n">
        <f aca="false">IF(AND(ISNUMBER(R423),R423&gt;1,P423&gt;0),R423/P423-1,"")</f>
        <v>-0.229981054535878</v>
      </c>
      <c r="T423" s="9" t="n">
        <f aca="false">IF(AND(ISNUMBER(P423),P423&gt;0),P423*EXP('Read me'!$B$22),"")</f>
        <v>128.48206397226</v>
      </c>
    </row>
    <row r="424" customFormat="false" ht="15" hidden="false" customHeight="false" outlineLevel="0" collapsed="false">
      <c r="A424" s="14" t="s">
        <v>269</v>
      </c>
      <c r="B424" s="14" t="s">
        <v>63</v>
      </c>
      <c r="C424" s="14" t="s">
        <v>270</v>
      </c>
      <c r="D424" s="14" t="s">
        <v>570</v>
      </c>
      <c r="E424" s="15" t="n">
        <v>12</v>
      </c>
      <c r="F424" s="14" t="s">
        <v>388</v>
      </c>
      <c r="G424" s="8" t="n">
        <v>10</v>
      </c>
      <c r="H424" s="14" t="s">
        <v>271</v>
      </c>
      <c r="I424" s="14" t="s">
        <v>272</v>
      </c>
      <c r="J424" s="14" t="s">
        <v>273</v>
      </c>
      <c r="K424" s="8" t="n">
        <v>1</v>
      </c>
      <c r="L424" s="8" t="n">
        <v>79</v>
      </c>
      <c r="M424" s="8" t="n">
        <v>3</v>
      </c>
      <c r="N424" s="8" t="n">
        <v>23</v>
      </c>
      <c r="O424" s="8" t="n">
        <v>1</v>
      </c>
      <c r="P424" s="9" t="n">
        <v>2.71392874178648</v>
      </c>
      <c r="Q424" s="10" t="n">
        <v>0.368469512335735</v>
      </c>
      <c r="R424" s="9" t="n">
        <v>3</v>
      </c>
      <c r="S424" s="11" t="n">
        <f aca="false">IF(AND(ISNUMBER(R424),R424&gt;1,P424&gt;0),R424/P424-1,"")</f>
        <v>0.105408537007206</v>
      </c>
      <c r="T424" s="9" t="n">
        <f aca="false">IF(AND(ISNUMBER(P424),P424&gt;0),P424*EXP('Read me'!$B$22),"")</f>
        <v>3.31480005066816</v>
      </c>
    </row>
    <row r="425" customFormat="false" ht="15" hidden="false" customHeight="false" outlineLevel="0" collapsed="false">
      <c r="A425" s="14" t="s">
        <v>269</v>
      </c>
      <c r="B425" s="14" t="s">
        <v>63</v>
      </c>
      <c r="C425" s="14" t="s">
        <v>270</v>
      </c>
      <c r="D425" s="14" t="s">
        <v>570</v>
      </c>
      <c r="E425" s="15" t="n">
        <v>12</v>
      </c>
      <c r="F425" s="14" t="s">
        <v>388</v>
      </c>
      <c r="G425" s="8" t="n">
        <v>10</v>
      </c>
      <c r="H425" s="14" t="s">
        <v>274</v>
      </c>
      <c r="I425" s="14" t="s">
        <v>90</v>
      </c>
      <c r="J425" s="14" t="s">
        <v>91</v>
      </c>
      <c r="K425" s="8" t="n">
        <v>2</v>
      </c>
      <c r="L425" s="8" t="n">
        <v>77</v>
      </c>
      <c r="M425" s="8" t="n">
        <v>3</v>
      </c>
      <c r="N425" s="8" t="n">
        <v>51</v>
      </c>
      <c r="O425" s="8" t="n">
        <v>2</v>
      </c>
      <c r="P425" s="9" t="n">
        <v>3.26090078112105</v>
      </c>
      <c r="Q425" s="10" t="n">
        <v>0.306663731012452</v>
      </c>
      <c r="R425" s="9" t="n">
        <v>2.5</v>
      </c>
      <c r="S425" s="11" t="n">
        <f aca="false">IF(AND(ISNUMBER(R425),R425&gt;1,P425&gt;0),R425/P425-1,"")</f>
        <v>-0.23334067246887</v>
      </c>
      <c r="T425" s="9" t="n">
        <f aca="false">IF(AND(ISNUMBER(P425),P425&gt;0),P425*EXP('Read me'!$B$22),"")</f>
        <v>3.9828732081479</v>
      </c>
    </row>
    <row r="426" customFormat="false" ht="15" hidden="false" customHeight="false" outlineLevel="0" collapsed="false">
      <c r="A426" s="14" t="s">
        <v>269</v>
      </c>
      <c r="B426" s="14" t="s">
        <v>63</v>
      </c>
      <c r="C426" s="14" t="s">
        <v>270</v>
      </c>
      <c r="D426" s="14" t="s">
        <v>570</v>
      </c>
      <c r="E426" s="15" t="n">
        <v>12</v>
      </c>
      <c r="F426" s="14" t="s">
        <v>388</v>
      </c>
      <c r="G426" s="8" t="n">
        <v>10</v>
      </c>
      <c r="H426" s="14" t="s">
        <v>1065</v>
      </c>
      <c r="I426" s="14" t="s">
        <v>300</v>
      </c>
      <c r="J426" s="14" t="s">
        <v>463</v>
      </c>
      <c r="K426" s="8" t="n">
        <v>4</v>
      </c>
      <c r="L426" s="8" t="n">
        <v>0</v>
      </c>
      <c r="M426" s="8" t="n">
        <v>3</v>
      </c>
      <c r="N426" s="8" t="n">
        <v>17</v>
      </c>
      <c r="O426" s="8" t="n">
        <v>3</v>
      </c>
      <c r="P426" s="9" t="n">
        <v>6.28530088465923</v>
      </c>
      <c r="Q426" s="10" t="n">
        <v>0.159101372925636</v>
      </c>
      <c r="R426" s="9" t="n">
        <v>4.5</v>
      </c>
      <c r="S426" s="11" t="n">
        <f aca="false">IF(AND(ISNUMBER(R426),R426&gt;1,P426&gt;0),R426/P426-1,"")</f>
        <v>-0.284043821834636</v>
      </c>
      <c r="T426" s="9" t="n">
        <f aca="false">IF(AND(ISNUMBER(P426),P426&gt;0),P426*EXP('Read me'!$B$22),"")</f>
        <v>7.67688383638934</v>
      </c>
    </row>
    <row r="427" customFormat="false" ht="15" hidden="false" customHeight="false" outlineLevel="0" collapsed="false">
      <c r="A427" s="14" t="s">
        <v>269</v>
      </c>
      <c r="B427" s="14" t="s">
        <v>63</v>
      </c>
      <c r="C427" s="14" t="s">
        <v>270</v>
      </c>
      <c r="D427" s="14" t="s">
        <v>570</v>
      </c>
      <c r="E427" s="15" t="n">
        <v>12</v>
      </c>
      <c r="F427" s="14" t="s">
        <v>388</v>
      </c>
      <c r="G427" s="8" t="n">
        <v>10</v>
      </c>
      <c r="H427" s="14" t="s">
        <v>1066</v>
      </c>
      <c r="I427" s="14" t="s">
        <v>1067</v>
      </c>
      <c r="J427" s="14" t="s">
        <v>1068</v>
      </c>
      <c r="K427" s="8" t="n">
        <v>8</v>
      </c>
      <c r="L427" s="8" t="n">
        <v>74</v>
      </c>
      <c r="M427" s="8" t="n">
        <v>3</v>
      </c>
      <c r="N427" s="8" t="n">
        <v>30</v>
      </c>
      <c r="O427" s="8" t="n">
        <v>4</v>
      </c>
      <c r="P427" s="9" t="n">
        <v>14.5496943753231</v>
      </c>
      <c r="Q427" s="10" t="n">
        <v>0.0687299660188082</v>
      </c>
      <c r="R427" s="9" t="n">
        <v>13</v>
      </c>
      <c r="S427" s="11" t="n">
        <f aca="false">IF(AND(ISNUMBER(R427),R427&gt;1,P427&gt;0),R427/P427-1,"")</f>
        <v>-0.106510441755493</v>
      </c>
      <c r="T427" s="9" t="n">
        <f aca="false">IF(AND(ISNUMBER(P427),P427&gt;0),P427*EXP('Read me'!$B$22),"")</f>
        <v>17.7710368404071</v>
      </c>
    </row>
    <row r="428" customFormat="false" ht="15" hidden="false" customHeight="false" outlineLevel="0" collapsed="false">
      <c r="A428" s="14" t="s">
        <v>269</v>
      </c>
      <c r="B428" s="14" t="s">
        <v>63</v>
      </c>
      <c r="C428" s="14" t="s">
        <v>270</v>
      </c>
      <c r="D428" s="14" t="s">
        <v>570</v>
      </c>
      <c r="E428" s="15" t="n">
        <v>12</v>
      </c>
      <c r="F428" s="14" t="s">
        <v>388</v>
      </c>
      <c r="G428" s="8" t="n">
        <v>10</v>
      </c>
      <c r="H428" s="14" t="s">
        <v>1069</v>
      </c>
      <c r="I428" s="14" t="s">
        <v>66</v>
      </c>
      <c r="J428" s="14" t="s">
        <v>760</v>
      </c>
      <c r="K428" s="8" t="n">
        <v>10</v>
      </c>
      <c r="L428" s="8" t="n">
        <v>0</v>
      </c>
      <c r="M428" s="8" t="n">
        <v>3</v>
      </c>
      <c r="N428" s="8" t="n">
        <v>17</v>
      </c>
      <c r="O428" s="8" t="n">
        <v>5</v>
      </c>
      <c r="P428" s="9" t="n">
        <v>28.6495786819836</v>
      </c>
      <c r="Q428" s="10" t="n">
        <v>0.0349045272567604</v>
      </c>
      <c r="R428" s="9" t="n">
        <v>34</v>
      </c>
      <c r="S428" s="11" t="n">
        <f aca="false">IF(AND(ISNUMBER(R428),R428&gt;1,P428&gt;0),R428/P428-1,"")</f>
        <v>0.186753926729856</v>
      </c>
      <c r="T428" s="9" t="n">
        <f aca="false">IF(AND(ISNUMBER(P428),P428&gt;0),P428*EXP('Read me'!$B$22),"")</f>
        <v>34.9926744223016</v>
      </c>
    </row>
    <row r="429" customFormat="false" ht="15" hidden="false" customHeight="false" outlineLevel="0" collapsed="false">
      <c r="A429" s="14" t="s">
        <v>269</v>
      </c>
      <c r="B429" s="14" t="s">
        <v>63</v>
      </c>
      <c r="C429" s="14" t="s">
        <v>270</v>
      </c>
      <c r="D429" s="14" t="s">
        <v>570</v>
      </c>
      <c r="E429" s="15" t="n">
        <v>12</v>
      </c>
      <c r="F429" s="14" t="s">
        <v>388</v>
      </c>
      <c r="G429" s="8" t="n">
        <v>10</v>
      </c>
      <c r="H429" s="14" t="s">
        <v>1070</v>
      </c>
      <c r="I429" s="14" t="s">
        <v>455</v>
      </c>
      <c r="J429" s="14" t="s">
        <v>379</v>
      </c>
      <c r="K429" s="8" t="n">
        <v>3</v>
      </c>
      <c r="L429" s="8" t="n">
        <v>0</v>
      </c>
      <c r="M429" s="8" t="n">
        <v>3</v>
      </c>
      <c r="N429" s="8" t="n">
        <v>324</v>
      </c>
      <c r="O429" s="8" t="n">
        <v>6</v>
      </c>
      <c r="P429" s="9" t="n">
        <v>48.9167569602325</v>
      </c>
      <c r="Q429" s="10" t="n">
        <v>0.0204428924185011</v>
      </c>
      <c r="R429" s="9" t="n">
        <v>17</v>
      </c>
      <c r="S429" s="11" t="n">
        <f aca="false">IF(AND(ISNUMBER(R429),R429&gt;1,P429&gt;0),R429/P429-1,"")</f>
        <v>-0.652470828885481</v>
      </c>
      <c r="T429" s="9" t="n">
        <f aca="false">IF(AND(ISNUMBER(P429),P429&gt;0),P429*EXP('Read me'!$B$22),"")</f>
        <v>59.7470618714787</v>
      </c>
    </row>
    <row r="430" customFormat="false" ht="15" hidden="false" customHeight="false" outlineLevel="0" collapsed="false">
      <c r="A430" s="14" t="s">
        <v>269</v>
      </c>
      <c r="B430" s="14" t="s">
        <v>63</v>
      </c>
      <c r="C430" s="14" t="s">
        <v>270</v>
      </c>
      <c r="D430" s="14" t="s">
        <v>570</v>
      </c>
      <c r="E430" s="15" t="n">
        <v>12</v>
      </c>
      <c r="F430" s="14" t="s">
        <v>388</v>
      </c>
      <c r="G430" s="8" t="n">
        <v>10</v>
      </c>
      <c r="H430" s="14" t="s">
        <v>1071</v>
      </c>
      <c r="I430" s="14" t="s">
        <v>444</v>
      </c>
      <c r="J430" s="14" t="s">
        <v>697</v>
      </c>
      <c r="K430" s="8" t="n">
        <v>9</v>
      </c>
      <c r="L430" s="8" t="n">
        <v>0</v>
      </c>
      <c r="M430" s="8" t="n">
        <v>3</v>
      </c>
      <c r="N430" s="8"/>
      <c r="O430" s="8" t="n">
        <v>7</v>
      </c>
      <c r="P430" s="9" t="n">
        <v>51.4379623837687</v>
      </c>
      <c r="Q430" s="10" t="n">
        <v>0.0194408945000424</v>
      </c>
      <c r="R430" s="9" t="n">
        <v>67</v>
      </c>
      <c r="S430" s="11" t="n">
        <f aca="false">IF(AND(ISNUMBER(R430),R430&gt;1,P430&gt;0),R430/P430-1,"")</f>
        <v>0.302539931502845</v>
      </c>
      <c r="T430" s="9" t="n">
        <f aca="false">IF(AND(ISNUMBER(P430),P430&gt;0),P430*EXP('Read me'!$B$22),"")</f>
        <v>62.8264691296742</v>
      </c>
    </row>
    <row r="431" customFormat="false" ht="15" hidden="false" customHeight="false" outlineLevel="0" collapsed="false">
      <c r="A431" s="14" t="s">
        <v>269</v>
      </c>
      <c r="B431" s="14" t="s">
        <v>63</v>
      </c>
      <c r="C431" s="14" t="s">
        <v>270</v>
      </c>
      <c r="D431" s="14" t="s">
        <v>570</v>
      </c>
      <c r="E431" s="15" t="n">
        <v>12</v>
      </c>
      <c r="F431" s="14" t="s">
        <v>388</v>
      </c>
      <c r="G431" s="8" t="n">
        <v>10</v>
      </c>
      <c r="H431" s="14" t="s">
        <v>1072</v>
      </c>
      <c r="I431" s="14" t="s">
        <v>1073</v>
      </c>
      <c r="J431" s="14" t="s">
        <v>1074</v>
      </c>
      <c r="K431" s="8" t="n">
        <v>5</v>
      </c>
      <c r="L431" s="8" t="n">
        <v>0</v>
      </c>
      <c r="M431" s="8" t="n">
        <v>6</v>
      </c>
      <c r="N431" s="8" t="n">
        <v>17</v>
      </c>
      <c r="O431" s="8" t="n">
        <v>8</v>
      </c>
      <c r="P431" s="9" t="n">
        <v>91.6311392934962</v>
      </c>
      <c r="Q431" s="10" t="n">
        <v>0.0109133205994196</v>
      </c>
      <c r="R431" s="9" t="n">
        <v>17</v>
      </c>
      <c r="S431" s="11" t="n">
        <f aca="false">IF(AND(ISNUMBER(R431),R431&gt;1,P431&gt;0),R431/P431-1,"")</f>
        <v>-0.814473549809867</v>
      </c>
      <c r="T431" s="9" t="n">
        <f aca="false">IF(AND(ISNUMBER(P431),P431&gt;0),P431*EXP('Read me'!$B$22),"")</f>
        <v>111.918526266435</v>
      </c>
    </row>
    <row r="432" customFormat="false" ht="15" hidden="false" customHeight="false" outlineLevel="0" collapsed="false">
      <c r="A432" s="14" t="s">
        <v>269</v>
      </c>
      <c r="B432" s="14" t="s">
        <v>63</v>
      </c>
      <c r="C432" s="14" t="s">
        <v>270</v>
      </c>
      <c r="D432" s="14" t="s">
        <v>570</v>
      </c>
      <c r="E432" s="15" t="n">
        <v>12</v>
      </c>
      <c r="F432" s="14" t="s">
        <v>388</v>
      </c>
      <c r="G432" s="8" t="n">
        <v>10</v>
      </c>
      <c r="H432" s="14" t="s">
        <v>1075</v>
      </c>
      <c r="I432" s="14" t="s">
        <v>503</v>
      </c>
      <c r="J432" s="14" t="s">
        <v>463</v>
      </c>
      <c r="K432" s="8" t="n">
        <v>7</v>
      </c>
      <c r="L432" s="8" t="n">
        <v>0</v>
      </c>
      <c r="M432" s="8" t="n">
        <v>3</v>
      </c>
      <c r="N432" s="8" t="n">
        <v>32</v>
      </c>
      <c r="O432" s="8" t="n">
        <v>9</v>
      </c>
      <c r="P432" s="9" t="n">
        <v>95.36287626399</v>
      </c>
      <c r="Q432" s="10" t="n">
        <v>0.0104862608928838</v>
      </c>
      <c r="R432" s="9" t="n">
        <v>51</v>
      </c>
      <c r="S432" s="11" t="n">
        <f aca="false">IF(AND(ISNUMBER(R432),R432&gt;1,P432&gt;0),R432/P432-1,"")</f>
        <v>-0.465200694462923</v>
      </c>
      <c r="T432" s="9" t="n">
        <f aca="false">IF(AND(ISNUMBER(P432),P432&gt;0),P432*EXP('Read me'!$B$22),"")</f>
        <v>116.476480094924</v>
      </c>
    </row>
    <row r="433" customFormat="false" ht="15" hidden="false" customHeight="false" outlineLevel="0" collapsed="false">
      <c r="A433" s="14" t="s">
        <v>269</v>
      </c>
      <c r="B433" s="14" t="s">
        <v>63</v>
      </c>
      <c r="C433" s="14" t="s">
        <v>270</v>
      </c>
      <c r="D433" s="14" t="s">
        <v>570</v>
      </c>
      <c r="E433" s="15" t="n">
        <v>12</v>
      </c>
      <c r="F433" s="14" t="s">
        <v>388</v>
      </c>
      <c r="G433" s="8" t="n">
        <v>10</v>
      </c>
      <c r="H433" s="14" t="s">
        <v>1076</v>
      </c>
      <c r="I433" s="14" t="s">
        <v>623</v>
      </c>
      <c r="J433" s="14" t="s">
        <v>1077</v>
      </c>
      <c r="K433" s="8" t="n">
        <v>6</v>
      </c>
      <c r="L433" s="8" t="n">
        <v>0</v>
      </c>
      <c r="M433" s="8" t="n">
        <v>3</v>
      </c>
      <c r="N433" s="8" t="n">
        <v>23</v>
      </c>
      <c r="O433" s="8" t="n">
        <v>10</v>
      </c>
      <c r="P433" s="9" t="n">
        <v>1179.91031865367</v>
      </c>
      <c r="Q433" s="10" t="n">
        <v>0.0008475220397606</v>
      </c>
      <c r="R433" s="9" t="n">
        <v>251</v>
      </c>
      <c r="S433" s="11" t="n">
        <f aca="false">IF(AND(ISNUMBER(R433),R433&gt;1,P433&gt;0),R433/P433-1,"")</f>
        <v>-0.787271968020077</v>
      </c>
      <c r="T433" s="9" t="n">
        <f aca="false">IF(AND(ISNUMBER(P433),P433&gt;0),P433*EXP('Read me'!$B$22),"")</f>
        <v>1441.14571758524</v>
      </c>
    </row>
    <row r="434" customFormat="false" ht="15" hidden="false" customHeight="false" outlineLevel="0" collapsed="false">
      <c r="A434" s="14" t="s">
        <v>275</v>
      </c>
      <c r="B434" s="14" t="s">
        <v>197</v>
      </c>
      <c r="C434" s="14" t="s">
        <v>276</v>
      </c>
      <c r="D434" s="14" t="s">
        <v>436</v>
      </c>
      <c r="E434" s="15" t="n">
        <v>5</v>
      </c>
      <c r="F434" s="14" t="s">
        <v>819</v>
      </c>
      <c r="G434" s="8" t="n">
        <v>10</v>
      </c>
      <c r="H434" s="14" t="s">
        <v>277</v>
      </c>
      <c r="I434" s="14" t="s">
        <v>278</v>
      </c>
      <c r="J434" s="14" t="s">
        <v>279</v>
      </c>
      <c r="K434" s="8" t="n">
        <v>10</v>
      </c>
      <c r="L434" s="8" t="n">
        <v>84</v>
      </c>
      <c r="M434" s="8" t="n">
        <v>4</v>
      </c>
      <c r="N434" s="8" t="n">
        <v>23</v>
      </c>
      <c r="O434" s="8" t="n">
        <v>1</v>
      </c>
      <c r="P434" s="9" t="n">
        <v>3.52310281748753</v>
      </c>
      <c r="Q434" s="10" t="n">
        <v>0.283840708547116</v>
      </c>
      <c r="R434" s="9" t="n">
        <v>2.625</v>
      </c>
      <c r="S434" s="11" t="n">
        <f aca="false">IF(AND(ISNUMBER(R434),R434&gt;1,P434&gt;0),R434/P434-1,"")</f>
        <v>-0.254918140063822</v>
      </c>
      <c r="T434" s="9" t="n">
        <f aca="false">IF(AND(ISNUMBER(P434),P434&gt;0),P434*EXP('Read me'!$B$22),"")</f>
        <v>4.30312749856114</v>
      </c>
    </row>
    <row r="435" customFormat="false" ht="15" hidden="false" customHeight="false" outlineLevel="0" collapsed="false">
      <c r="A435" s="14" t="s">
        <v>275</v>
      </c>
      <c r="B435" s="14" t="s">
        <v>197</v>
      </c>
      <c r="C435" s="14" t="s">
        <v>276</v>
      </c>
      <c r="D435" s="14" t="s">
        <v>436</v>
      </c>
      <c r="E435" s="15" t="n">
        <v>5</v>
      </c>
      <c r="F435" s="14" t="s">
        <v>819</v>
      </c>
      <c r="G435" s="8" t="n">
        <v>10</v>
      </c>
      <c r="H435" s="14" t="s">
        <v>280</v>
      </c>
      <c r="I435" s="14" t="s">
        <v>306</v>
      </c>
      <c r="J435" s="14" t="s">
        <v>127</v>
      </c>
      <c r="K435" s="8" t="n">
        <v>9</v>
      </c>
      <c r="L435" s="8" t="n">
        <v>86</v>
      </c>
      <c r="M435" s="8" t="n">
        <v>4</v>
      </c>
      <c r="N435" s="8" t="n">
        <v>38</v>
      </c>
      <c r="O435" s="8" t="n">
        <v>2</v>
      </c>
      <c r="P435" s="9" t="n">
        <v>4.70530492906764</v>
      </c>
      <c r="Q435" s="10" t="n">
        <v>0.212526077496565</v>
      </c>
      <c r="R435" s="9" t="n">
        <v>5.5</v>
      </c>
      <c r="S435" s="11" t="n">
        <f aca="false">IF(AND(ISNUMBER(R435),R435&gt;1,P435&gt;0),R435/P435-1,"")</f>
        <v>0.168893426231109</v>
      </c>
      <c r="T435" s="9" t="n">
        <f aca="false">IF(AND(ISNUMBER(P435),P435&gt;0),P435*EXP('Read me'!$B$22),"")</f>
        <v>5.74707241834786</v>
      </c>
    </row>
    <row r="436" customFormat="false" ht="15" hidden="false" customHeight="false" outlineLevel="0" collapsed="false">
      <c r="A436" s="14" t="s">
        <v>275</v>
      </c>
      <c r="B436" s="14" t="s">
        <v>197</v>
      </c>
      <c r="C436" s="14" t="s">
        <v>276</v>
      </c>
      <c r="D436" s="14" t="s">
        <v>436</v>
      </c>
      <c r="E436" s="15" t="n">
        <v>5</v>
      </c>
      <c r="F436" s="14" t="s">
        <v>819</v>
      </c>
      <c r="G436" s="8" t="n">
        <v>10</v>
      </c>
      <c r="H436" s="14" t="s">
        <v>1078</v>
      </c>
      <c r="I436" s="14" t="s">
        <v>833</v>
      </c>
      <c r="J436" s="14" t="s">
        <v>453</v>
      </c>
      <c r="K436" s="8" t="n">
        <v>4</v>
      </c>
      <c r="L436" s="8" t="n">
        <v>82</v>
      </c>
      <c r="M436" s="8" t="n">
        <v>6</v>
      </c>
      <c r="N436" s="8" t="n">
        <v>13</v>
      </c>
      <c r="O436" s="8" t="n">
        <v>3</v>
      </c>
      <c r="P436" s="9" t="n">
        <v>6.84333750569688</v>
      </c>
      <c r="Q436" s="10" t="n">
        <v>0.146127529026229</v>
      </c>
      <c r="R436" s="9" t="n">
        <v>5.5</v>
      </c>
      <c r="S436" s="11" t="n">
        <f aca="false">IF(AND(ISNUMBER(R436),R436&gt;1,P436&gt;0),R436/P436-1,"")</f>
        <v>-0.196298590355743</v>
      </c>
      <c r="T436" s="9" t="n">
        <f aca="false">IF(AND(ISNUMBER(P436),P436&gt;0),P436*EXP('Read me'!$B$22),"")</f>
        <v>8.35847130447911</v>
      </c>
    </row>
    <row r="437" customFormat="false" ht="15" hidden="false" customHeight="false" outlineLevel="0" collapsed="false">
      <c r="A437" s="14" t="s">
        <v>275</v>
      </c>
      <c r="B437" s="14" t="s">
        <v>197</v>
      </c>
      <c r="C437" s="14" t="s">
        <v>276</v>
      </c>
      <c r="D437" s="14" t="s">
        <v>436</v>
      </c>
      <c r="E437" s="15" t="n">
        <v>5</v>
      </c>
      <c r="F437" s="14" t="s">
        <v>819</v>
      </c>
      <c r="G437" s="8" t="n">
        <v>10</v>
      </c>
      <c r="H437" s="14" t="s">
        <v>1079</v>
      </c>
      <c r="I437" s="14" t="s">
        <v>830</v>
      </c>
      <c r="J437" s="14" t="s">
        <v>625</v>
      </c>
      <c r="K437" s="8" t="n">
        <v>1</v>
      </c>
      <c r="L437" s="8" t="n">
        <v>84</v>
      </c>
      <c r="M437" s="8" t="n">
        <v>7</v>
      </c>
      <c r="N437" s="8" t="n">
        <v>49</v>
      </c>
      <c r="O437" s="8" t="n">
        <v>4</v>
      </c>
      <c r="P437" s="9" t="n">
        <v>8.93125495694302</v>
      </c>
      <c r="Q437" s="10" t="n">
        <v>0.111966347934409</v>
      </c>
      <c r="R437" s="9" t="n">
        <v>7.5</v>
      </c>
      <c r="S437" s="11" t="n">
        <f aca="false">IF(AND(ISNUMBER(R437),R437&gt;1,P437&gt;0),R437/P437-1,"")</f>
        <v>-0.16025239049193</v>
      </c>
      <c r="T437" s="9" t="n">
        <f aca="false">IF(AND(ISNUMBER(P437),P437&gt;0),P437*EXP('Read me'!$B$22),"")</f>
        <v>10.9086594382419</v>
      </c>
    </row>
    <row r="438" customFormat="false" ht="15" hidden="false" customHeight="false" outlineLevel="0" collapsed="false">
      <c r="A438" s="14" t="s">
        <v>275</v>
      </c>
      <c r="B438" s="14" t="s">
        <v>197</v>
      </c>
      <c r="C438" s="14" t="s">
        <v>276</v>
      </c>
      <c r="D438" s="14" t="s">
        <v>436</v>
      </c>
      <c r="E438" s="15" t="n">
        <v>5</v>
      </c>
      <c r="F438" s="14" t="s">
        <v>819</v>
      </c>
      <c r="G438" s="8" t="n">
        <v>10</v>
      </c>
      <c r="H438" s="14" t="s">
        <v>1080</v>
      </c>
      <c r="I438" s="14" t="s">
        <v>1081</v>
      </c>
      <c r="J438" s="14" t="s">
        <v>201</v>
      </c>
      <c r="K438" s="8" t="n">
        <v>2</v>
      </c>
      <c r="L438" s="8" t="n">
        <v>76</v>
      </c>
      <c r="M438" s="8" t="n">
        <v>9</v>
      </c>
      <c r="N438" s="8" t="n">
        <v>35</v>
      </c>
      <c r="O438" s="8" t="n">
        <v>5</v>
      </c>
      <c r="P438" s="9" t="n">
        <v>13.7443653492664</v>
      </c>
      <c r="Q438" s="10" t="n">
        <v>0.0727570880566975</v>
      </c>
      <c r="R438" s="9" t="n">
        <v>10</v>
      </c>
      <c r="S438" s="11" t="n">
        <f aca="false">IF(AND(ISNUMBER(R438),R438&gt;1,P438&gt;0),R438/P438-1,"")</f>
        <v>-0.272429119433025</v>
      </c>
      <c r="T438" s="9" t="n">
        <f aca="false">IF(AND(ISNUMBER(P438),P438&gt;0),P438*EXP('Read me'!$B$22),"")</f>
        <v>16.7874057467551</v>
      </c>
    </row>
    <row r="439" customFormat="false" ht="15" hidden="false" customHeight="false" outlineLevel="0" collapsed="false">
      <c r="A439" s="14" t="s">
        <v>275</v>
      </c>
      <c r="B439" s="14" t="s">
        <v>197</v>
      </c>
      <c r="C439" s="14" t="s">
        <v>276</v>
      </c>
      <c r="D439" s="14" t="s">
        <v>436</v>
      </c>
      <c r="E439" s="15" t="n">
        <v>5</v>
      </c>
      <c r="F439" s="14" t="s">
        <v>819</v>
      </c>
      <c r="G439" s="8" t="n">
        <v>10</v>
      </c>
      <c r="H439" s="14" t="s">
        <v>1082</v>
      </c>
      <c r="I439" s="14" t="s">
        <v>1083</v>
      </c>
      <c r="J439" s="14" t="s">
        <v>247</v>
      </c>
      <c r="K439" s="8" t="n">
        <v>8</v>
      </c>
      <c r="L439" s="8" t="n">
        <v>86</v>
      </c>
      <c r="M439" s="8" t="n">
        <v>3</v>
      </c>
      <c r="N439" s="8" t="n">
        <v>63</v>
      </c>
      <c r="O439" s="8" t="n">
        <v>6</v>
      </c>
      <c r="P439" s="9" t="n">
        <v>17.4969288579762</v>
      </c>
      <c r="Q439" s="10" t="n">
        <v>0.0571528871219099</v>
      </c>
      <c r="R439" s="9" t="n">
        <v>10</v>
      </c>
      <c r="S439" s="11" t="n">
        <f aca="false">IF(AND(ISNUMBER(R439),R439&gt;1,P439&gt;0),R439/P439-1,"")</f>
        <v>-0.428471128780901</v>
      </c>
      <c r="T439" s="9" t="n">
        <f aca="false">IF(AND(ISNUMBER(P439),P439&gt;0),P439*EXP('Read me'!$B$22),"")</f>
        <v>21.3707971664644</v>
      </c>
    </row>
    <row r="440" customFormat="false" ht="15" hidden="false" customHeight="false" outlineLevel="0" collapsed="false">
      <c r="A440" s="14" t="s">
        <v>275</v>
      </c>
      <c r="B440" s="14" t="s">
        <v>197</v>
      </c>
      <c r="C440" s="14" t="s">
        <v>276</v>
      </c>
      <c r="D440" s="14" t="s">
        <v>436</v>
      </c>
      <c r="E440" s="15" t="n">
        <v>5</v>
      </c>
      <c r="F440" s="14" t="s">
        <v>819</v>
      </c>
      <c r="G440" s="8" t="n">
        <v>10</v>
      </c>
      <c r="H440" s="14" t="s">
        <v>1084</v>
      </c>
      <c r="I440" s="14" t="s">
        <v>1085</v>
      </c>
      <c r="J440" s="14" t="s">
        <v>188</v>
      </c>
      <c r="K440" s="8" t="n">
        <v>7</v>
      </c>
      <c r="L440" s="8" t="n">
        <v>80</v>
      </c>
      <c r="M440" s="8" t="n">
        <v>3</v>
      </c>
      <c r="N440" s="8" t="n">
        <v>7</v>
      </c>
      <c r="O440" s="8" t="n">
        <v>7</v>
      </c>
      <c r="P440" s="9" t="n">
        <v>20.899199255321</v>
      </c>
      <c r="Q440" s="10" t="n">
        <v>0.0478487231871048</v>
      </c>
      <c r="R440" s="9" t="n">
        <v>29</v>
      </c>
      <c r="S440" s="11" t="n">
        <f aca="false">IF(AND(ISNUMBER(R440),R440&gt;1,P440&gt;0),R440/P440-1,"")</f>
        <v>0.387612972426041</v>
      </c>
      <c r="T440" s="9" t="n">
        <f aca="false">IF(AND(ISNUMBER(P440),P440&gt;0),P440*EXP('Read me'!$B$22),"")</f>
        <v>25.526339613788</v>
      </c>
    </row>
    <row r="441" customFormat="false" ht="15" hidden="false" customHeight="false" outlineLevel="0" collapsed="false">
      <c r="A441" s="14" t="s">
        <v>275</v>
      </c>
      <c r="B441" s="14" t="s">
        <v>197</v>
      </c>
      <c r="C441" s="14" t="s">
        <v>276</v>
      </c>
      <c r="D441" s="14" t="s">
        <v>436</v>
      </c>
      <c r="E441" s="15" t="n">
        <v>5</v>
      </c>
      <c r="F441" s="14" t="s">
        <v>819</v>
      </c>
      <c r="G441" s="8" t="n">
        <v>10</v>
      </c>
      <c r="H441" s="14" t="s">
        <v>1086</v>
      </c>
      <c r="I441" s="14" t="s">
        <v>1087</v>
      </c>
      <c r="J441" s="14" t="s">
        <v>1088</v>
      </c>
      <c r="K441" s="8" t="n">
        <v>3</v>
      </c>
      <c r="L441" s="8" t="n">
        <v>87</v>
      </c>
      <c r="M441" s="8" t="n">
        <v>4</v>
      </c>
      <c r="N441" s="8" t="n">
        <v>14</v>
      </c>
      <c r="O441" s="8" t="n">
        <v>8</v>
      </c>
      <c r="P441" s="9" t="n">
        <v>30.9895108076775</v>
      </c>
      <c r="Q441" s="10" t="n">
        <v>0.0322689830828905</v>
      </c>
      <c r="R441" s="9" t="n">
        <v>34</v>
      </c>
      <c r="S441" s="11" t="n">
        <f aca="false">IF(AND(ISNUMBER(R441),R441&gt;1,P441&gt;0),R441/P441-1,"")</f>
        <v>0.097145424818279</v>
      </c>
      <c r="T441" s="9" t="n">
        <f aca="false">IF(AND(ISNUMBER(P441),P441&gt;0),P441*EXP('Read me'!$B$22),"")</f>
        <v>37.8506739745317</v>
      </c>
    </row>
    <row r="442" customFormat="false" ht="15" hidden="false" customHeight="false" outlineLevel="0" collapsed="false">
      <c r="A442" s="14" t="s">
        <v>275</v>
      </c>
      <c r="B442" s="14" t="s">
        <v>197</v>
      </c>
      <c r="C442" s="14" t="s">
        <v>276</v>
      </c>
      <c r="D442" s="14" t="s">
        <v>436</v>
      </c>
      <c r="E442" s="15" t="n">
        <v>5</v>
      </c>
      <c r="F442" s="14" t="s">
        <v>819</v>
      </c>
      <c r="G442" s="8" t="n">
        <v>10</v>
      </c>
      <c r="H442" s="14" t="s">
        <v>1089</v>
      </c>
      <c r="I442" s="14" t="s">
        <v>343</v>
      </c>
      <c r="J442" s="14" t="s">
        <v>1090</v>
      </c>
      <c r="K442" s="8" t="n">
        <v>5</v>
      </c>
      <c r="L442" s="8" t="n">
        <v>81</v>
      </c>
      <c r="M442" s="8" t="n">
        <v>3</v>
      </c>
      <c r="N442" s="8" t="n">
        <v>98</v>
      </c>
      <c r="O442" s="8" t="n">
        <v>9</v>
      </c>
      <c r="P442" s="9" t="n">
        <v>52.2752716873193</v>
      </c>
      <c r="Q442" s="10" t="n">
        <v>0.0191295036395301</v>
      </c>
      <c r="R442" s="9" t="n">
        <v>51</v>
      </c>
      <c r="S442" s="11" t="n">
        <f aca="false">IF(AND(ISNUMBER(R442),R442&gt;1,P442&gt;0),R442/P442-1,"")</f>
        <v>-0.0243953143839633</v>
      </c>
      <c r="T442" s="9" t="n">
        <f aca="false">IF(AND(ISNUMBER(P442),P442&gt;0),P442*EXP('Read me'!$B$22),"")</f>
        <v>63.849161022464</v>
      </c>
    </row>
    <row r="443" customFormat="false" ht="15" hidden="false" customHeight="false" outlineLevel="0" collapsed="false">
      <c r="A443" s="14" t="s">
        <v>275</v>
      </c>
      <c r="B443" s="14" t="s">
        <v>197</v>
      </c>
      <c r="C443" s="14" t="s">
        <v>276</v>
      </c>
      <c r="D443" s="14" t="s">
        <v>436</v>
      </c>
      <c r="E443" s="15" t="n">
        <v>5</v>
      </c>
      <c r="F443" s="14" t="s">
        <v>819</v>
      </c>
      <c r="G443" s="8" t="n">
        <v>10</v>
      </c>
      <c r="H443" s="14" t="s">
        <v>1091</v>
      </c>
      <c r="I443" s="14" t="s">
        <v>1092</v>
      </c>
      <c r="J443" s="14" t="s">
        <v>1093</v>
      </c>
      <c r="K443" s="8" t="n">
        <v>6</v>
      </c>
      <c r="L443" s="8" t="n">
        <v>83</v>
      </c>
      <c r="M443" s="8" t="n">
        <v>8</v>
      </c>
      <c r="N443" s="8" t="n">
        <v>364</v>
      </c>
      <c r="O443" s="8" t="n">
        <v>10</v>
      </c>
      <c r="P443" s="9" t="n">
        <v>61.0420417075509</v>
      </c>
      <c r="Q443" s="10" t="n">
        <v>0.0163821519075483</v>
      </c>
      <c r="R443" s="9" t="n">
        <v>34</v>
      </c>
      <c r="S443" s="11" t="n">
        <f aca="false">IF(AND(ISNUMBER(R443),R443&gt;1,P443&gt;0),R443/P443-1,"")</f>
        <v>-0.443006835143357</v>
      </c>
      <c r="T443" s="9" t="n">
        <f aca="false">IF(AND(ISNUMBER(P443),P443&gt;0),P443*EXP('Read me'!$B$22),"")</f>
        <v>74.5569181053308</v>
      </c>
    </row>
    <row r="444" customFormat="false" ht="15" hidden="false" customHeight="false" outlineLevel="0" collapsed="false">
      <c r="A444" s="14" t="s">
        <v>281</v>
      </c>
      <c r="B444" s="14" t="s">
        <v>49</v>
      </c>
      <c r="C444" s="14" t="s">
        <v>282</v>
      </c>
      <c r="D444" s="14"/>
      <c r="E444" s="15" t="n">
        <v>9</v>
      </c>
      <c r="F444" s="14" t="s">
        <v>388</v>
      </c>
      <c r="G444" s="8" t="n">
        <v>17</v>
      </c>
      <c r="H444" s="14" t="s">
        <v>283</v>
      </c>
      <c r="I444" s="14" t="s">
        <v>252</v>
      </c>
      <c r="J444" s="14" t="s">
        <v>253</v>
      </c>
      <c r="K444" s="8" t="n">
        <v>6</v>
      </c>
      <c r="L444" s="8" t="n">
        <v>77</v>
      </c>
      <c r="M444" s="8" t="n">
        <v>3</v>
      </c>
      <c r="N444" s="8" t="n">
        <v>24</v>
      </c>
      <c r="O444" s="8" t="n">
        <v>1</v>
      </c>
      <c r="P444" s="9" t="n">
        <v>5.50473801946738</v>
      </c>
      <c r="Q444" s="10" t="n">
        <v>0.18166168788842</v>
      </c>
      <c r="R444" s="9" t="n">
        <v>6.5</v>
      </c>
      <c r="S444" s="11" t="n">
        <f aca="false">IF(AND(ISNUMBER(R444),R444&gt;1,P444&gt;0),R444/P444-1,"")</f>
        <v>0.180800971274727</v>
      </c>
      <c r="T444" s="9" t="n">
        <f aca="false">IF(AND(ISNUMBER(P444),P444&gt;0),P444*EXP('Read me'!$B$22),"")</f>
        <v>6.72350219992661</v>
      </c>
    </row>
    <row r="445" customFormat="false" ht="15" hidden="false" customHeight="false" outlineLevel="0" collapsed="false">
      <c r="A445" s="14" t="s">
        <v>281</v>
      </c>
      <c r="B445" s="14" t="s">
        <v>49</v>
      </c>
      <c r="C445" s="14" t="s">
        <v>282</v>
      </c>
      <c r="D445" s="14"/>
      <c r="E445" s="15" t="n">
        <v>9</v>
      </c>
      <c r="F445" s="14" t="s">
        <v>388</v>
      </c>
      <c r="G445" s="8" t="n">
        <v>17</v>
      </c>
      <c r="H445" s="14" t="s">
        <v>284</v>
      </c>
      <c r="I445" s="14" t="s">
        <v>397</v>
      </c>
      <c r="J445" s="14" t="s">
        <v>73</v>
      </c>
      <c r="K445" s="8" t="n">
        <v>19</v>
      </c>
      <c r="L445" s="8" t="n">
        <v>0</v>
      </c>
      <c r="M445" s="8" t="n">
        <v>3</v>
      </c>
      <c r="N445" s="8" t="n">
        <v>357</v>
      </c>
      <c r="O445" s="8" t="n">
        <v>2</v>
      </c>
      <c r="P445" s="9" t="n">
        <v>5.9207081646354</v>
      </c>
      <c r="Q445" s="10" t="n">
        <v>0.16889871484851</v>
      </c>
      <c r="R445" s="9" t="n">
        <v>3.25</v>
      </c>
      <c r="S445" s="11" t="n">
        <f aca="false">IF(AND(ISNUMBER(R445),R445&gt;1,P445&gt;0),R445/P445-1,"")</f>
        <v>-0.451079176742342</v>
      </c>
      <c r="T445" s="9" t="n">
        <f aca="false">IF(AND(ISNUMBER(P445),P445&gt;0),P445*EXP('Read me'!$B$22),"")</f>
        <v>7.23156928254712</v>
      </c>
    </row>
    <row r="446" customFormat="false" ht="15" hidden="false" customHeight="false" outlineLevel="0" collapsed="false">
      <c r="A446" s="14" t="s">
        <v>281</v>
      </c>
      <c r="B446" s="14" t="s">
        <v>49</v>
      </c>
      <c r="C446" s="14" t="s">
        <v>282</v>
      </c>
      <c r="D446" s="14"/>
      <c r="E446" s="15" t="n">
        <v>9</v>
      </c>
      <c r="F446" s="14" t="s">
        <v>388</v>
      </c>
      <c r="G446" s="8" t="n">
        <v>17</v>
      </c>
      <c r="H446" s="14" t="s">
        <v>1094</v>
      </c>
      <c r="I446" s="14" t="s">
        <v>52</v>
      </c>
      <c r="J446" s="14" t="s">
        <v>53</v>
      </c>
      <c r="K446" s="8" t="n">
        <v>18</v>
      </c>
      <c r="L446" s="8" t="n">
        <v>77</v>
      </c>
      <c r="M446" s="8" t="n">
        <v>3</v>
      </c>
      <c r="N446" s="8" t="n">
        <v>106</v>
      </c>
      <c r="O446" s="8" t="n">
        <v>3</v>
      </c>
      <c r="P446" s="9" t="n">
        <v>6.24913292717703</v>
      </c>
      <c r="Q446" s="10" t="n">
        <v>0.160022200144131</v>
      </c>
      <c r="R446" s="9" t="n">
        <v>6.5</v>
      </c>
      <c r="S446" s="11" t="n">
        <f aca="false">IF(AND(ISNUMBER(R446),R446&gt;1,P446&gt;0),R446/P446-1,"")</f>
        <v>0.0401443009368498</v>
      </c>
      <c r="T446" s="9" t="n">
        <f aca="false">IF(AND(ISNUMBER(P446),P446&gt;0),P446*EXP('Read me'!$B$22),"")</f>
        <v>7.63270819336356</v>
      </c>
    </row>
    <row r="447" customFormat="false" ht="15" hidden="false" customHeight="false" outlineLevel="0" collapsed="false">
      <c r="A447" s="14" t="s">
        <v>281</v>
      </c>
      <c r="B447" s="14" t="s">
        <v>49</v>
      </c>
      <c r="C447" s="14" t="s">
        <v>282</v>
      </c>
      <c r="D447" s="14"/>
      <c r="E447" s="15" t="n">
        <v>9</v>
      </c>
      <c r="F447" s="14" t="s">
        <v>388</v>
      </c>
      <c r="G447" s="8" t="n">
        <v>17</v>
      </c>
      <c r="H447" s="14" t="s">
        <v>1095</v>
      </c>
      <c r="I447" s="14" t="s">
        <v>466</v>
      </c>
      <c r="J447" s="14" t="s">
        <v>550</v>
      </c>
      <c r="K447" s="8" t="n">
        <v>8</v>
      </c>
      <c r="L447" s="8" t="n">
        <v>75</v>
      </c>
      <c r="M447" s="8" t="n">
        <v>3</v>
      </c>
      <c r="N447" s="8" t="n">
        <v>24</v>
      </c>
      <c r="O447" s="8" t="n">
        <v>4</v>
      </c>
      <c r="P447" s="9" t="n">
        <v>7.79921165763246</v>
      </c>
      <c r="Q447" s="10" t="n">
        <v>0.128218087147485</v>
      </c>
      <c r="R447" s="9" t="n">
        <v>9</v>
      </c>
      <c r="S447" s="11" t="n">
        <f aca="false">IF(AND(ISNUMBER(R447),R447&gt;1,P447&gt;0),R447/P447-1,"")</f>
        <v>0.153962784327365</v>
      </c>
      <c r="T447" s="9" t="n">
        <f aca="false">IF(AND(ISNUMBER(P447),P447&gt;0),P447*EXP('Read me'!$B$22),"")</f>
        <v>9.52597863010724</v>
      </c>
    </row>
    <row r="448" customFormat="false" ht="15" hidden="false" customHeight="false" outlineLevel="0" collapsed="false">
      <c r="A448" s="14" t="s">
        <v>281</v>
      </c>
      <c r="B448" s="14" t="s">
        <v>49</v>
      </c>
      <c r="C448" s="14" t="s">
        <v>282</v>
      </c>
      <c r="D448" s="14"/>
      <c r="E448" s="15" t="n">
        <v>9</v>
      </c>
      <c r="F448" s="14" t="s">
        <v>388</v>
      </c>
      <c r="G448" s="8" t="n">
        <v>17</v>
      </c>
      <c r="H448" s="14" t="s">
        <v>1096</v>
      </c>
      <c r="I448" s="14" t="s">
        <v>876</v>
      </c>
      <c r="J448" s="14" t="s">
        <v>873</v>
      </c>
      <c r="K448" s="8" t="n">
        <v>16</v>
      </c>
      <c r="L448" s="8" t="n">
        <v>84</v>
      </c>
      <c r="M448" s="8" t="n">
        <v>3</v>
      </c>
      <c r="N448" s="8" t="n">
        <v>21</v>
      </c>
      <c r="O448" s="8" t="n">
        <v>5</v>
      </c>
      <c r="P448" s="9" t="n">
        <v>9.14060963509261</v>
      </c>
      <c r="Q448" s="10" t="n">
        <v>0.109401893300508</v>
      </c>
      <c r="R448" s="9" t="n">
        <v>7</v>
      </c>
      <c r="S448" s="11" t="n">
        <f aca="false">IF(AND(ISNUMBER(R448),R448&gt;1,P448&gt;0),R448/P448-1,"")</f>
        <v>-0.234186746896442</v>
      </c>
      <c r="T448" s="9" t="n">
        <f aca="false">IF(AND(ISNUMBER(P448),P448&gt;0),P448*EXP('Read me'!$B$22),"")</f>
        <v>11.1643658195675</v>
      </c>
    </row>
    <row r="449" customFormat="false" ht="15" hidden="false" customHeight="false" outlineLevel="0" collapsed="false">
      <c r="A449" s="14" t="s">
        <v>281</v>
      </c>
      <c r="B449" s="14" t="s">
        <v>49</v>
      </c>
      <c r="C449" s="14" t="s">
        <v>282</v>
      </c>
      <c r="D449" s="14"/>
      <c r="E449" s="15" t="n">
        <v>9</v>
      </c>
      <c r="F449" s="14" t="s">
        <v>388</v>
      </c>
      <c r="G449" s="8" t="n">
        <v>17</v>
      </c>
      <c r="H449" s="14" t="s">
        <v>1097</v>
      </c>
      <c r="I449" s="14" t="s">
        <v>212</v>
      </c>
      <c r="J449" s="14" t="s">
        <v>469</v>
      </c>
      <c r="K449" s="8" t="n">
        <v>1</v>
      </c>
      <c r="L449" s="8" t="n">
        <v>72</v>
      </c>
      <c r="M449" s="8" t="n">
        <v>3</v>
      </c>
      <c r="N449" s="8" t="n">
        <v>24</v>
      </c>
      <c r="O449" s="8" t="n">
        <v>6</v>
      </c>
      <c r="P449" s="9" t="n">
        <v>14.4989698584878</v>
      </c>
      <c r="Q449" s="10" t="n">
        <v>0.0689704171924042</v>
      </c>
      <c r="R449" s="9" t="n">
        <v>13</v>
      </c>
      <c r="S449" s="11" t="n">
        <f aca="false">IF(AND(ISNUMBER(R449),R449&gt;1,P449&gt;0),R449/P449-1,"")</f>
        <v>-0.103384576498745</v>
      </c>
      <c r="T449" s="9" t="n">
        <f aca="false">IF(AND(ISNUMBER(P449),P449&gt;0),P449*EXP('Read me'!$B$22),"")</f>
        <v>17.7090817756382</v>
      </c>
    </row>
    <row r="450" customFormat="false" ht="15" hidden="false" customHeight="false" outlineLevel="0" collapsed="false">
      <c r="A450" s="14" t="s">
        <v>281</v>
      </c>
      <c r="B450" s="14" t="s">
        <v>49</v>
      </c>
      <c r="C450" s="14" t="s">
        <v>282</v>
      </c>
      <c r="D450" s="14"/>
      <c r="E450" s="15" t="n">
        <v>9</v>
      </c>
      <c r="F450" s="14" t="s">
        <v>388</v>
      </c>
      <c r="G450" s="8" t="n">
        <v>17</v>
      </c>
      <c r="H450" s="14" t="s">
        <v>1098</v>
      </c>
      <c r="I450" s="14" t="s">
        <v>144</v>
      </c>
      <c r="J450" s="14" t="s">
        <v>73</v>
      </c>
      <c r="K450" s="8" t="n">
        <v>4</v>
      </c>
      <c r="L450" s="8" t="n">
        <v>72</v>
      </c>
      <c r="M450" s="8" t="n">
        <v>3</v>
      </c>
      <c r="N450" s="8" t="n">
        <v>71</v>
      </c>
      <c r="O450" s="8" t="n">
        <v>7</v>
      </c>
      <c r="P450" s="9" t="n">
        <v>19.5589378652179</v>
      </c>
      <c r="Q450" s="10" t="n">
        <v>0.0511275206706558</v>
      </c>
      <c r="R450" s="9" t="n">
        <v>9</v>
      </c>
      <c r="S450" s="11" t="n">
        <f aca="false">IF(AND(ISNUMBER(R450),R450&gt;1,P450&gt;0),R450/P450-1,"")</f>
        <v>-0.539852313964097</v>
      </c>
      <c r="T450" s="9" t="n">
        <f aca="false">IF(AND(ISNUMBER(P450),P450&gt;0),P450*EXP('Read me'!$B$22),"")</f>
        <v>23.8893406552605</v>
      </c>
    </row>
    <row r="451" customFormat="false" ht="15" hidden="false" customHeight="false" outlineLevel="0" collapsed="false">
      <c r="A451" s="14" t="s">
        <v>281</v>
      </c>
      <c r="B451" s="14" t="s">
        <v>49</v>
      </c>
      <c r="C451" s="14" t="s">
        <v>282</v>
      </c>
      <c r="D451" s="14"/>
      <c r="E451" s="15" t="n">
        <v>9</v>
      </c>
      <c r="F451" s="14" t="s">
        <v>388</v>
      </c>
      <c r="G451" s="8" t="n">
        <v>17</v>
      </c>
      <c r="H451" s="14" t="s">
        <v>1099</v>
      </c>
      <c r="I451" s="14" t="s">
        <v>171</v>
      </c>
      <c r="J451" s="14" t="s">
        <v>992</v>
      </c>
      <c r="K451" s="8" t="n">
        <v>2</v>
      </c>
      <c r="L451" s="8" t="n">
        <v>0</v>
      </c>
      <c r="M451" s="8" t="n">
        <v>3</v>
      </c>
      <c r="N451" s="8" t="n">
        <v>21</v>
      </c>
      <c r="O451" s="8" t="n">
        <v>8</v>
      </c>
      <c r="P451" s="9" t="n">
        <v>22.8606390520843</v>
      </c>
      <c r="Q451" s="10" t="n">
        <v>0.043743309087802</v>
      </c>
      <c r="R451" s="9" t="n">
        <v>13</v>
      </c>
      <c r="S451" s="11" t="n">
        <f aca="false">IF(AND(ISNUMBER(R451),R451&gt;1,P451&gt;0),R451/P451-1,"")</f>
        <v>-0.431336981858573</v>
      </c>
      <c r="T451" s="9" t="n">
        <f aca="false">IF(AND(ISNUMBER(P451),P451&gt;0),P451*EXP('Read me'!$B$22),"")</f>
        <v>27.9220475915198</v>
      </c>
    </row>
    <row r="452" customFormat="false" ht="15" hidden="false" customHeight="false" outlineLevel="0" collapsed="false">
      <c r="A452" s="14" t="s">
        <v>281</v>
      </c>
      <c r="B452" s="14" t="s">
        <v>49</v>
      </c>
      <c r="C452" s="14" t="s">
        <v>282</v>
      </c>
      <c r="D452" s="14"/>
      <c r="E452" s="15" t="n">
        <v>9</v>
      </c>
      <c r="F452" s="14" t="s">
        <v>388</v>
      </c>
      <c r="G452" s="8" t="n">
        <v>17</v>
      </c>
      <c r="H452" s="14" t="s">
        <v>1100</v>
      </c>
      <c r="I452" s="14" t="s">
        <v>563</v>
      </c>
      <c r="J452" s="14" t="s">
        <v>79</v>
      </c>
      <c r="K452" s="8" t="n">
        <v>5</v>
      </c>
      <c r="L452" s="8" t="n">
        <v>0</v>
      </c>
      <c r="M452" s="8" t="n">
        <v>4</v>
      </c>
      <c r="N452" s="8" t="n">
        <v>37</v>
      </c>
      <c r="O452" s="8" t="n">
        <v>9</v>
      </c>
      <c r="P452" s="9" t="n">
        <v>23.7523456798697</v>
      </c>
      <c r="Q452" s="10" t="n">
        <v>0.0421011050225456</v>
      </c>
      <c r="R452" s="9" t="n">
        <v>7.5</v>
      </c>
      <c r="S452" s="11" t="n">
        <f aca="false">IF(AND(ISNUMBER(R452),R452&gt;1,P452&gt;0),R452/P452-1,"")</f>
        <v>-0.684241712330908</v>
      </c>
      <c r="T452" s="9" t="n">
        <f aca="false">IF(AND(ISNUMBER(P452),P452&gt;0),P452*EXP('Read me'!$B$22),"")</f>
        <v>29.0111805261666</v>
      </c>
    </row>
    <row r="453" customFormat="false" ht="15" hidden="false" customHeight="false" outlineLevel="0" collapsed="false">
      <c r="A453" s="14" t="s">
        <v>281</v>
      </c>
      <c r="B453" s="14" t="s">
        <v>49</v>
      </c>
      <c r="C453" s="14" t="s">
        <v>282</v>
      </c>
      <c r="D453" s="14"/>
      <c r="E453" s="15" t="n">
        <v>9</v>
      </c>
      <c r="F453" s="14" t="s">
        <v>388</v>
      </c>
      <c r="G453" s="8" t="n">
        <v>17</v>
      </c>
      <c r="H453" s="14" t="s">
        <v>1101</v>
      </c>
      <c r="I453" s="14" t="s">
        <v>531</v>
      </c>
      <c r="J453" s="14" t="s">
        <v>253</v>
      </c>
      <c r="K453" s="8" t="n">
        <v>17</v>
      </c>
      <c r="L453" s="8" t="n">
        <v>0</v>
      </c>
      <c r="M453" s="8" t="n">
        <v>3</v>
      </c>
      <c r="N453" s="8"/>
      <c r="O453" s="8" t="n">
        <v>10</v>
      </c>
      <c r="P453" s="9" t="n">
        <v>37.7969925533835</v>
      </c>
      <c r="Q453" s="10" t="n">
        <v>0.0264571314394293</v>
      </c>
      <c r="R453" s="9" t="n">
        <v>41</v>
      </c>
      <c r="S453" s="11" t="n">
        <f aca="false">IF(AND(ISNUMBER(R453),R453&gt;1,P453&gt;0),R453/P453-1,"")</f>
        <v>0.0847423890166026</v>
      </c>
      <c r="T453" s="9" t="n">
        <f aca="false">IF(AND(ISNUMBER(P453),P453&gt;0),P453*EXP('Read me'!$B$22),"")</f>
        <v>46.1653509548621</v>
      </c>
    </row>
    <row r="454" customFormat="false" ht="15" hidden="false" customHeight="false" outlineLevel="0" collapsed="false">
      <c r="A454" s="14" t="s">
        <v>281</v>
      </c>
      <c r="B454" s="14" t="s">
        <v>49</v>
      </c>
      <c r="C454" s="14" t="s">
        <v>282</v>
      </c>
      <c r="D454" s="14"/>
      <c r="E454" s="15" t="n">
        <v>9</v>
      </c>
      <c r="F454" s="14" t="s">
        <v>388</v>
      </c>
      <c r="G454" s="8" t="n">
        <v>17</v>
      </c>
      <c r="H454" s="14" t="s">
        <v>1102</v>
      </c>
      <c r="I454" s="14" t="s">
        <v>415</v>
      </c>
      <c r="J454" s="14" t="s">
        <v>469</v>
      </c>
      <c r="K454" s="8" t="n">
        <v>7</v>
      </c>
      <c r="L454" s="8" t="n">
        <v>0</v>
      </c>
      <c r="M454" s="8" t="n">
        <v>3</v>
      </c>
      <c r="N454" s="8" t="n">
        <v>24</v>
      </c>
      <c r="O454" s="8" t="n">
        <v>11</v>
      </c>
      <c r="P454" s="9" t="n">
        <v>76.2919654852261</v>
      </c>
      <c r="Q454" s="10" t="n">
        <v>0.0131075401405623</v>
      </c>
      <c r="R454" s="9" t="n">
        <v>51</v>
      </c>
      <c r="S454" s="11" t="n">
        <f aca="false">IF(AND(ISNUMBER(R454),R454&gt;1,P454&gt;0),R454/P454-1,"")</f>
        <v>-0.331515452831319</v>
      </c>
      <c r="T454" s="9" t="n">
        <f aca="false">IF(AND(ISNUMBER(P454),P454&gt;0),P454*EXP('Read me'!$B$22),"")</f>
        <v>93.1832170691156</v>
      </c>
    </row>
    <row r="455" customFormat="false" ht="15" hidden="false" customHeight="false" outlineLevel="0" collapsed="false">
      <c r="A455" s="14" t="s">
        <v>281</v>
      </c>
      <c r="B455" s="14" t="s">
        <v>49</v>
      </c>
      <c r="C455" s="14" t="s">
        <v>282</v>
      </c>
      <c r="D455" s="14"/>
      <c r="E455" s="15" t="n">
        <v>9</v>
      </c>
      <c r="F455" s="14" t="s">
        <v>388</v>
      </c>
      <c r="G455" s="8" t="n">
        <v>17</v>
      </c>
      <c r="H455" s="14" t="s">
        <v>1103</v>
      </c>
      <c r="I455" s="14" t="s">
        <v>107</v>
      </c>
      <c r="J455" s="14" t="s">
        <v>591</v>
      </c>
      <c r="K455" s="8" t="n">
        <v>10</v>
      </c>
      <c r="L455" s="8" t="n">
        <v>0</v>
      </c>
      <c r="M455" s="8" t="n">
        <v>3</v>
      </c>
      <c r="N455" s="8" t="n">
        <v>42</v>
      </c>
      <c r="O455" s="8" t="n">
        <v>12</v>
      </c>
      <c r="P455" s="9" t="n">
        <v>684.399523247492</v>
      </c>
      <c r="Q455" s="10" t="n">
        <v>0.0014611348576851</v>
      </c>
      <c r="R455" s="9" t="n">
        <v>81</v>
      </c>
      <c r="S455" s="11" t="n">
        <f aca="false">IF(AND(ISNUMBER(R455),R455&gt;1,P455&gt;0),R455/P455-1,"")</f>
        <v>-0.881648076527504</v>
      </c>
      <c r="T455" s="9" t="n">
        <f aca="false">IF(AND(ISNUMBER(P455),P455&gt;0),P455*EXP('Read me'!$B$22),"")</f>
        <v>835.927465377992</v>
      </c>
    </row>
    <row r="456" customFormat="false" ht="15" hidden="false" customHeight="false" outlineLevel="0" collapsed="false">
      <c r="A456" s="14" t="s">
        <v>281</v>
      </c>
      <c r="B456" s="14" t="s">
        <v>49</v>
      </c>
      <c r="C456" s="14" t="s">
        <v>282</v>
      </c>
      <c r="D456" s="14"/>
      <c r="E456" s="15" t="n">
        <v>9</v>
      </c>
      <c r="F456" s="14" t="s">
        <v>388</v>
      </c>
      <c r="G456" s="8" t="n">
        <v>17</v>
      </c>
      <c r="H456" s="14" t="s">
        <v>1104</v>
      </c>
      <c r="I456" s="14" t="s">
        <v>1105</v>
      </c>
      <c r="J456" s="14" t="s">
        <v>536</v>
      </c>
      <c r="K456" s="8" t="n">
        <v>13</v>
      </c>
      <c r="L456" s="8" t="n">
        <v>0</v>
      </c>
      <c r="M456" s="8" t="n">
        <v>3</v>
      </c>
      <c r="N456" s="8" t="n">
        <v>21</v>
      </c>
      <c r="O456" s="8" t="n">
        <v>13</v>
      </c>
      <c r="P456" s="9" t="n">
        <v>686.248157555634</v>
      </c>
      <c r="Q456" s="10" t="n">
        <v>0.0014571988121059</v>
      </c>
      <c r="R456" s="9" t="n">
        <v>101</v>
      </c>
      <c r="S456" s="11" t="n">
        <f aca="false">IF(AND(ISNUMBER(R456),R456&gt;1,P456&gt;0),R456/P456-1,"")</f>
        <v>-0.852822919977294</v>
      </c>
      <c r="T456" s="9" t="n">
        <f aca="false">IF(AND(ISNUMBER(P456),P456&gt;0),P456*EXP('Read me'!$B$22),"")</f>
        <v>838.185392420786</v>
      </c>
    </row>
    <row r="457" customFormat="false" ht="15" hidden="false" customHeight="false" outlineLevel="0" collapsed="false">
      <c r="A457" s="14" t="s">
        <v>281</v>
      </c>
      <c r="B457" s="14" t="s">
        <v>49</v>
      </c>
      <c r="C457" s="14" t="s">
        <v>282</v>
      </c>
      <c r="D457" s="14"/>
      <c r="E457" s="15" t="n">
        <v>9</v>
      </c>
      <c r="F457" s="14" t="s">
        <v>388</v>
      </c>
      <c r="G457" s="8" t="n">
        <v>17</v>
      </c>
      <c r="H457" s="14" t="s">
        <v>1106</v>
      </c>
      <c r="I457" s="14" t="s">
        <v>565</v>
      </c>
      <c r="J457" s="14" t="s">
        <v>1107</v>
      </c>
      <c r="K457" s="8" t="n">
        <v>3</v>
      </c>
      <c r="L457" s="8" t="n">
        <v>0</v>
      </c>
      <c r="M457" s="8" t="n">
        <v>3</v>
      </c>
      <c r="N457" s="8" t="n">
        <v>63</v>
      </c>
      <c r="O457" s="8" t="n">
        <v>14</v>
      </c>
      <c r="P457" s="9" t="n">
        <v>919.0636108157</v>
      </c>
      <c r="Q457" s="10" t="n">
        <v>0.0010880639688393</v>
      </c>
      <c r="R457" s="9" t="n">
        <v>151</v>
      </c>
      <c r="S457" s="11" t="n">
        <f aca="false">IF(AND(ISNUMBER(R457),R457&gt;1,P457&gt;0),R457/P457-1,"")</f>
        <v>-0.835702340705251</v>
      </c>
      <c r="T457" s="9" t="n">
        <f aca="false">IF(AND(ISNUMBER(P457),P457&gt;0),P457*EXP('Read me'!$B$22),"")</f>
        <v>1122.54682917494</v>
      </c>
    </row>
    <row r="458" customFormat="false" ht="15" hidden="false" customHeight="false" outlineLevel="0" collapsed="false">
      <c r="A458" s="14" t="s">
        <v>281</v>
      </c>
      <c r="B458" s="14" t="s">
        <v>49</v>
      </c>
      <c r="C458" s="14" t="s">
        <v>282</v>
      </c>
      <c r="D458" s="14"/>
      <c r="E458" s="15" t="n">
        <v>9</v>
      </c>
      <c r="F458" s="14" t="s">
        <v>388</v>
      </c>
      <c r="G458" s="8" t="n">
        <v>17</v>
      </c>
      <c r="H458" s="14" t="s">
        <v>1108</v>
      </c>
      <c r="I458" s="14" t="s">
        <v>412</v>
      </c>
      <c r="J458" s="14" t="s">
        <v>532</v>
      </c>
      <c r="K458" s="8" t="n">
        <v>11</v>
      </c>
      <c r="L458" s="8" t="n">
        <v>0</v>
      </c>
      <c r="M458" s="8" t="n">
        <v>3</v>
      </c>
      <c r="N458" s="8" t="n">
        <v>8</v>
      </c>
      <c r="O458" s="8" t="n">
        <v>15</v>
      </c>
      <c r="P458" s="9" t="n">
        <v>1053.25099139134</v>
      </c>
      <c r="Q458" s="10" t="n">
        <v>0.0009494413090264</v>
      </c>
      <c r="R458" s="9" t="n">
        <v>151</v>
      </c>
      <c r="S458" s="11" t="n">
        <f aca="false">IF(AND(ISNUMBER(R458),R458&gt;1,P458&gt;0),R458/P458-1,"")</f>
        <v>-0.856634362337005</v>
      </c>
      <c r="T458" s="9" t="n">
        <f aca="false">IF(AND(ISNUMBER(P458),P458&gt;0),P458*EXP('Read me'!$B$22),"")</f>
        <v>1286.44366592031</v>
      </c>
    </row>
    <row r="459" customFormat="false" ht="15" hidden="false" customHeight="false" outlineLevel="0" collapsed="false">
      <c r="A459" s="14" t="s">
        <v>281</v>
      </c>
      <c r="B459" s="14" t="s">
        <v>49</v>
      </c>
      <c r="C459" s="14" t="s">
        <v>282</v>
      </c>
      <c r="D459" s="14"/>
      <c r="E459" s="15" t="n">
        <v>9</v>
      </c>
      <c r="F459" s="14" t="s">
        <v>388</v>
      </c>
      <c r="G459" s="8" t="n">
        <v>17</v>
      </c>
      <c r="H459" s="14" t="s">
        <v>1109</v>
      </c>
      <c r="I459" s="14" t="s">
        <v>406</v>
      </c>
      <c r="J459" s="14" t="s">
        <v>1107</v>
      </c>
      <c r="K459" s="8" t="n">
        <v>12</v>
      </c>
      <c r="L459" s="8" t="n">
        <v>0</v>
      </c>
      <c r="M459" s="8" t="n">
        <v>6</v>
      </c>
      <c r="N459" s="8" t="n">
        <v>22</v>
      </c>
      <c r="O459" s="8" t="n">
        <v>16</v>
      </c>
      <c r="P459" s="9" t="n">
        <v>1237.14053262635</v>
      </c>
      <c r="Q459" s="10" t="n">
        <v>0.0008083156065358</v>
      </c>
      <c r="R459" s="9" t="n">
        <v>151</v>
      </c>
      <c r="S459" s="11" t="n">
        <f aca="false">IF(AND(ISNUMBER(R459),R459&gt;1,P459&gt;0),R459/P459-1,"")</f>
        <v>-0.877944343413081</v>
      </c>
      <c r="T459" s="9" t="n">
        <f aca="false">IF(AND(ISNUMBER(P459),P459&gt;0),P459*EXP('Read me'!$B$22),"")</f>
        <v>1511.04685878157</v>
      </c>
    </row>
    <row r="460" customFormat="false" ht="15" hidden="false" customHeight="false" outlineLevel="0" collapsed="false">
      <c r="A460" s="14" t="s">
        <v>281</v>
      </c>
      <c r="B460" s="14" t="s">
        <v>49</v>
      </c>
      <c r="C460" s="14" t="s">
        <v>282</v>
      </c>
      <c r="D460" s="14"/>
      <c r="E460" s="15" t="n">
        <v>9</v>
      </c>
      <c r="F460" s="14" t="s">
        <v>388</v>
      </c>
      <c r="G460" s="8" t="n">
        <v>17</v>
      </c>
      <c r="H460" s="14" t="s">
        <v>1110</v>
      </c>
      <c r="I460" s="14" t="s">
        <v>1111</v>
      </c>
      <c r="J460" s="14" t="s">
        <v>1112</v>
      </c>
      <c r="K460" s="8" t="n">
        <v>9</v>
      </c>
      <c r="L460" s="8" t="n">
        <v>0</v>
      </c>
      <c r="M460" s="8" t="n">
        <v>6</v>
      </c>
      <c r="N460" s="8" t="n">
        <v>10</v>
      </c>
      <c r="O460" s="8" t="n">
        <v>17</v>
      </c>
      <c r="P460" s="9" t="n">
        <v>1900.27882720441</v>
      </c>
      <c r="Q460" s="10" t="n">
        <v>0.0005262385633539</v>
      </c>
      <c r="R460" s="9" t="n">
        <v>67</v>
      </c>
      <c r="S460" s="11" t="n">
        <f aca="false">IF(AND(ISNUMBER(R460),R460&gt;1,P460&gt;0),R460/P460-1,"")</f>
        <v>-0.964742016255285</v>
      </c>
      <c r="T460" s="9" t="n">
        <f aca="false">IF(AND(ISNUMBER(P460),P460&gt;0),P460*EXP('Read me'!$B$22),"")</f>
        <v>2321.00580082084</v>
      </c>
    </row>
    <row r="461" customFormat="false" ht="15" hidden="false" customHeight="false" outlineLevel="0" collapsed="false">
      <c r="A461" s="14" t="s">
        <v>285</v>
      </c>
      <c r="B461" s="14" t="s">
        <v>98</v>
      </c>
      <c r="C461" s="14" t="s">
        <v>286</v>
      </c>
      <c r="D461" s="14" t="s">
        <v>366</v>
      </c>
      <c r="E461" s="15" t="n">
        <v>17.5</v>
      </c>
      <c r="F461" s="14" t="s">
        <v>388</v>
      </c>
      <c r="G461" s="8" t="n">
        <v>12</v>
      </c>
      <c r="H461" s="14" t="s">
        <v>287</v>
      </c>
      <c r="I461" s="14" t="s">
        <v>288</v>
      </c>
      <c r="J461" s="14" t="s">
        <v>289</v>
      </c>
      <c r="K461" s="8" t="n">
        <v>4</v>
      </c>
      <c r="L461" s="8" t="n">
        <v>128</v>
      </c>
      <c r="M461" s="8" t="n">
        <v>6</v>
      </c>
      <c r="N461" s="8" t="n">
        <v>157</v>
      </c>
      <c r="O461" s="8" t="n">
        <v>1</v>
      </c>
      <c r="P461" s="9" t="n">
        <v>4.92085280123625</v>
      </c>
      <c r="Q461" s="10" t="n">
        <v>0.203216808222504</v>
      </c>
      <c r="R461" s="9" t="n">
        <v>4.33333333333333</v>
      </c>
      <c r="S461" s="11" t="n">
        <f aca="false">IF(AND(ISNUMBER(R461),R461&gt;1,P461&gt;0),R461/P461-1,"")</f>
        <v>-0.119393831035815</v>
      </c>
      <c r="T461" s="9" t="n">
        <f aca="false">IF(AND(ISNUMBER(P461),P461&gt;0),P461*EXP('Read me'!$B$22),"")</f>
        <v>6.01034318393015</v>
      </c>
    </row>
    <row r="462" customFormat="false" ht="15" hidden="false" customHeight="false" outlineLevel="0" collapsed="false">
      <c r="A462" s="14" t="s">
        <v>285</v>
      </c>
      <c r="B462" s="14" t="s">
        <v>98</v>
      </c>
      <c r="C462" s="14" t="s">
        <v>286</v>
      </c>
      <c r="D462" s="14" t="s">
        <v>366</v>
      </c>
      <c r="E462" s="15" t="n">
        <v>17.5</v>
      </c>
      <c r="F462" s="14" t="s">
        <v>388</v>
      </c>
      <c r="G462" s="8" t="n">
        <v>12</v>
      </c>
      <c r="H462" s="14" t="s">
        <v>290</v>
      </c>
      <c r="I462" s="14" t="s">
        <v>138</v>
      </c>
      <c r="J462" s="14" t="s">
        <v>139</v>
      </c>
      <c r="K462" s="8" t="n">
        <v>3</v>
      </c>
      <c r="L462" s="8" t="n">
        <v>132</v>
      </c>
      <c r="M462" s="8" t="n">
        <v>4</v>
      </c>
      <c r="N462" s="8" t="n">
        <v>19</v>
      </c>
      <c r="O462" s="8" t="n">
        <v>2</v>
      </c>
      <c r="P462" s="9" t="n">
        <v>5.50947077011947</v>
      </c>
      <c r="Q462" s="10" t="n">
        <v>0.181505636698081</v>
      </c>
      <c r="R462" s="9" t="n">
        <v>12</v>
      </c>
      <c r="S462" s="11" t="n">
        <f aca="false">IF(AND(ISNUMBER(R462),R462&gt;1,P462&gt;0),R462/P462-1,"")</f>
        <v>1.17806764037697</v>
      </c>
      <c r="T462" s="9" t="n">
        <f aca="false">IF(AND(ISNUMBER(P462),P462&gt;0),P462*EXP('Read me'!$B$22),"")</f>
        <v>6.72928279462676</v>
      </c>
    </row>
    <row r="463" customFormat="false" ht="15" hidden="false" customHeight="false" outlineLevel="0" collapsed="false">
      <c r="A463" s="14" t="s">
        <v>285</v>
      </c>
      <c r="B463" s="14" t="s">
        <v>98</v>
      </c>
      <c r="C463" s="14" t="s">
        <v>286</v>
      </c>
      <c r="D463" s="14" t="s">
        <v>366</v>
      </c>
      <c r="E463" s="15" t="n">
        <v>17.5</v>
      </c>
      <c r="F463" s="14" t="s">
        <v>388</v>
      </c>
      <c r="G463" s="8" t="n">
        <v>12</v>
      </c>
      <c r="H463" s="14" t="s">
        <v>1113</v>
      </c>
      <c r="I463" s="14" t="s">
        <v>101</v>
      </c>
      <c r="J463" s="14" t="s">
        <v>1114</v>
      </c>
      <c r="K463" s="8" t="n">
        <v>1</v>
      </c>
      <c r="L463" s="8" t="n">
        <v>137</v>
      </c>
      <c r="M463" s="8" t="n">
        <v>6</v>
      </c>
      <c r="N463" s="8" t="n">
        <v>70</v>
      </c>
      <c r="O463" s="8" t="n">
        <v>3</v>
      </c>
      <c r="P463" s="9" t="n">
        <v>6.40269352337927</v>
      </c>
      <c r="Q463" s="10" t="n">
        <v>0.156184267816119</v>
      </c>
      <c r="R463" s="9" t="n">
        <v>7</v>
      </c>
      <c r="S463" s="11" t="n">
        <f aca="false">IF(AND(ISNUMBER(R463),R463&gt;1,P463&gt;0),R463/P463-1,"")</f>
        <v>0.0932898747128352</v>
      </c>
      <c r="T463" s="9" t="n">
        <f aca="false">IF(AND(ISNUMBER(P463),P463&gt;0),P463*EXP('Read me'!$B$22),"")</f>
        <v>7.82026752910969</v>
      </c>
    </row>
    <row r="464" customFormat="false" ht="15" hidden="false" customHeight="false" outlineLevel="0" collapsed="false">
      <c r="A464" s="14" t="s">
        <v>285</v>
      </c>
      <c r="B464" s="14" t="s">
        <v>98</v>
      </c>
      <c r="C464" s="14" t="s">
        <v>286</v>
      </c>
      <c r="D464" s="14" t="s">
        <v>366</v>
      </c>
      <c r="E464" s="15" t="n">
        <v>17.5</v>
      </c>
      <c r="F464" s="14" t="s">
        <v>388</v>
      </c>
      <c r="G464" s="8" t="n">
        <v>12</v>
      </c>
      <c r="H464" s="14" t="s">
        <v>1115</v>
      </c>
      <c r="I464" s="14" t="s">
        <v>648</v>
      </c>
      <c r="J464" s="14" t="s">
        <v>643</v>
      </c>
      <c r="K464" s="8" t="n">
        <v>2</v>
      </c>
      <c r="L464" s="8" t="n">
        <v>135</v>
      </c>
      <c r="M464" s="8" t="n">
        <v>4</v>
      </c>
      <c r="N464" s="8" t="n">
        <v>170</v>
      </c>
      <c r="O464" s="8" t="n">
        <v>4</v>
      </c>
      <c r="P464" s="9" t="n">
        <v>10.065997115481</v>
      </c>
      <c r="Q464" s="10" t="n">
        <v>0.0993443559070812</v>
      </c>
      <c r="R464" s="9" t="n">
        <v>6.5</v>
      </c>
      <c r="S464" s="11" t="n">
        <f aca="false">IF(AND(ISNUMBER(R464),R464&gt;1,P464&gt;0),R464/P464-1,"")</f>
        <v>-0.354261686603972</v>
      </c>
      <c r="T464" s="9" t="n">
        <f aca="false">IF(AND(ISNUMBER(P464),P464&gt;0),P464*EXP('Read me'!$B$22),"")</f>
        <v>12.2946366404808</v>
      </c>
    </row>
    <row r="465" customFormat="false" ht="15" hidden="false" customHeight="false" outlineLevel="0" collapsed="false">
      <c r="A465" s="14" t="s">
        <v>285</v>
      </c>
      <c r="B465" s="14" t="s">
        <v>98</v>
      </c>
      <c r="C465" s="14" t="s">
        <v>286</v>
      </c>
      <c r="D465" s="14" t="s">
        <v>366</v>
      </c>
      <c r="E465" s="15" t="n">
        <v>17.5</v>
      </c>
      <c r="F465" s="14" t="s">
        <v>388</v>
      </c>
      <c r="G465" s="8" t="n">
        <v>12</v>
      </c>
      <c r="H465" s="14" t="s">
        <v>1116</v>
      </c>
      <c r="I465" s="14" t="s">
        <v>1117</v>
      </c>
      <c r="J465" s="14" t="s">
        <v>1014</v>
      </c>
      <c r="K465" s="8" t="n">
        <v>9</v>
      </c>
      <c r="L465" s="8" t="n">
        <v>118</v>
      </c>
      <c r="M465" s="8" t="n">
        <v>7</v>
      </c>
      <c r="N465" s="8" t="n">
        <v>42</v>
      </c>
      <c r="O465" s="8" t="n">
        <v>5</v>
      </c>
      <c r="P465" s="9" t="n">
        <v>13.1789858386617</v>
      </c>
      <c r="Q465" s="10" t="n">
        <v>0.0758783727550879</v>
      </c>
      <c r="R465" s="9" t="n">
        <v>13</v>
      </c>
      <c r="S465" s="11" t="n">
        <f aca="false">IF(AND(ISNUMBER(R465),R465&gt;1,P465&gt;0),R465/P465-1,"")</f>
        <v>-0.0135811541838567</v>
      </c>
      <c r="T465" s="9" t="n">
        <f aca="false">IF(AND(ISNUMBER(P465),P465&gt;0),P465*EXP('Read me'!$B$22),"")</f>
        <v>16.0968496530953</v>
      </c>
    </row>
    <row r="466" customFormat="false" ht="15" hidden="false" customHeight="false" outlineLevel="0" collapsed="false">
      <c r="A466" s="14" t="s">
        <v>285</v>
      </c>
      <c r="B466" s="14" t="s">
        <v>98</v>
      </c>
      <c r="C466" s="14" t="s">
        <v>286</v>
      </c>
      <c r="D466" s="14" t="s">
        <v>366</v>
      </c>
      <c r="E466" s="15" t="n">
        <v>17.5</v>
      </c>
      <c r="F466" s="14" t="s">
        <v>388</v>
      </c>
      <c r="G466" s="8" t="n">
        <v>12</v>
      </c>
      <c r="H466" s="14" t="s">
        <v>1118</v>
      </c>
      <c r="I466" s="14" t="s">
        <v>1020</v>
      </c>
      <c r="J466" s="14" t="s">
        <v>1021</v>
      </c>
      <c r="K466" s="8" t="n">
        <v>6</v>
      </c>
      <c r="L466" s="8" t="n">
        <v>123</v>
      </c>
      <c r="M466" s="8" t="n">
        <v>5</v>
      </c>
      <c r="N466" s="8" t="n">
        <v>28</v>
      </c>
      <c r="O466" s="8" t="n">
        <v>6</v>
      </c>
      <c r="P466" s="9" t="n">
        <v>13.6269666763736</v>
      </c>
      <c r="Q466" s="10" t="n">
        <v>0.0733839029439907</v>
      </c>
      <c r="R466" s="9" t="n">
        <v>19</v>
      </c>
      <c r="S466" s="11" t="n">
        <f aca="false">IF(AND(ISNUMBER(R466),R466&gt;1,P466&gt;0),R466/P466-1,"")</f>
        <v>0.394294155935825</v>
      </c>
      <c r="T466" s="9" t="n">
        <f aca="false">IF(AND(ISNUMBER(P466),P466&gt;0),P466*EXP('Read me'!$B$22),"")</f>
        <v>16.6440146838795</v>
      </c>
    </row>
    <row r="467" customFormat="false" ht="15" hidden="false" customHeight="false" outlineLevel="0" collapsed="false">
      <c r="A467" s="14" t="s">
        <v>285</v>
      </c>
      <c r="B467" s="14" t="s">
        <v>98</v>
      </c>
      <c r="C467" s="14" t="s">
        <v>286</v>
      </c>
      <c r="D467" s="14" t="s">
        <v>366</v>
      </c>
      <c r="E467" s="15" t="n">
        <v>17.5</v>
      </c>
      <c r="F467" s="14" t="s">
        <v>388</v>
      </c>
      <c r="G467" s="8" t="n">
        <v>12</v>
      </c>
      <c r="H467" s="14" t="s">
        <v>1119</v>
      </c>
      <c r="I467" s="14" t="s">
        <v>1120</v>
      </c>
      <c r="J467" s="14" t="s">
        <v>381</v>
      </c>
      <c r="K467" s="8" t="n">
        <v>10</v>
      </c>
      <c r="L467" s="8" t="n">
        <v>115</v>
      </c>
      <c r="M467" s="8" t="n">
        <v>4</v>
      </c>
      <c r="N467" s="8" t="n">
        <v>16</v>
      </c>
      <c r="O467" s="8" t="n">
        <v>7</v>
      </c>
      <c r="P467" s="9" t="n">
        <v>16.2442092978965</v>
      </c>
      <c r="Q467" s="10" t="n">
        <v>0.0615603986418404</v>
      </c>
      <c r="R467" s="9" t="n">
        <v>5</v>
      </c>
      <c r="S467" s="11" t="n">
        <f aca="false">IF(AND(ISNUMBER(R467),R467&gt;1,P467&gt;0),R467/P467-1,"")</f>
        <v>-0.692198006790798</v>
      </c>
      <c r="T467" s="9" t="n">
        <f aca="false">IF(AND(ISNUMBER(P467),P467&gt;0),P467*EXP('Read me'!$B$22),"")</f>
        <v>19.8407220405819</v>
      </c>
    </row>
    <row r="468" customFormat="false" ht="15" hidden="false" customHeight="false" outlineLevel="0" collapsed="false">
      <c r="A468" s="14" t="s">
        <v>285</v>
      </c>
      <c r="B468" s="14" t="s">
        <v>98</v>
      </c>
      <c r="C468" s="14" t="s">
        <v>286</v>
      </c>
      <c r="D468" s="14" t="s">
        <v>366</v>
      </c>
      <c r="E468" s="15" t="n">
        <v>17.5</v>
      </c>
      <c r="F468" s="14" t="s">
        <v>388</v>
      </c>
      <c r="G468" s="8" t="n">
        <v>12</v>
      </c>
      <c r="H468" s="14" t="s">
        <v>1121</v>
      </c>
      <c r="I468" s="14" t="s">
        <v>1013</v>
      </c>
      <c r="J468" s="14" t="s">
        <v>1014</v>
      </c>
      <c r="K468" s="8" t="n">
        <v>7</v>
      </c>
      <c r="L468" s="8" t="n">
        <v>122</v>
      </c>
      <c r="M468" s="8" t="n">
        <v>7</v>
      </c>
      <c r="N468" s="8" t="n">
        <v>35</v>
      </c>
      <c r="O468" s="8" t="n">
        <v>8</v>
      </c>
      <c r="P468" s="9" t="n">
        <v>18.9850253182367</v>
      </c>
      <c r="Q468" s="10" t="n">
        <v>0.0526730927790451</v>
      </c>
      <c r="R468" s="9" t="n">
        <v>9.5</v>
      </c>
      <c r="S468" s="11" t="n">
        <f aca="false">IF(AND(ISNUMBER(R468),R468&gt;1,P468&gt;0),R468/P468-1,"")</f>
        <v>-0.499605618599071</v>
      </c>
      <c r="T468" s="9" t="n">
        <f aca="false">IF(AND(ISNUMBER(P468),P468&gt;0),P468*EXP('Read me'!$B$22),"")</f>
        <v>23.1883622874349</v>
      </c>
    </row>
    <row r="469" customFormat="false" ht="15" hidden="false" customHeight="false" outlineLevel="0" collapsed="false">
      <c r="A469" s="14" t="s">
        <v>285</v>
      </c>
      <c r="B469" s="14" t="s">
        <v>98</v>
      </c>
      <c r="C469" s="14" t="s">
        <v>286</v>
      </c>
      <c r="D469" s="14" t="s">
        <v>366</v>
      </c>
      <c r="E469" s="15" t="n">
        <v>17.5</v>
      </c>
      <c r="F469" s="14" t="s">
        <v>388</v>
      </c>
      <c r="G469" s="8" t="n">
        <v>12</v>
      </c>
      <c r="H469" s="14" t="s">
        <v>1122</v>
      </c>
      <c r="I469" s="14" t="s">
        <v>764</v>
      </c>
      <c r="J469" s="14" t="s">
        <v>1123</v>
      </c>
      <c r="K469" s="8" t="n">
        <v>11</v>
      </c>
      <c r="L469" s="8" t="n">
        <v>112</v>
      </c>
      <c r="M469" s="8" t="n">
        <v>5</v>
      </c>
      <c r="N469" s="8" t="n">
        <v>19</v>
      </c>
      <c r="O469" s="8" t="n">
        <v>9</v>
      </c>
      <c r="P469" s="9" t="n">
        <v>24.7642184042516</v>
      </c>
      <c r="Q469" s="10" t="n">
        <v>0.0403808423781433</v>
      </c>
      <c r="R469" s="9" t="n">
        <v>12</v>
      </c>
      <c r="S469" s="11" t="n">
        <f aca="false">IF(AND(ISNUMBER(R469),R469&gt;1,P469&gt;0),R469/P469-1,"")</f>
        <v>-0.51542989146228</v>
      </c>
      <c r="T469" s="9" t="n">
        <f aca="false">IF(AND(ISNUMBER(P469),P469&gt;0),P469*EXP('Read me'!$B$22),"")</f>
        <v>30.2470846626337</v>
      </c>
    </row>
    <row r="470" customFormat="false" ht="15" hidden="false" customHeight="false" outlineLevel="0" collapsed="false">
      <c r="A470" s="14" t="s">
        <v>285</v>
      </c>
      <c r="B470" s="14" t="s">
        <v>98</v>
      </c>
      <c r="C470" s="14" t="s">
        <v>286</v>
      </c>
      <c r="D470" s="14" t="s">
        <v>366</v>
      </c>
      <c r="E470" s="15" t="n">
        <v>17.5</v>
      </c>
      <c r="F470" s="14" t="s">
        <v>388</v>
      </c>
      <c r="G470" s="8" t="n">
        <v>12</v>
      </c>
      <c r="H470" s="14" t="s">
        <v>1124</v>
      </c>
      <c r="I470" s="14" t="s">
        <v>1125</v>
      </c>
      <c r="J470" s="14" t="s">
        <v>85</v>
      </c>
      <c r="K470" s="8" t="n">
        <v>8</v>
      </c>
      <c r="L470" s="8" t="n">
        <v>119</v>
      </c>
      <c r="M470" s="8" t="n">
        <v>8</v>
      </c>
      <c r="N470" s="8" t="n">
        <v>28</v>
      </c>
      <c r="O470" s="8" t="n">
        <v>10</v>
      </c>
      <c r="P470" s="9" t="n">
        <v>39.7566301702914</v>
      </c>
      <c r="Q470" s="10" t="n">
        <v>0.0251530372598647</v>
      </c>
      <c r="R470" s="9" t="n">
        <v>29</v>
      </c>
      <c r="S470" s="11" t="n">
        <f aca="false">IF(AND(ISNUMBER(R470),R470&gt;1,P470&gt;0),R470/P470-1,"")</f>
        <v>-0.270561919463923</v>
      </c>
      <c r="T470" s="9" t="n">
        <f aca="false">IF(AND(ISNUMBER(P470),P470&gt;0),P470*EXP('Read me'!$B$22),"")</f>
        <v>48.5588577451477</v>
      </c>
    </row>
    <row r="471" customFormat="false" ht="15" hidden="false" customHeight="false" outlineLevel="0" collapsed="false">
      <c r="A471" s="14" t="s">
        <v>285</v>
      </c>
      <c r="B471" s="14" t="s">
        <v>98</v>
      </c>
      <c r="C471" s="14" t="s">
        <v>286</v>
      </c>
      <c r="D471" s="14" t="s">
        <v>366</v>
      </c>
      <c r="E471" s="15" t="n">
        <v>17.5</v>
      </c>
      <c r="F471" s="14" t="s">
        <v>388</v>
      </c>
      <c r="G471" s="8" t="n">
        <v>12</v>
      </c>
      <c r="H471" s="14" t="s">
        <v>1126</v>
      </c>
      <c r="I471" s="14" t="s">
        <v>1127</v>
      </c>
      <c r="J471" s="14" t="s">
        <v>643</v>
      </c>
      <c r="K471" s="8" t="n">
        <v>12</v>
      </c>
      <c r="L471" s="8" t="n">
        <v>111</v>
      </c>
      <c r="M471" s="8" t="n">
        <v>8</v>
      </c>
      <c r="N471" s="8" t="n">
        <v>26</v>
      </c>
      <c r="O471" s="8" t="n">
        <v>11</v>
      </c>
      <c r="P471" s="9" t="n">
        <v>62.8312802287646</v>
      </c>
      <c r="Q471" s="10" t="n">
        <v>0.0159156394133473</v>
      </c>
      <c r="R471" s="9" t="n">
        <v>51</v>
      </c>
      <c r="S471" s="11" t="n">
        <f aca="false">IF(AND(ISNUMBER(R471),R471&gt;1,P471&gt;0),R471/P471-1,"")</f>
        <v>-0.188302389919284</v>
      </c>
      <c r="T471" s="9" t="n">
        <f aca="false">IF(AND(ISNUMBER(P471),P471&gt;0),P471*EXP('Read me'!$B$22),"")</f>
        <v>76.7422989701476</v>
      </c>
    </row>
    <row r="472" customFormat="false" ht="15" hidden="false" customHeight="false" outlineLevel="0" collapsed="false">
      <c r="A472" s="14" t="s">
        <v>285</v>
      </c>
      <c r="B472" s="14" t="s">
        <v>98</v>
      </c>
      <c r="C472" s="14" t="s">
        <v>286</v>
      </c>
      <c r="D472" s="14" t="s">
        <v>366</v>
      </c>
      <c r="E472" s="15" t="n">
        <v>17.5</v>
      </c>
      <c r="F472" s="14" t="s">
        <v>388</v>
      </c>
      <c r="G472" s="8" t="n">
        <v>12</v>
      </c>
      <c r="H472" s="14" t="s">
        <v>1128</v>
      </c>
      <c r="I472" s="14" t="s">
        <v>1129</v>
      </c>
      <c r="J472" s="14" t="s">
        <v>517</v>
      </c>
      <c r="K472" s="8" t="n">
        <v>5</v>
      </c>
      <c r="L472" s="8" t="n">
        <v>128</v>
      </c>
      <c r="M472" s="8" t="n">
        <v>6</v>
      </c>
      <c r="N472" s="8" t="n">
        <v>111</v>
      </c>
      <c r="O472" s="8" t="n">
        <v>12</v>
      </c>
      <c r="P472" s="9" t="n">
        <v>67.5509300250174</v>
      </c>
      <c r="Q472" s="10" t="n">
        <v>0.0148036451848945</v>
      </c>
      <c r="R472" s="9" t="n">
        <v>29</v>
      </c>
      <c r="S472" s="11" t="n">
        <f aca="false">IF(AND(ISNUMBER(R472),R472&gt;1,P472&gt;0),R472/P472-1,"")</f>
        <v>-0.570694289638057</v>
      </c>
      <c r="T472" s="9" t="n">
        <f aca="false">IF(AND(ISNUMBER(P472),P472&gt;0),P472*EXP('Read me'!$B$22),"")</f>
        <v>82.5068922488408</v>
      </c>
    </row>
    <row r="473" customFormat="false" ht="15" hidden="false" customHeight="false" outlineLevel="0" collapsed="false">
      <c r="A473" s="14" t="s">
        <v>291</v>
      </c>
      <c r="B473" s="14" t="s">
        <v>117</v>
      </c>
      <c r="C473" s="14" t="s">
        <v>292</v>
      </c>
      <c r="D473" s="14"/>
      <c r="E473" s="15" t="n">
        <v>24</v>
      </c>
      <c r="F473" s="14" t="s">
        <v>388</v>
      </c>
      <c r="G473" s="8" t="n">
        <v>14</v>
      </c>
      <c r="H473" s="14" t="s">
        <v>293</v>
      </c>
      <c r="I473" s="14" t="s">
        <v>294</v>
      </c>
      <c r="J473" s="14" t="s">
        <v>295</v>
      </c>
      <c r="K473" s="8" t="n">
        <v>10</v>
      </c>
      <c r="L473" s="8" t="n">
        <v>106</v>
      </c>
      <c r="M473" s="8" t="n">
        <v>7</v>
      </c>
      <c r="N473" s="8" t="n">
        <v>19</v>
      </c>
      <c r="O473" s="8" t="n">
        <v>1</v>
      </c>
      <c r="P473" s="9" t="n">
        <v>3.84992854605613</v>
      </c>
      <c r="Q473" s="10" t="n">
        <v>0.259745080470234</v>
      </c>
      <c r="R473" s="9" t="n">
        <v>3.75</v>
      </c>
      <c r="S473" s="11" t="n">
        <f aca="false">IF(AND(ISNUMBER(R473),R473&gt;1,P473&gt;0),R473/P473-1,"")</f>
        <v>-0.0259559482366223</v>
      </c>
      <c r="T473" s="9" t="n">
        <f aca="false">IF(AND(ISNUMBER(P473),P473&gt;0),P473*EXP('Read me'!$B$22),"")</f>
        <v>4.70231334487253</v>
      </c>
    </row>
    <row r="474" customFormat="false" ht="15" hidden="false" customHeight="false" outlineLevel="0" collapsed="false">
      <c r="A474" s="14" t="s">
        <v>291</v>
      </c>
      <c r="B474" s="14" t="s">
        <v>117</v>
      </c>
      <c r="C474" s="14" t="s">
        <v>292</v>
      </c>
      <c r="D474" s="14"/>
      <c r="E474" s="15" t="n">
        <v>24</v>
      </c>
      <c r="F474" s="14" t="s">
        <v>388</v>
      </c>
      <c r="G474" s="8" t="n">
        <v>14</v>
      </c>
      <c r="H474" s="14" t="s">
        <v>296</v>
      </c>
      <c r="I474" s="14" t="s">
        <v>1130</v>
      </c>
      <c r="J474" s="14" t="s">
        <v>1131</v>
      </c>
      <c r="K474" s="8" t="n">
        <v>8</v>
      </c>
      <c r="L474" s="8" t="n">
        <v>107</v>
      </c>
      <c r="M474" s="8" t="n">
        <v>5</v>
      </c>
      <c r="N474" s="8" t="n">
        <v>37</v>
      </c>
      <c r="O474" s="8" t="n">
        <v>2</v>
      </c>
      <c r="P474" s="9" t="n">
        <v>5.20936087776512</v>
      </c>
      <c r="Q474" s="10" t="n">
        <v>0.191962128073763</v>
      </c>
      <c r="R474" s="9" t="n">
        <v>5</v>
      </c>
      <c r="S474" s="11" t="n">
        <f aca="false">IF(AND(ISNUMBER(R474),R474&gt;1,P474&gt;0),R474/P474-1,"")</f>
        <v>-0.0401893596311825</v>
      </c>
      <c r="T474" s="9" t="n">
        <f aca="false">IF(AND(ISNUMBER(P474),P474&gt;0),P474*EXP('Read me'!$B$22),"")</f>
        <v>6.362727744354</v>
      </c>
    </row>
    <row r="475" customFormat="false" ht="15" hidden="false" customHeight="false" outlineLevel="0" collapsed="false">
      <c r="A475" s="14" t="s">
        <v>291</v>
      </c>
      <c r="B475" s="14" t="s">
        <v>117</v>
      </c>
      <c r="C475" s="14" t="s">
        <v>292</v>
      </c>
      <c r="D475" s="14"/>
      <c r="E475" s="15" t="n">
        <v>24</v>
      </c>
      <c r="F475" s="14" t="s">
        <v>388</v>
      </c>
      <c r="G475" s="8" t="n">
        <v>14</v>
      </c>
      <c r="H475" s="14" t="s">
        <v>1132</v>
      </c>
      <c r="I475" s="14" t="s">
        <v>1133</v>
      </c>
      <c r="J475" s="14" t="s">
        <v>295</v>
      </c>
      <c r="K475" s="8" t="n">
        <v>7</v>
      </c>
      <c r="L475" s="8" t="n">
        <v>109</v>
      </c>
      <c r="M475" s="8" t="n">
        <v>7</v>
      </c>
      <c r="N475" s="8" t="n">
        <v>59</v>
      </c>
      <c r="O475" s="8" t="n">
        <v>3</v>
      </c>
      <c r="P475" s="9" t="n">
        <v>9.95175868024113</v>
      </c>
      <c r="Q475" s="10" t="n">
        <v>0.100484751703783</v>
      </c>
      <c r="R475" s="9" t="n">
        <v>7.5</v>
      </c>
      <c r="S475" s="11" t="n">
        <f aca="false">IF(AND(ISNUMBER(R475),R475&gt;1,P475&gt;0),R475/P475-1,"")</f>
        <v>-0.246364362221625</v>
      </c>
      <c r="T475" s="9" t="n">
        <f aca="false">IF(AND(ISNUMBER(P475),P475&gt;0),P475*EXP('Read me'!$B$22),"")</f>
        <v>12.1551055005909</v>
      </c>
    </row>
    <row r="476" customFormat="false" ht="15" hidden="false" customHeight="false" outlineLevel="0" collapsed="false">
      <c r="A476" s="14" t="s">
        <v>291</v>
      </c>
      <c r="B476" s="14" t="s">
        <v>117</v>
      </c>
      <c r="C476" s="14" t="s">
        <v>292</v>
      </c>
      <c r="D476" s="14"/>
      <c r="E476" s="15" t="n">
        <v>24</v>
      </c>
      <c r="F476" s="14" t="s">
        <v>388</v>
      </c>
      <c r="G476" s="8" t="n">
        <v>14</v>
      </c>
      <c r="H476" s="14" t="s">
        <v>1134</v>
      </c>
      <c r="I476" s="14" t="s">
        <v>1135</v>
      </c>
      <c r="J476" s="14" t="s">
        <v>1131</v>
      </c>
      <c r="K476" s="8" t="n">
        <v>12</v>
      </c>
      <c r="L476" s="8" t="n">
        <v>104</v>
      </c>
      <c r="M476" s="8" t="n">
        <v>8</v>
      </c>
      <c r="N476" s="8" t="n">
        <v>35</v>
      </c>
      <c r="O476" s="8" t="n">
        <v>4</v>
      </c>
      <c r="P476" s="9" t="n">
        <v>10.3822612786595</v>
      </c>
      <c r="Q476" s="10" t="n">
        <v>0.0963181308156328</v>
      </c>
      <c r="R476" s="9" t="n">
        <v>8</v>
      </c>
      <c r="S476" s="11" t="n">
        <f aca="false">IF(AND(ISNUMBER(R476),R476&gt;1,P476&gt;0),R476/P476-1,"")</f>
        <v>-0.229454953474938</v>
      </c>
      <c r="T476" s="9" t="n">
        <f aca="false">IF(AND(ISNUMBER(P476),P476&gt;0),P476*EXP('Read me'!$B$22),"")</f>
        <v>12.6809225616942</v>
      </c>
    </row>
    <row r="477" customFormat="false" ht="15" hidden="false" customHeight="false" outlineLevel="0" collapsed="false">
      <c r="A477" s="14" t="s">
        <v>291</v>
      </c>
      <c r="B477" s="14" t="s">
        <v>117</v>
      </c>
      <c r="C477" s="14" t="s">
        <v>292</v>
      </c>
      <c r="D477" s="14"/>
      <c r="E477" s="15" t="n">
        <v>24</v>
      </c>
      <c r="F477" s="14" t="s">
        <v>388</v>
      </c>
      <c r="G477" s="8" t="n">
        <v>14</v>
      </c>
      <c r="H477" s="14" t="s">
        <v>1136</v>
      </c>
      <c r="I477" s="14" t="s">
        <v>224</v>
      </c>
      <c r="J477" s="14" t="s">
        <v>1137</v>
      </c>
      <c r="K477" s="8" t="n">
        <v>4</v>
      </c>
      <c r="L477" s="8" t="n">
        <v>113</v>
      </c>
      <c r="M477" s="8" t="n">
        <v>8</v>
      </c>
      <c r="N477" s="8" t="n">
        <v>174</v>
      </c>
      <c r="O477" s="8" t="n">
        <v>5</v>
      </c>
      <c r="P477" s="9" t="n">
        <v>12.5665154899614</v>
      </c>
      <c r="Q477" s="10" t="n">
        <v>0.0795765541210557</v>
      </c>
      <c r="R477" s="9" t="n">
        <v>13</v>
      </c>
      <c r="S477" s="11" t="n">
        <f aca="false">IF(AND(ISNUMBER(R477),R477&gt;1,P477&gt;0),R477/P477-1,"")</f>
        <v>0.0344952035737245</v>
      </c>
      <c r="T477" s="9" t="n">
        <f aca="false">IF(AND(ISNUMBER(P477),P477&gt;0),P477*EXP('Read me'!$B$22),"")</f>
        <v>15.3487766799014</v>
      </c>
    </row>
    <row r="478" customFormat="false" ht="15" hidden="false" customHeight="false" outlineLevel="0" collapsed="false">
      <c r="A478" s="14" t="s">
        <v>291</v>
      </c>
      <c r="B478" s="14" t="s">
        <v>117</v>
      </c>
      <c r="C478" s="14" t="s">
        <v>292</v>
      </c>
      <c r="D478" s="14"/>
      <c r="E478" s="15" t="n">
        <v>24</v>
      </c>
      <c r="F478" s="14" t="s">
        <v>388</v>
      </c>
      <c r="G478" s="8" t="n">
        <v>14</v>
      </c>
      <c r="H478" s="14" t="s">
        <v>1138</v>
      </c>
      <c r="I478" s="14" t="s">
        <v>1139</v>
      </c>
      <c r="J478" s="14" t="s">
        <v>418</v>
      </c>
      <c r="K478" s="8" t="n">
        <v>6</v>
      </c>
      <c r="L478" s="8" t="n">
        <v>112</v>
      </c>
      <c r="M478" s="8" t="n">
        <v>8</v>
      </c>
      <c r="N478" s="8" t="n">
        <v>88</v>
      </c>
      <c r="O478" s="8" t="n">
        <v>6</v>
      </c>
      <c r="P478" s="9" t="n">
        <v>20.7480845842619</v>
      </c>
      <c r="Q478" s="10" t="n">
        <v>0.0481972201307937</v>
      </c>
      <c r="R478" s="9" t="n">
        <v>13</v>
      </c>
      <c r="S478" s="11" t="n">
        <f aca="false">IF(AND(ISNUMBER(R478),R478&gt;1,P478&gt;0),R478/P478-1,"")</f>
        <v>-0.373436138299682</v>
      </c>
      <c r="T478" s="9" t="n">
        <f aca="false">IF(AND(ISNUMBER(P478),P478&gt;0),P478*EXP('Read me'!$B$22),"")</f>
        <v>25.341767737758</v>
      </c>
    </row>
    <row r="479" customFormat="false" ht="15" hidden="false" customHeight="false" outlineLevel="0" collapsed="false">
      <c r="A479" s="14" t="s">
        <v>291</v>
      </c>
      <c r="B479" s="14" t="s">
        <v>117</v>
      </c>
      <c r="C479" s="14" t="s">
        <v>292</v>
      </c>
      <c r="D479" s="14"/>
      <c r="E479" s="15" t="n">
        <v>24</v>
      </c>
      <c r="F479" s="14" t="s">
        <v>388</v>
      </c>
      <c r="G479" s="8" t="n">
        <v>14</v>
      </c>
      <c r="H479" s="14" t="s">
        <v>1140</v>
      </c>
      <c r="I479" s="14" t="s">
        <v>316</v>
      </c>
      <c r="J479" s="14" t="s">
        <v>611</v>
      </c>
      <c r="K479" s="8" t="n">
        <v>11</v>
      </c>
      <c r="L479" s="8" t="n">
        <v>105</v>
      </c>
      <c r="M479" s="8" t="n">
        <v>8</v>
      </c>
      <c r="N479" s="8" t="n">
        <v>3</v>
      </c>
      <c r="O479" s="8" t="n">
        <v>7</v>
      </c>
      <c r="P479" s="9" t="n">
        <v>21.8913856231418</v>
      </c>
      <c r="Q479" s="10" t="n">
        <v>0.0456800687363928</v>
      </c>
      <c r="R479" s="9" t="n">
        <v>13</v>
      </c>
      <c r="S479" s="11" t="n">
        <f aca="false">IF(AND(ISNUMBER(R479),R479&gt;1,P479&gt;0),R479/P479-1,"")</f>
        <v>-0.406159106426893</v>
      </c>
      <c r="T479" s="9" t="n">
        <f aca="false">IF(AND(ISNUMBER(P479),P479&gt;0),P479*EXP('Read me'!$B$22),"")</f>
        <v>26.7381987800533</v>
      </c>
    </row>
    <row r="480" customFormat="false" ht="15" hidden="false" customHeight="false" outlineLevel="0" collapsed="false">
      <c r="A480" s="14" t="s">
        <v>291</v>
      </c>
      <c r="B480" s="14" t="s">
        <v>117</v>
      </c>
      <c r="C480" s="14" t="s">
        <v>292</v>
      </c>
      <c r="D480" s="14"/>
      <c r="E480" s="15" t="n">
        <v>24</v>
      </c>
      <c r="F480" s="14" t="s">
        <v>388</v>
      </c>
      <c r="G480" s="8" t="n">
        <v>14</v>
      </c>
      <c r="H480" s="14" t="s">
        <v>1141</v>
      </c>
      <c r="I480" s="14" t="s">
        <v>1142</v>
      </c>
      <c r="J480" s="14" t="s">
        <v>1047</v>
      </c>
      <c r="K480" s="8" t="n">
        <v>5</v>
      </c>
      <c r="L480" s="8" t="n">
        <v>112</v>
      </c>
      <c r="M480" s="8" t="n">
        <v>7</v>
      </c>
      <c r="N480" s="8" t="n">
        <v>36</v>
      </c>
      <c r="O480" s="8" t="n">
        <v>8</v>
      </c>
      <c r="P480" s="9" t="n">
        <v>26.5028432425703</v>
      </c>
      <c r="Q480" s="10" t="n">
        <v>0.0377318007297325</v>
      </c>
      <c r="R480" s="9" t="n">
        <v>17</v>
      </c>
      <c r="S480" s="11" t="n">
        <f aca="false">IF(AND(ISNUMBER(R480),R480&gt;1,P480&gt;0),R480/P480-1,"")</f>
        <v>-0.358559387594547</v>
      </c>
      <c r="T480" s="9" t="n">
        <f aca="false">IF(AND(ISNUMBER(P480),P480&gt;0),P480*EXP('Read me'!$B$22),"")</f>
        <v>32.370645835562</v>
      </c>
    </row>
    <row r="481" customFormat="false" ht="15" hidden="false" customHeight="false" outlineLevel="0" collapsed="false">
      <c r="A481" s="14" t="s">
        <v>291</v>
      </c>
      <c r="B481" s="14" t="s">
        <v>117</v>
      </c>
      <c r="C481" s="14" t="s">
        <v>292</v>
      </c>
      <c r="D481" s="14"/>
      <c r="E481" s="15" t="n">
        <v>24</v>
      </c>
      <c r="F481" s="14" t="s">
        <v>388</v>
      </c>
      <c r="G481" s="8" t="n">
        <v>14</v>
      </c>
      <c r="H481" s="14" t="s">
        <v>1143</v>
      </c>
      <c r="I481" s="14" t="s">
        <v>1144</v>
      </c>
      <c r="J481" s="14" t="s">
        <v>1145</v>
      </c>
      <c r="K481" s="8" t="n">
        <v>1</v>
      </c>
      <c r="L481" s="8" t="n">
        <v>120</v>
      </c>
      <c r="M481" s="8" t="n">
        <v>9</v>
      </c>
      <c r="N481" s="8" t="n">
        <v>49</v>
      </c>
      <c r="O481" s="8" t="n">
        <v>9</v>
      </c>
      <c r="P481" s="9" t="n">
        <v>27.8754193341196</v>
      </c>
      <c r="Q481" s="10" t="n">
        <v>0.0358738997973026</v>
      </c>
      <c r="R481" s="9" t="n">
        <v>26</v>
      </c>
      <c r="S481" s="11" t="n">
        <f aca="false">IF(AND(ISNUMBER(R481),R481&gt;1,P481&gt;0),R481/P481-1,"")</f>
        <v>-0.0672786052701313</v>
      </c>
      <c r="T481" s="9" t="n">
        <f aca="false">IF(AND(ISNUMBER(P481),P481&gt;0),P481*EXP('Read me'!$B$22),"")</f>
        <v>34.047114059565</v>
      </c>
    </row>
    <row r="482" customFormat="false" ht="15" hidden="false" customHeight="false" outlineLevel="0" collapsed="false">
      <c r="A482" s="14" t="s">
        <v>291</v>
      </c>
      <c r="B482" s="14" t="s">
        <v>117</v>
      </c>
      <c r="C482" s="14" t="s">
        <v>292</v>
      </c>
      <c r="D482" s="14"/>
      <c r="E482" s="15" t="n">
        <v>24</v>
      </c>
      <c r="F482" s="14" t="s">
        <v>388</v>
      </c>
      <c r="G482" s="8" t="n">
        <v>14</v>
      </c>
      <c r="H482" s="14" t="s">
        <v>1146</v>
      </c>
      <c r="I482" s="14" t="s">
        <v>684</v>
      </c>
      <c r="J482" s="14" t="s">
        <v>1147</v>
      </c>
      <c r="K482" s="8" t="n">
        <v>13</v>
      </c>
      <c r="L482" s="8" t="n">
        <v>104</v>
      </c>
      <c r="M482" s="8" t="n">
        <v>10</v>
      </c>
      <c r="N482" s="8" t="n">
        <v>19</v>
      </c>
      <c r="O482" s="8" t="n">
        <v>10</v>
      </c>
      <c r="P482" s="9" t="n">
        <v>28.9142336598863</v>
      </c>
      <c r="Q482" s="10" t="n">
        <v>0.0345850425006191</v>
      </c>
      <c r="R482" s="9" t="n">
        <v>19</v>
      </c>
      <c r="S482" s="11" t="n">
        <f aca="false">IF(AND(ISNUMBER(R482),R482&gt;1,P482&gt;0),R482/P482-1,"")</f>
        <v>-0.342884192488235</v>
      </c>
      <c r="T482" s="9" t="n">
        <f aca="false">IF(AND(ISNUMBER(P482),P482&gt;0),P482*EXP('Read me'!$B$22),"")</f>
        <v>35.3159247422727</v>
      </c>
    </row>
    <row r="483" customFormat="false" ht="15" hidden="false" customHeight="false" outlineLevel="0" collapsed="false">
      <c r="A483" s="14" t="s">
        <v>291</v>
      </c>
      <c r="B483" s="14" t="s">
        <v>117</v>
      </c>
      <c r="C483" s="14" t="s">
        <v>292</v>
      </c>
      <c r="D483" s="14"/>
      <c r="E483" s="15" t="n">
        <v>24</v>
      </c>
      <c r="F483" s="14" t="s">
        <v>388</v>
      </c>
      <c r="G483" s="8" t="n">
        <v>14</v>
      </c>
      <c r="H483" s="14" t="s">
        <v>1148</v>
      </c>
      <c r="I483" s="14" t="s">
        <v>1149</v>
      </c>
      <c r="J483" s="14" t="s">
        <v>1150</v>
      </c>
      <c r="K483" s="8" t="n">
        <v>2</v>
      </c>
      <c r="L483" s="8" t="n">
        <v>114</v>
      </c>
      <c r="M483" s="8" t="n">
        <v>7</v>
      </c>
      <c r="N483" s="8" t="n">
        <v>110</v>
      </c>
      <c r="O483" s="8" t="n">
        <v>11</v>
      </c>
      <c r="P483" s="9" t="n">
        <v>31.5069351569727</v>
      </c>
      <c r="Q483" s="10" t="n">
        <v>0.031739043960253</v>
      </c>
      <c r="R483" s="9" t="n">
        <v>13</v>
      </c>
      <c r="S483" s="11" t="n">
        <f aca="false">IF(AND(ISNUMBER(R483),R483&gt;1,P483&gt;0),R483/P483-1,"")</f>
        <v>-0.58739242851671</v>
      </c>
      <c r="T483" s="9" t="n">
        <f aca="false">IF(AND(ISNUMBER(P483),P483&gt;0),P483*EXP('Read me'!$B$22),"")</f>
        <v>38.4826575019001</v>
      </c>
    </row>
    <row r="484" customFormat="false" ht="15" hidden="false" customHeight="false" outlineLevel="0" collapsed="false">
      <c r="A484" s="14" t="s">
        <v>291</v>
      </c>
      <c r="B484" s="14" t="s">
        <v>117</v>
      </c>
      <c r="C484" s="14" t="s">
        <v>292</v>
      </c>
      <c r="D484" s="14"/>
      <c r="E484" s="15" t="n">
        <v>24</v>
      </c>
      <c r="F484" s="14" t="s">
        <v>388</v>
      </c>
      <c r="G484" s="8" t="n">
        <v>14</v>
      </c>
      <c r="H484" s="14" t="s">
        <v>1151</v>
      </c>
      <c r="I484" s="14" t="s">
        <v>1152</v>
      </c>
      <c r="J484" s="14" t="s">
        <v>910</v>
      </c>
      <c r="K484" s="8" t="n">
        <v>9</v>
      </c>
      <c r="L484" s="8" t="n">
        <v>107</v>
      </c>
      <c r="M484" s="8" t="n">
        <v>8</v>
      </c>
      <c r="N484" s="8" t="n">
        <v>134</v>
      </c>
      <c r="O484" s="8" t="n">
        <v>12</v>
      </c>
      <c r="P484" s="9" t="n">
        <v>45.2186018844468</v>
      </c>
      <c r="Q484" s="10" t="n">
        <v>0.0221147925483285</v>
      </c>
      <c r="R484" s="9" t="n">
        <v>10</v>
      </c>
      <c r="S484" s="11" t="n">
        <f aca="false">IF(AND(ISNUMBER(R484),R484&gt;1,P484&gt;0),R484/P484-1,"")</f>
        <v>-0.778852074516715</v>
      </c>
      <c r="T484" s="9" t="n">
        <f aca="false">IF(AND(ISNUMBER(P484),P484&gt;0),P484*EXP('Read me'!$B$22),"")</f>
        <v>55.23012506181</v>
      </c>
    </row>
    <row r="485" customFormat="false" ht="15" hidden="false" customHeight="false" outlineLevel="0" collapsed="false">
      <c r="A485" s="14" t="s">
        <v>291</v>
      </c>
      <c r="B485" s="14" t="s">
        <v>117</v>
      </c>
      <c r="C485" s="14" t="s">
        <v>292</v>
      </c>
      <c r="D485" s="14"/>
      <c r="E485" s="15" t="n">
        <v>24</v>
      </c>
      <c r="F485" s="14" t="s">
        <v>388</v>
      </c>
      <c r="G485" s="8" t="n">
        <v>14</v>
      </c>
      <c r="H485" s="14" t="s">
        <v>1153</v>
      </c>
      <c r="I485" s="14" t="s">
        <v>1154</v>
      </c>
      <c r="J485" s="14" t="s">
        <v>1155</v>
      </c>
      <c r="K485" s="8" t="n">
        <v>3</v>
      </c>
      <c r="L485" s="8" t="n">
        <v>114</v>
      </c>
      <c r="M485" s="8" t="n">
        <v>11</v>
      </c>
      <c r="N485" s="8" t="n">
        <v>19</v>
      </c>
      <c r="O485" s="8" t="n">
        <v>13</v>
      </c>
      <c r="P485" s="9" t="n">
        <v>97.4217211462748</v>
      </c>
      <c r="Q485" s="10" t="n">
        <v>0.010264651334773</v>
      </c>
      <c r="R485" s="9" t="n">
        <v>26</v>
      </c>
      <c r="S485" s="11" t="n">
        <f aca="false">IF(AND(ISNUMBER(R485),R485&gt;1,P485&gt;0),R485/P485-1,"")</f>
        <v>-0.7331190652959</v>
      </c>
      <c r="T485" s="9" t="n">
        <f aca="false">IF(AND(ISNUMBER(P485),P485&gt;0),P485*EXP('Read me'!$B$22),"")</f>
        <v>118.991158912771</v>
      </c>
    </row>
    <row r="486" customFormat="false" ht="15" hidden="false" customHeight="false" outlineLevel="0" collapsed="false">
      <c r="A486" s="14" t="s">
        <v>291</v>
      </c>
      <c r="B486" s="14" t="s">
        <v>117</v>
      </c>
      <c r="C486" s="14" t="s">
        <v>292</v>
      </c>
      <c r="D486" s="14"/>
      <c r="E486" s="15" t="n">
        <v>24</v>
      </c>
      <c r="F486" s="14" t="s">
        <v>388</v>
      </c>
      <c r="G486" s="8" t="n">
        <v>14</v>
      </c>
      <c r="H486" s="14" t="s">
        <v>1156</v>
      </c>
      <c r="I486" s="14" t="s">
        <v>1157</v>
      </c>
      <c r="J486" s="14" t="s">
        <v>903</v>
      </c>
      <c r="K486" s="8" t="n">
        <v>15</v>
      </c>
      <c r="L486" s="8" t="n">
        <v>93</v>
      </c>
      <c r="M486" s="8" t="n">
        <v>10</v>
      </c>
      <c r="N486" s="8" t="n">
        <v>37</v>
      </c>
      <c r="O486" s="8" t="n">
        <v>14</v>
      </c>
      <c r="P486" s="9" t="n">
        <v>174.616517936357</v>
      </c>
      <c r="Q486" s="10" t="n">
        <v>0.0057268350773348</v>
      </c>
      <c r="R486" s="9" t="n">
        <v>34</v>
      </c>
      <c r="S486" s="11" t="n">
        <f aca="false">IF(AND(ISNUMBER(R486),R486&gt;1,P486&gt;0),R486/P486-1,"")</f>
        <v>-0.805287607370615</v>
      </c>
      <c r="T486" s="9" t="n">
        <f aca="false">IF(AND(ISNUMBER(P486),P486&gt;0),P486*EXP('Read me'!$B$22),"")</f>
        <v>213.277096627791</v>
      </c>
    </row>
    <row r="487" customFormat="false" ht="15" hidden="false" customHeight="false" outlineLevel="0" collapsed="false">
      <c r="A487" s="14" t="s">
        <v>297</v>
      </c>
      <c r="B487" s="14" t="s">
        <v>63</v>
      </c>
      <c r="C487" s="14" t="s">
        <v>298</v>
      </c>
      <c r="D487" s="14" t="s">
        <v>436</v>
      </c>
      <c r="E487" s="15" t="n">
        <v>16</v>
      </c>
      <c r="F487" s="14" t="s">
        <v>388</v>
      </c>
      <c r="G487" s="8" t="n">
        <v>5</v>
      </c>
      <c r="H487" s="14" t="s">
        <v>299</v>
      </c>
      <c r="I487" s="14" t="s">
        <v>300</v>
      </c>
      <c r="J487" s="14" t="s">
        <v>301</v>
      </c>
      <c r="K487" s="8" t="n">
        <v>5</v>
      </c>
      <c r="L487" s="8" t="n">
        <v>79</v>
      </c>
      <c r="M487" s="8" t="n">
        <v>4</v>
      </c>
      <c r="N487" s="8" t="n">
        <v>46</v>
      </c>
      <c r="O487" s="8" t="n">
        <v>1</v>
      </c>
      <c r="P487" s="9" t="n">
        <v>2.75538507394132</v>
      </c>
      <c r="Q487" s="10" t="n">
        <v>0.362925679411333</v>
      </c>
      <c r="R487" s="9" t="n">
        <v>2.625</v>
      </c>
      <c r="S487" s="11" t="n">
        <f aca="false">IF(AND(ISNUMBER(R487),R487&gt;1,P487&gt;0),R487/P487-1,"")</f>
        <v>-0.0473200915452497</v>
      </c>
      <c r="T487" s="9" t="n">
        <f aca="false">IF(AND(ISNUMBER(P487),P487&gt;0),P487*EXP('Read me'!$B$22),"")</f>
        <v>3.36543492910529</v>
      </c>
    </row>
    <row r="488" customFormat="false" ht="15" hidden="false" customHeight="false" outlineLevel="0" collapsed="false">
      <c r="A488" s="14" t="s">
        <v>297</v>
      </c>
      <c r="B488" s="14" t="s">
        <v>63</v>
      </c>
      <c r="C488" s="14" t="s">
        <v>298</v>
      </c>
      <c r="D488" s="14" t="s">
        <v>436</v>
      </c>
      <c r="E488" s="15" t="n">
        <v>16</v>
      </c>
      <c r="F488" s="14" t="s">
        <v>388</v>
      </c>
      <c r="G488" s="8" t="n">
        <v>5</v>
      </c>
      <c r="H488" s="14" t="s">
        <v>302</v>
      </c>
      <c r="I488" s="14" t="s">
        <v>235</v>
      </c>
      <c r="J488" s="14" t="s">
        <v>236</v>
      </c>
      <c r="K488" s="8" t="n">
        <v>4</v>
      </c>
      <c r="L488" s="8" t="n">
        <v>71</v>
      </c>
      <c r="M488" s="8" t="n">
        <v>7</v>
      </c>
      <c r="N488" s="8" t="n">
        <v>7</v>
      </c>
      <c r="O488" s="8" t="n">
        <v>2</v>
      </c>
      <c r="P488" s="9" t="n">
        <v>3.56348517877959</v>
      </c>
      <c r="Q488" s="10" t="n">
        <v>0.280624150187283</v>
      </c>
      <c r="R488" s="9" t="n">
        <v>4</v>
      </c>
      <c r="S488" s="11" t="n">
        <f aca="false">IF(AND(ISNUMBER(R488),R488&gt;1,P488&gt;0),R488/P488-1,"")</f>
        <v>0.122496600749132</v>
      </c>
      <c r="T488" s="9" t="n">
        <f aca="false">IF(AND(ISNUMBER(P488),P488&gt;0),P488*EXP('Read me'!$B$22),"")</f>
        <v>4.35245062602428</v>
      </c>
    </row>
    <row r="489" customFormat="false" ht="15" hidden="false" customHeight="false" outlineLevel="0" collapsed="false">
      <c r="A489" s="14" t="s">
        <v>297</v>
      </c>
      <c r="B489" s="14" t="s">
        <v>63</v>
      </c>
      <c r="C489" s="14" t="s">
        <v>298</v>
      </c>
      <c r="D489" s="14" t="s">
        <v>436</v>
      </c>
      <c r="E489" s="15" t="n">
        <v>16</v>
      </c>
      <c r="F489" s="14" t="s">
        <v>388</v>
      </c>
      <c r="G489" s="8" t="n">
        <v>5</v>
      </c>
      <c r="H489" s="14" t="s">
        <v>1158</v>
      </c>
      <c r="I489" s="14" t="s">
        <v>503</v>
      </c>
      <c r="J489" s="14" t="s">
        <v>463</v>
      </c>
      <c r="K489" s="8" t="n">
        <v>2</v>
      </c>
      <c r="L489" s="8" t="n">
        <v>82</v>
      </c>
      <c r="M489" s="8" t="n">
        <v>6</v>
      </c>
      <c r="N489" s="8" t="n">
        <v>14</v>
      </c>
      <c r="O489" s="8" t="n">
        <v>3</v>
      </c>
      <c r="P489" s="9" t="n">
        <v>5.40652901868237</v>
      </c>
      <c r="Q489" s="10" t="n">
        <v>0.184961552327654</v>
      </c>
      <c r="R489" s="9" t="n">
        <v>5</v>
      </c>
      <c r="S489" s="11" t="n">
        <f aca="false">IF(AND(ISNUMBER(R489),R489&gt;1,P489&gt;0),R489/P489-1,"")</f>
        <v>-0.0751922383617293</v>
      </c>
      <c r="T489" s="9" t="n">
        <f aca="false">IF(AND(ISNUMBER(P489),P489&gt;0),P489*EXP('Read me'!$B$22),"")</f>
        <v>6.60354945549164</v>
      </c>
    </row>
    <row r="490" customFormat="false" ht="15" hidden="false" customHeight="false" outlineLevel="0" collapsed="false">
      <c r="A490" s="14" t="s">
        <v>297</v>
      </c>
      <c r="B490" s="14" t="s">
        <v>63</v>
      </c>
      <c r="C490" s="14" t="s">
        <v>298</v>
      </c>
      <c r="D490" s="14" t="s">
        <v>436</v>
      </c>
      <c r="E490" s="15" t="n">
        <v>16</v>
      </c>
      <c r="F490" s="14" t="s">
        <v>388</v>
      </c>
      <c r="G490" s="8" t="n">
        <v>5</v>
      </c>
      <c r="H490" s="14" t="s">
        <v>1159</v>
      </c>
      <c r="I490" s="14" t="s">
        <v>438</v>
      </c>
      <c r="J490" s="14" t="s">
        <v>1160</v>
      </c>
      <c r="K490" s="8" t="n">
        <v>1</v>
      </c>
      <c r="L490" s="8" t="n">
        <v>72</v>
      </c>
      <c r="M490" s="8" t="n">
        <v>7</v>
      </c>
      <c r="N490" s="8" t="n">
        <v>23</v>
      </c>
      <c r="O490" s="8" t="n">
        <v>4</v>
      </c>
      <c r="P490" s="9" t="n">
        <v>10.8185099523647</v>
      </c>
      <c r="Q490" s="10" t="n">
        <v>0.0924341711014852</v>
      </c>
      <c r="R490" s="9" t="n">
        <v>7.5</v>
      </c>
      <c r="S490" s="11" t="n">
        <f aca="false">IF(AND(ISNUMBER(R490),R490&gt;1,P490&gt;0),R490/P490-1,"")</f>
        <v>-0.306743716738861</v>
      </c>
      <c r="T490" s="9" t="n">
        <f aca="false">IF(AND(ISNUMBER(P490),P490&gt;0),P490*EXP('Read me'!$B$22),"")</f>
        <v>13.2137578950015</v>
      </c>
    </row>
    <row r="491" customFormat="false" ht="15" hidden="false" customHeight="false" outlineLevel="0" collapsed="false">
      <c r="A491" s="14" t="s">
        <v>297</v>
      </c>
      <c r="B491" s="14" t="s">
        <v>63</v>
      </c>
      <c r="C491" s="14" t="s">
        <v>298</v>
      </c>
      <c r="D491" s="14" t="s">
        <v>436</v>
      </c>
      <c r="E491" s="15" t="n">
        <v>16</v>
      </c>
      <c r="F491" s="14" t="s">
        <v>388</v>
      </c>
      <c r="G491" s="8" t="n">
        <v>5</v>
      </c>
      <c r="H491" s="14" t="s">
        <v>1161</v>
      </c>
      <c r="I491" s="14" t="s">
        <v>159</v>
      </c>
      <c r="J491" s="14" t="s">
        <v>236</v>
      </c>
      <c r="K491" s="8" t="n">
        <v>3</v>
      </c>
      <c r="L491" s="8" t="n">
        <v>68</v>
      </c>
      <c r="M491" s="8" t="n">
        <v>7</v>
      </c>
      <c r="N491" s="8" t="n">
        <v>46</v>
      </c>
      <c r="O491" s="8" t="n">
        <v>5</v>
      </c>
      <c r="P491" s="9" t="n">
        <v>12.6495097783822</v>
      </c>
      <c r="Q491" s="10" t="n">
        <v>0.0790544469722442</v>
      </c>
      <c r="R491" s="9" t="n">
        <v>8</v>
      </c>
      <c r="S491" s="11" t="n">
        <f aca="false">IF(AND(ISNUMBER(R491),R491&gt;1,P491&gt;0),R491/P491-1,"")</f>
        <v>-0.367564424222047</v>
      </c>
      <c r="T491" s="9" t="n">
        <f aca="false">IF(AND(ISNUMBER(P491),P491&gt;0),P491*EXP('Read me'!$B$22),"")</f>
        <v>15.4501461326901</v>
      </c>
    </row>
    <row r="492" customFormat="false" ht="15" hidden="false" customHeight="false" outlineLevel="0" collapsed="false">
      <c r="A492" s="14" t="s">
        <v>303</v>
      </c>
      <c r="B492" s="14" t="s">
        <v>197</v>
      </c>
      <c r="C492" s="14" t="s">
        <v>304</v>
      </c>
      <c r="D492" s="14" t="s">
        <v>436</v>
      </c>
      <c r="E492" s="15" t="n">
        <v>5</v>
      </c>
      <c r="F492" s="14" t="s">
        <v>819</v>
      </c>
      <c r="G492" s="8" t="n">
        <v>9</v>
      </c>
      <c r="H492" s="14" t="s">
        <v>305</v>
      </c>
      <c r="I492" s="14" t="s">
        <v>306</v>
      </c>
      <c r="J492" s="14" t="s">
        <v>307</v>
      </c>
      <c r="K492" s="8" t="n">
        <v>9</v>
      </c>
      <c r="L492" s="8" t="n">
        <v>83</v>
      </c>
      <c r="M492" s="8" t="n">
        <v>3</v>
      </c>
      <c r="N492" s="8" t="n">
        <v>13</v>
      </c>
      <c r="O492" s="8" t="n">
        <v>1</v>
      </c>
      <c r="P492" s="9" t="n">
        <v>3.31822413341024</v>
      </c>
      <c r="Q492" s="10" t="n">
        <v>0.301366019833105</v>
      </c>
      <c r="R492" s="9" t="n">
        <v>2.5</v>
      </c>
      <c r="S492" s="11" t="n">
        <f aca="false">IF(AND(ISNUMBER(R492),R492&gt;1,P492&gt;0),R492/P492-1,"")</f>
        <v>-0.246584950417236</v>
      </c>
      <c r="T492" s="9" t="n">
        <f aca="false">IF(AND(ISNUMBER(P492),P492&gt;0),P492*EXP('Read me'!$B$22),"")</f>
        <v>4.05288810874091</v>
      </c>
    </row>
    <row r="493" customFormat="false" ht="15" hidden="false" customHeight="false" outlineLevel="0" collapsed="false">
      <c r="A493" s="14" t="s">
        <v>303</v>
      </c>
      <c r="B493" s="14" t="s">
        <v>197</v>
      </c>
      <c r="C493" s="14" t="s">
        <v>304</v>
      </c>
      <c r="D493" s="14" t="s">
        <v>436</v>
      </c>
      <c r="E493" s="15" t="n">
        <v>5</v>
      </c>
      <c r="F493" s="14" t="s">
        <v>819</v>
      </c>
      <c r="G493" s="8" t="n">
        <v>9</v>
      </c>
      <c r="H493" s="14" t="s">
        <v>308</v>
      </c>
      <c r="I493" s="14" t="s">
        <v>822</v>
      </c>
      <c r="J493" s="14" t="s">
        <v>805</v>
      </c>
      <c r="K493" s="8" t="n">
        <v>4</v>
      </c>
      <c r="L493" s="8" t="n">
        <v>80</v>
      </c>
      <c r="M493" s="8" t="n">
        <v>5</v>
      </c>
      <c r="N493" s="8" t="n">
        <v>13</v>
      </c>
      <c r="O493" s="8" t="n">
        <v>2</v>
      </c>
      <c r="P493" s="9" t="n">
        <v>5.78786943729925</v>
      </c>
      <c r="Q493" s="10" t="n">
        <v>0.172775148236001</v>
      </c>
      <c r="R493" s="9" t="n">
        <v>5</v>
      </c>
      <c r="S493" s="11" t="n">
        <f aca="false">IF(AND(ISNUMBER(R493),R493&gt;1,P493&gt;0),R493/P493-1,"")</f>
        <v>-0.136124258819993</v>
      </c>
      <c r="T493" s="9" t="n">
        <f aca="false">IF(AND(ISNUMBER(P493),P493&gt;0),P493*EXP('Read me'!$B$22),"")</f>
        <v>7.06931969458826</v>
      </c>
    </row>
    <row r="494" customFormat="false" ht="15" hidden="false" customHeight="false" outlineLevel="0" collapsed="false">
      <c r="A494" s="14" t="s">
        <v>303</v>
      </c>
      <c r="B494" s="14" t="s">
        <v>197</v>
      </c>
      <c r="C494" s="14" t="s">
        <v>304</v>
      </c>
      <c r="D494" s="14" t="s">
        <v>436</v>
      </c>
      <c r="E494" s="15" t="n">
        <v>5</v>
      </c>
      <c r="F494" s="14" t="s">
        <v>819</v>
      </c>
      <c r="G494" s="8" t="n">
        <v>9</v>
      </c>
      <c r="H494" s="14" t="s">
        <v>1162</v>
      </c>
      <c r="I494" s="14" t="s">
        <v>961</v>
      </c>
      <c r="J494" s="14" t="s">
        <v>1090</v>
      </c>
      <c r="K494" s="8" t="n">
        <v>3</v>
      </c>
      <c r="L494" s="8" t="n">
        <v>85</v>
      </c>
      <c r="M494" s="8" t="n">
        <v>5</v>
      </c>
      <c r="N494" s="8" t="n">
        <v>14</v>
      </c>
      <c r="O494" s="8" t="n">
        <v>3</v>
      </c>
      <c r="P494" s="9" t="n">
        <v>7.09278677638299</v>
      </c>
      <c r="Q494" s="10" t="n">
        <v>0.140988307068489</v>
      </c>
      <c r="R494" s="9" t="n">
        <v>5.5</v>
      </c>
      <c r="S494" s="11" t="n">
        <f aca="false">IF(AND(ISNUMBER(R494),R494&gt;1,P494&gt;0),R494/P494-1,"")</f>
        <v>-0.224564311123313</v>
      </c>
      <c r="T494" s="9" t="n">
        <f aca="false">IF(AND(ISNUMBER(P494),P494&gt;0),P494*EXP('Read me'!$B$22),"")</f>
        <v>8.66314933171617</v>
      </c>
    </row>
    <row r="495" customFormat="false" ht="15" hidden="false" customHeight="false" outlineLevel="0" collapsed="false">
      <c r="A495" s="14" t="s">
        <v>303</v>
      </c>
      <c r="B495" s="14" t="s">
        <v>197</v>
      </c>
      <c r="C495" s="14" t="s">
        <v>304</v>
      </c>
      <c r="D495" s="14" t="s">
        <v>436</v>
      </c>
      <c r="E495" s="15" t="n">
        <v>5</v>
      </c>
      <c r="F495" s="14" t="s">
        <v>819</v>
      </c>
      <c r="G495" s="8" t="n">
        <v>9</v>
      </c>
      <c r="H495" s="14" t="s">
        <v>1163</v>
      </c>
      <c r="I495" s="14" t="s">
        <v>1164</v>
      </c>
      <c r="J495" s="14" t="s">
        <v>1165</v>
      </c>
      <c r="K495" s="8" t="n">
        <v>5</v>
      </c>
      <c r="L495" s="8" t="n">
        <v>84</v>
      </c>
      <c r="M495" s="8" t="n">
        <v>4</v>
      </c>
      <c r="N495" s="8" t="n">
        <v>63</v>
      </c>
      <c r="O495" s="8" t="n">
        <v>4</v>
      </c>
      <c r="P495" s="9" t="n">
        <v>8.21200662319696</v>
      </c>
      <c r="Q495" s="10" t="n">
        <v>0.12177291688675</v>
      </c>
      <c r="R495" s="9" t="n">
        <v>9.5</v>
      </c>
      <c r="S495" s="11" t="n">
        <f aca="false">IF(AND(ISNUMBER(R495),R495&gt;1,P495&gt;0),R495/P495-1,"")</f>
        <v>0.156842710424121</v>
      </c>
      <c r="T495" s="9" t="n">
        <f aca="false">IF(AND(ISNUMBER(P495),P495&gt;0),P495*EXP('Read me'!$B$22),"")</f>
        <v>10.0301675396023</v>
      </c>
    </row>
    <row r="496" customFormat="false" ht="15" hidden="false" customHeight="false" outlineLevel="0" collapsed="false">
      <c r="A496" s="14" t="s">
        <v>303</v>
      </c>
      <c r="B496" s="14" t="s">
        <v>197</v>
      </c>
      <c r="C496" s="14" t="s">
        <v>304</v>
      </c>
      <c r="D496" s="14" t="s">
        <v>436</v>
      </c>
      <c r="E496" s="15" t="n">
        <v>5</v>
      </c>
      <c r="F496" s="14" t="s">
        <v>819</v>
      </c>
      <c r="G496" s="8" t="n">
        <v>9</v>
      </c>
      <c r="H496" s="14" t="s">
        <v>1166</v>
      </c>
      <c r="I496" s="14" t="s">
        <v>278</v>
      </c>
      <c r="J496" s="14" t="s">
        <v>267</v>
      </c>
      <c r="K496" s="8" t="n">
        <v>2</v>
      </c>
      <c r="L496" s="8" t="n">
        <v>84</v>
      </c>
      <c r="M496" s="8" t="n">
        <v>6</v>
      </c>
      <c r="N496" s="8" t="n">
        <v>43</v>
      </c>
      <c r="O496" s="8" t="n">
        <v>5</v>
      </c>
      <c r="P496" s="9" t="n">
        <v>11.9614034645895</v>
      </c>
      <c r="Q496" s="10" t="n">
        <v>0.0836022297015895</v>
      </c>
      <c r="R496" s="9" t="n">
        <v>10</v>
      </c>
      <c r="S496" s="11" t="n">
        <f aca="false">IF(AND(ISNUMBER(R496),R496&gt;1,P496&gt;0),R496/P496-1,"")</f>
        <v>-0.163977702984104</v>
      </c>
      <c r="T496" s="9" t="n">
        <f aca="false">IF(AND(ISNUMBER(P496),P496&gt;0),P496*EXP('Read me'!$B$22),"")</f>
        <v>14.6096911831162</v>
      </c>
    </row>
    <row r="497" customFormat="false" ht="15" hidden="false" customHeight="false" outlineLevel="0" collapsed="false">
      <c r="A497" s="14" t="s">
        <v>303</v>
      </c>
      <c r="B497" s="14" t="s">
        <v>197</v>
      </c>
      <c r="C497" s="14" t="s">
        <v>304</v>
      </c>
      <c r="D497" s="14" t="s">
        <v>436</v>
      </c>
      <c r="E497" s="15" t="n">
        <v>5</v>
      </c>
      <c r="F497" s="14" t="s">
        <v>819</v>
      </c>
      <c r="G497" s="8" t="n">
        <v>9</v>
      </c>
      <c r="H497" s="14" t="s">
        <v>1167</v>
      </c>
      <c r="I497" s="14" t="s">
        <v>1168</v>
      </c>
      <c r="J497" s="14" t="s">
        <v>91</v>
      </c>
      <c r="K497" s="8" t="n">
        <v>7</v>
      </c>
      <c r="L497" s="8" t="n">
        <v>78</v>
      </c>
      <c r="M497" s="8" t="n">
        <v>3</v>
      </c>
      <c r="N497" s="8" t="n">
        <v>21</v>
      </c>
      <c r="O497" s="8" t="n">
        <v>6</v>
      </c>
      <c r="P497" s="9" t="n">
        <v>14.5927957717641</v>
      </c>
      <c r="Q497" s="10" t="n">
        <v>0.06852696465025</v>
      </c>
      <c r="R497" s="9" t="n">
        <v>26</v>
      </c>
      <c r="S497" s="11" t="n">
        <f aca="false">IF(AND(ISNUMBER(R497),R497&gt;1,P497&gt;0),R497/P497-1,"")</f>
        <v>0.781701080906502</v>
      </c>
      <c r="T497" s="9" t="n">
        <f aca="false">IF(AND(ISNUMBER(P497),P497&gt;0),P497*EXP('Read me'!$B$22),"")</f>
        <v>17.8236810049008</v>
      </c>
    </row>
    <row r="498" customFormat="false" ht="15" hidden="false" customHeight="false" outlineLevel="0" collapsed="false">
      <c r="A498" s="14" t="s">
        <v>303</v>
      </c>
      <c r="B498" s="14" t="s">
        <v>197</v>
      </c>
      <c r="C498" s="14" t="s">
        <v>304</v>
      </c>
      <c r="D498" s="14" t="s">
        <v>436</v>
      </c>
      <c r="E498" s="15" t="n">
        <v>5</v>
      </c>
      <c r="F498" s="14" t="s">
        <v>819</v>
      </c>
      <c r="G498" s="8" t="n">
        <v>9</v>
      </c>
      <c r="H498" s="14" t="s">
        <v>1169</v>
      </c>
      <c r="I498" s="14" t="s">
        <v>1170</v>
      </c>
      <c r="J498" s="14" t="s">
        <v>1090</v>
      </c>
      <c r="K498" s="8" t="n">
        <v>1</v>
      </c>
      <c r="L498" s="8" t="n">
        <v>84</v>
      </c>
      <c r="M498" s="8" t="n">
        <v>6</v>
      </c>
      <c r="N498" s="8" t="n">
        <v>14</v>
      </c>
      <c r="O498" s="8" t="n">
        <v>7</v>
      </c>
      <c r="P498" s="9" t="n">
        <v>20.591569350919</v>
      </c>
      <c r="Q498" s="10" t="n">
        <v>0.0485635641926132</v>
      </c>
      <c r="R498" s="9" t="n">
        <v>17</v>
      </c>
      <c r="S498" s="11" t="n">
        <f aca="false">IF(AND(ISNUMBER(R498),R498&gt;1,P498&gt;0),R498/P498-1,"")</f>
        <v>-0.174419408725575</v>
      </c>
      <c r="T498" s="9" t="n">
        <f aca="false">IF(AND(ISNUMBER(P498),P498&gt;0),P498*EXP('Read me'!$B$22),"")</f>
        <v>25.1505996000588</v>
      </c>
    </row>
    <row r="499" customFormat="false" ht="15" hidden="false" customHeight="false" outlineLevel="0" collapsed="false">
      <c r="A499" s="14" t="s">
        <v>303</v>
      </c>
      <c r="B499" s="14" t="s">
        <v>197</v>
      </c>
      <c r="C499" s="14" t="s">
        <v>304</v>
      </c>
      <c r="D499" s="14" t="s">
        <v>436</v>
      </c>
      <c r="E499" s="15" t="n">
        <v>5</v>
      </c>
      <c r="F499" s="14" t="s">
        <v>819</v>
      </c>
      <c r="G499" s="8" t="n">
        <v>9</v>
      </c>
      <c r="H499" s="14" t="s">
        <v>1171</v>
      </c>
      <c r="I499" s="14" t="s">
        <v>1172</v>
      </c>
      <c r="J499" s="14" t="s">
        <v>1173</v>
      </c>
      <c r="K499" s="8" t="n">
        <v>6</v>
      </c>
      <c r="L499" s="8" t="n">
        <v>79</v>
      </c>
      <c r="M499" s="8" t="n">
        <v>5</v>
      </c>
      <c r="N499" s="8" t="n">
        <v>20</v>
      </c>
      <c r="O499" s="8" t="n">
        <v>8</v>
      </c>
      <c r="P499" s="9" t="n">
        <v>28.8488729850463</v>
      </c>
      <c r="Q499" s="10" t="n">
        <v>0.0346633991739762</v>
      </c>
      <c r="R499" s="9" t="n">
        <v>29</v>
      </c>
      <c r="S499" s="11" t="n">
        <f aca="false">IF(AND(ISNUMBER(R499),R499&gt;1,P499&gt;0),R499/P499-1,"")</f>
        <v>0.00523857604531042</v>
      </c>
      <c r="T499" s="9" t="n">
        <f aca="false">IF(AND(ISNUMBER(P499),P499&gt;0),P499*EXP('Read me'!$B$22),"")</f>
        <v>35.236093033748</v>
      </c>
    </row>
    <row r="500" customFormat="false" ht="15" hidden="false" customHeight="false" outlineLevel="0" collapsed="false">
      <c r="A500" s="14" t="s">
        <v>303</v>
      </c>
      <c r="B500" s="14" t="s">
        <v>197</v>
      </c>
      <c r="C500" s="14" t="s">
        <v>304</v>
      </c>
      <c r="D500" s="14" t="s">
        <v>436</v>
      </c>
      <c r="E500" s="15" t="n">
        <v>5</v>
      </c>
      <c r="F500" s="14" t="s">
        <v>819</v>
      </c>
      <c r="G500" s="8" t="n">
        <v>9</v>
      </c>
      <c r="H500" s="14" t="s">
        <v>1174</v>
      </c>
      <c r="I500" s="14" t="s">
        <v>833</v>
      </c>
      <c r="J500" s="14" t="s">
        <v>453</v>
      </c>
      <c r="K500" s="8" t="n">
        <v>8</v>
      </c>
      <c r="L500" s="8" t="n">
        <v>87</v>
      </c>
      <c r="M500" s="8" t="n">
        <v>5</v>
      </c>
      <c r="N500" s="8" t="n">
        <v>31</v>
      </c>
      <c r="O500" s="8" t="n">
        <v>9</v>
      </c>
      <c r="P500" s="9" t="n">
        <v>36.0471421186613</v>
      </c>
      <c r="Q500" s="10" t="n">
        <v>0.027741450257226</v>
      </c>
      <c r="R500" s="9" t="n">
        <v>13</v>
      </c>
      <c r="S500" s="11" t="n">
        <f aca="false">IF(AND(ISNUMBER(R500),R500&gt;1,P500&gt;0),R500/P500-1,"")</f>
        <v>-0.639361146656062</v>
      </c>
      <c r="T500" s="9" t="n">
        <f aca="false">IF(AND(ISNUMBER(P500),P500&gt;0),P500*EXP('Read me'!$B$22),"")</f>
        <v>44.0280788075246</v>
      </c>
    </row>
    <row r="501" customFormat="false" ht="15" hidden="false" customHeight="false" outlineLevel="0" collapsed="false">
      <c r="A501" s="14" t="s">
        <v>309</v>
      </c>
      <c r="B501" s="14" t="s">
        <v>98</v>
      </c>
      <c r="C501" s="14" t="s">
        <v>310</v>
      </c>
      <c r="D501" s="14" t="s">
        <v>877</v>
      </c>
      <c r="E501" s="15" t="n">
        <v>24</v>
      </c>
      <c r="F501" s="14" t="s">
        <v>388</v>
      </c>
      <c r="G501" s="8" t="n">
        <v>10</v>
      </c>
      <c r="H501" s="14" t="s">
        <v>311</v>
      </c>
      <c r="I501" s="14" t="s">
        <v>218</v>
      </c>
      <c r="J501" s="14" t="s">
        <v>219</v>
      </c>
      <c r="K501" s="8" t="n">
        <v>5</v>
      </c>
      <c r="L501" s="8" t="n">
        <v>86</v>
      </c>
      <c r="M501" s="8" t="n">
        <v>8</v>
      </c>
      <c r="N501" s="8" t="n">
        <v>16</v>
      </c>
      <c r="O501" s="8" t="n">
        <v>1</v>
      </c>
      <c r="P501" s="9" t="n">
        <v>4.11203764040962</v>
      </c>
      <c r="Q501" s="10" t="n">
        <v>0.243188435381245</v>
      </c>
      <c r="R501" s="9" t="n">
        <v>4.5</v>
      </c>
      <c r="S501" s="11" t="n">
        <f aca="false">IF(AND(ISNUMBER(R501),R501&gt;1,P501&gt;0),R501/P501-1,"")</f>
        <v>0.0943479592156007</v>
      </c>
      <c r="T501" s="9" t="n">
        <f aca="false">IF(AND(ISNUMBER(P501),P501&gt;0),P501*EXP('Read me'!$B$22),"")</f>
        <v>5.02245411565475</v>
      </c>
    </row>
    <row r="502" customFormat="false" ht="15" hidden="false" customHeight="false" outlineLevel="0" collapsed="false">
      <c r="A502" s="14" t="s">
        <v>309</v>
      </c>
      <c r="B502" s="14" t="s">
        <v>98</v>
      </c>
      <c r="C502" s="14" t="s">
        <v>310</v>
      </c>
      <c r="D502" s="14" t="s">
        <v>877</v>
      </c>
      <c r="E502" s="15" t="n">
        <v>24</v>
      </c>
      <c r="F502" s="14" t="s">
        <v>388</v>
      </c>
      <c r="G502" s="8" t="n">
        <v>10</v>
      </c>
      <c r="H502" s="14" t="s">
        <v>312</v>
      </c>
      <c r="I502" s="14" t="s">
        <v>288</v>
      </c>
      <c r="J502" s="14" t="s">
        <v>289</v>
      </c>
      <c r="K502" s="8" t="n">
        <v>4</v>
      </c>
      <c r="L502" s="8" t="n">
        <v>89</v>
      </c>
      <c r="M502" s="8" t="n">
        <v>8</v>
      </c>
      <c r="N502" s="8" t="n">
        <v>35</v>
      </c>
      <c r="O502" s="8" t="n">
        <v>2</v>
      </c>
      <c r="P502" s="9" t="n">
        <v>6.24520924669666</v>
      </c>
      <c r="Q502" s="10" t="n">
        <v>0.160122737365276</v>
      </c>
      <c r="R502" s="9" t="n">
        <v>3.75</v>
      </c>
      <c r="S502" s="11" t="n">
        <f aca="false">IF(AND(ISNUMBER(R502),R502&gt;1,P502&gt;0),R502/P502-1,"")</f>
        <v>-0.399539734880217</v>
      </c>
      <c r="T502" s="9" t="n">
        <f aca="false">IF(AND(ISNUMBER(P502),P502&gt;0),P502*EXP('Read me'!$B$22),"")</f>
        <v>7.6279157992027</v>
      </c>
    </row>
    <row r="503" customFormat="false" ht="15" hidden="false" customHeight="false" outlineLevel="0" collapsed="false">
      <c r="A503" s="14" t="s">
        <v>309</v>
      </c>
      <c r="B503" s="14" t="s">
        <v>98</v>
      </c>
      <c r="C503" s="14" t="s">
        <v>310</v>
      </c>
      <c r="D503" s="14" t="s">
        <v>877</v>
      </c>
      <c r="E503" s="15" t="n">
        <v>24</v>
      </c>
      <c r="F503" s="14" t="s">
        <v>388</v>
      </c>
      <c r="G503" s="8" t="n">
        <v>10</v>
      </c>
      <c r="H503" s="14" t="s">
        <v>1175</v>
      </c>
      <c r="I503" s="14" t="s">
        <v>1127</v>
      </c>
      <c r="J503" s="14" t="s">
        <v>447</v>
      </c>
      <c r="K503" s="8" t="n">
        <v>1</v>
      </c>
      <c r="L503" s="8" t="n">
        <v>98</v>
      </c>
      <c r="M503" s="8" t="n">
        <v>7</v>
      </c>
      <c r="N503" s="8" t="n">
        <v>42</v>
      </c>
      <c r="O503" s="8" t="n">
        <v>3</v>
      </c>
      <c r="P503" s="9" t="n">
        <v>7.62257647701657</v>
      </c>
      <c r="Q503" s="10" t="n">
        <v>0.131189238050307</v>
      </c>
      <c r="R503" s="9" t="n">
        <v>5</v>
      </c>
      <c r="S503" s="11" t="n">
        <f aca="false">IF(AND(ISNUMBER(R503),R503&gt;1,P503&gt;0),R503/P503-1,"")</f>
        <v>-0.344053809748463</v>
      </c>
      <c r="T503" s="9" t="n">
        <f aca="false">IF(AND(ISNUMBER(P503),P503&gt;0),P503*EXP('Read me'!$B$22),"")</f>
        <v>9.31023593331487</v>
      </c>
    </row>
    <row r="504" customFormat="false" ht="15" hidden="false" customHeight="false" outlineLevel="0" collapsed="false">
      <c r="A504" s="14" t="s">
        <v>309</v>
      </c>
      <c r="B504" s="14" t="s">
        <v>98</v>
      </c>
      <c r="C504" s="14" t="s">
        <v>310</v>
      </c>
      <c r="D504" s="14" t="s">
        <v>877</v>
      </c>
      <c r="E504" s="15" t="n">
        <v>24</v>
      </c>
      <c r="F504" s="14" t="s">
        <v>388</v>
      </c>
      <c r="G504" s="8" t="n">
        <v>10</v>
      </c>
      <c r="H504" s="14" t="s">
        <v>1176</v>
      </c>
      <c r="I504" s="14" t="s">
        <v>1177</v>
      </c>
      <c r="J504" s="14" t="s">
        <v>530</v>
      </c>
      <c r="K504" s="8" t="n">
        <v>3</v>
      </c>
      <c r="L504" s="8" t="n">
        <v>90</v>
      </c>
      <c r="M504" s="8" t="n">
        <v>7</v>
      </c>
      <c r="N504" s="8" t="n">
        <v>68</v>
      </c>
      <c r="O504" s="8" t="n">
        <v>4</v>
      </c>
      <c r="P504" s="9" t="n">
        <v>9.20843287686631</v>
      </c>
      <c r="Q504" s="10" t="n">
        <v>0.108596111126816</v>
      </c>
      <c r="R504" s="9" t="n">
        <v>8.5</v>
      </c>
      <c r="S504" s="11" t="n">
        <f aca="false">IF(AND(ISNUMBER(R504),R504&gt;1,P504&gt;0),R504/P504-1,"")</f>
        <v>-0.0769330554220634</v>
      </c>
      <c r="T504" s="9" t="n">
        <f aca="false">IF(AND(ISNUMBER(P504),P504&gt;0),P504*EXP('Read me'!$B$22),"")</f>
        <v>11.2472053141373</v>
      </c>
    </row>
    <row r="505" customFormat="false" ht="15" hidden="false" customHeight="false" outlineLevel="0" collapsed="false">
      <c r="A505" s="14" t="s">
        <v>309</v>
      </c>
      <c r="B505" s="14" t="s">
        <v>98</v>
      </c>
      <c r="C505" s="14" t="s">
        <v>310</v>
      </c>
      <c r="D505" s="14" t="s">
        <v>877</v>
      </c>
      <c r="E505" s="15" t="n">
        <v>24</v>
      </c>
      <c r="F505" s="14" t="s">
        <v>388</v>
      </c>
      <c r="G505" s="8" t="n">
        <v>10</v>
      </c>
      <c r="H505" s="14" t="s">
        <v>1178</v>
      </c>
      <c r="I505" s="14" t="s">
        <v>1017</v>
      </c>
      <c r="J505" s="14" t="s">
        <v>655</v>
      </c>
      <c r="K505" s="8" t="n">
        <v>6</v>
      </c>
      <c r="L505" s="8" t="n">
        <v>83</v>
      </c>
      <c r="M505" s="8" t="n">
        <v>6</v>
      </c>
      <c r="N505" s="8" t="n">
        <v>18</v>
      </c>
      <c r="O505" s="8" t="n">
        <v>5</v>
      </c>
      <c r="P505" s="9" t="n">
        <v>9.21986719889317</v>
      </c>
      <c r="Q505" s="10" t="n">
        <v>0.108461432082237</v>
      </c>
      <c r="R505" s="9" t="n">
        <v>9.5</v>
      </c>
      <c r="S505" s="11" t="n">
        <f aca="false">IF(AND(ISNUMBER(R505),R505&gt;1,P505&gt;0),R505/P505-1,"")</f>
        <v>0.0303836047812553</v>
      </c>
      <c r="T505" s="9" t="n">
        <f aca="false">IF(AND(ISNUMBER(P505),P505&gt;0),P505*EXP('Read me'!$B$22),"")</f>
        <v>11.2611712265986</v>
      </c>
    </row>
    <row r="506" customFormat="false" ht="15" hidden="false" customHeight="false" outlineLevel="0" collapsed="false">
      <c r="A506" s="14" t="s">
        <v>309</v>
      </c>
      <c r="B506" s="14" t="s">
        <v>98</v>
      </c>
      <c r="C506" s="14" t="s">
        <v>310</v>
      </c>
      <c r="D506" s="14" t="s">
        <v>877</v>
      </c>
      <c r="E506" s="15" t="n">
        <v>24</v>
      </c>
      <c r="F506" s="14" t="s">
        <v>388</v>
      </c>
      <c r="G506" s="8" t="n">
        <v>10</v>
      </c>
      <c r="H506" s="14" t="s">
        <v>1179</v>
      </c>
      <c r="I506" s="14" t="s">
        <v>1020</v>
      </c>
      <c r="J506" s="14" t="s">
        <v>888</v>
      </c>
      <c r="K506" s="8" t="n">
        <v>2</v>
      </c>
      <c r="L506" s="8" t="n">
        <v>93</v>
      </c>
      <c r="M506" s="8" t="n">
        <v>7</v>
      </c>
      <c r="N506" s="8" t="n">
        <v>22</v>
      </c>
      <c r="O506" s="8" t="n">
        <v>6</v>
      </c>
      <c r="P506" s="9" t="n">
        <v>10.4600021093164</v>
      </c>
      <c r="Q506" s="10" t="n">
        <v>0.0956022751763435</v>
      </c>
      <c r="R506" s="9" t="n">
        <v>7.5</v>
      </c>
      <c r="S506" s="11" t="n">
        <f aca="false">IF(AND(ISNUMBER(R506),R506&gt;1,P506&gt;0),R506/P506-1,"")</f>
        <v>-0.282982936177423</v>
      </c>
      <c r="T506" s="9" t="n">
        <f aca="false">IF(AND(ISNUMBER(P506),P506&gt;0),P506*EXP('Read me'!$B$22),"")</f>
        <v>12.7758754266802</v>
      </c>
    </row>
    <row r="507" customFormat="false" ht="15" hidden="false" customHeight="false" outlineLevel="0" collapsed="false">
      <c r="A507" s="14" t="s">
        <v>309</v>
      </c>
      <c r="B507" s="14" t="s">
        <v>98</v>
      </c>
      <c r="C507" s="14" t="s">
        <v>310</v>
      </c>
      <c r="D507" s="14" t="s">
        <v>877</v>
      </c>
      <c r="E507" s="15" t="n">
        <v>24</v>
      </c>
      <c r="F507" s="14" t="s">
        <v>388</v>
      </c>
      <c r="G507" s="8" t="n">
        <v>10</v>
      </c>
      <c r="H507" s="14" t="s">
        <v>1180</v>
      </c>
      <c r="I507" s="14" t="s">
        <v>1181</v>
      </c>
      <c r="J507" s="14" t="s">
        <v>1182</v>
      </c>
      <c r="K507" s="8" t="n">
        <v>8</v>
      </c>
      <c r="L507" s="8" t="n">
        <v>74</v>
      </c>
      <c r="M507" s="8" t="n">
        <v>5</v>
      </c>
      <c r="N507" s="8" t="n">
        <v>16</v>
      </c>
      <c r="O507" s="8" t="n">
        <v>7</v>
      </c>
      <c r="P507" s="9" t="n">
        <v>11.3147868978667</v>
      </c>
      <c r="Q507" s="10" t="n">
        <v>0.0883799234600292</v>
      </c>
      <c r="R507" s="9" t="n">
        <v>13</v>
      </c>
      <c r="S507" s="11" t="n">
        <f aca="false">IF(AND(ISNUMBER(R507),R507&gt;1,P507&gt;0),R507/P507-1,"")</f>
        <v>0.14893900498038</v>
      </c>
      <c r="T507" s="9" t="n">
        <f aca="false">IF(AND(ISNUMBER(P507),P507&gt;0),P507*EXP('Read me'!$B$22),"")</f>
        <v>13.8199119250489</v>
      </c>
    </row>
    <row r="508" customFormat="false" ht="15" hidden="false" customHeight="false" outlineLevel="0" collapsed="false">
      <c r="A508" s="14" t="s">
        <v>309</v>
      </c>
      <c r="B508" s="14" t="s">
        <v>98</v>
      </c>
      <c r="C508" s="14" t="s">
        <v>310</v>
      </c>
      <c r="D508" s="14" t="s">
        <v>877</v>
      </c>
      <c r="E508" s="15" t="n">
        <v>24</v>
      </c>
      <c r="F508" s="14" t="s">
        <v>388</v>
      </c>
      <c r="G508" s="8" t="n">
        <v>10</v>
      </c>
      <c r="H508" s="14" t="s">
        <v>1183</v>
      </c>
      <c r="I508" s="14" t="s">
        <v>648</v>
      </c>
      <c r="J508" s="14" t="s">
        <v>1184</v>
      </c>
      <c r="K508" s="8" t="n">
        <v>7</v>
      </c>
      <c r="L508" s="8" t="n">
        <v>74</v>
      </c>
      <c r="M508" s="8" t="n">
        <v>7</v>
      </c>
      <c r="N508" s="8" t="n">
        <v>284</v>
      </c>
      <c r="O508" s="8" t="n">
        <v>8</v>
      </c>
      <c r="P508" s="9" t="n">
        <v>23.5768888239454</v>
      </c>
      <c r="Q508" s="10" t="n">
        <v>0.0424144172484866</v>
      </c>
      <c r="R508" s="9" t="n">
        <v>26</v>
      </c>
      <c r="S508" s="11" t="n">
        <f aca="false">IF(AND(ISNUMBER(R508),R508&gt;1,P508&gt;0),R508/P508-1,"")</f>
        <v>0.102774848460653</v>
      </c>
      <c r="T508" s="9" t="n">
        <f aca="false">IF(AND(ISNUMBER(P508),P508&gt;0),P508*EXP('Read me'!$B$22),"")</f>
        <v>28.7968770384025</v>
      </c>
    </row>
    <row r="509" customFormat="false" ht="15" hidden="false" customHeight="false" outlineLevel="0" collapsed="false">
      <c r="A509" s="14" t="s">
        <v>309</v>
      </c>
      <c r="B509" s="14" t="s">
        <v>98</v>
      </c>
      <c r="C509" s="14" t="s">
        <v>310</v>
      </c>
      <c r="D509" s="14" t="s">
        <v>877</v>
      </c>
      <c r="E509" s="15" t="n">
        <v>24</v>
      </c>
      <c r="F509" s="14" t="s">
        <v>388</v>
      </c>
      <c r="G509" s="8" t="n">
        <v>10</v>
      </c>
      <c r="H509" s="14" t="s">
        <v>1185</v>
      </c>
      <c r="I509" s="14" t="s">
        <v>890</v>
      </c>
      <c r="J509" s="14" t="s">
        <v>891</v>
      </c>
      <c r="K509" s="8" t="n">
        <v>9</v>
      </c>
      <c r="L509" s="8" t="n">
        <v>72</v>
      </c>
      <c r="M509" s="8" t="n">
        <v>8</v>
      </c>
      <c r="N509" s="8" t="n">
        <v>62</v>
      </c>
      <c r="O509" s="8" t="n">
        <v>9</v>
      </c>
      <c r="P509" s="9" t="n">
        <v>51.2932755323891</v>
      </c>
      <c r="Q509" s="10" t="n">
        <v>0.0194957329127587</v>
      </c>
      <c r="R509" s="9" t="n">
        <v>51</v>
      </c>
      <c r="S509" s="11" t="n">
        <f aca="false">IF(AND(ISNUMBER(R509),R509&gt;1,P509&gt;0),R509/P509-1,"")</f>
        <v>-0.00571762144930565</v>
      </c>
      <c r="T509" s="9" t="n">
        <f aca="false">IF(AND(ISNUMBER(P509),P509&gt;0),P509*EXP('Read me'!$B$22),"")</f>
        <v>62.6497482103296</v>
      </c>
    </row>
    <row r="510" customFormat="false" ht="15" hidden="false" customHeight="false" outlineLevel="0" collapsed="false">
      <c r="A510" s="14" t="s">
        <v>309</v>
      </c>
      <c r="B510" s="14" t="s">
        <v>98</v>
      </c>
      <c r="C510" s="14" t="s">
        <v>310</v>
      </c>
      <c r="D510" s="14" t="s">
        <v>877</v>
      </c>
      <c r="E510" s="15" t="n">
        <v>24</v>
      </c>
      <c r="F510" s="14" t="s">
        <v>388</v>
      </c>
      <c r="G510" s="8" t="n">
        <v>10</v>
      </c>
      <c r="H510" s="14" t="s">
        <v>1186</v>
      </c>
      <c r="I510" s="14" t="s">
        <v>895</v>
      </c>
      <c r="J510" s="14" t="s">
        <v>896</v>
      </c>
      <c r="K510" s="8" t="n">
        <v>10</v>
      </c>
      <c r="L510" s="8" t="n">
        <v>72</v>
      </c>
      <c r="M510" s="8" t="n">
        <v>5</v>
      </c>
      <c r="N510" s="8" t="n">
        <v>28</v>
      </c>
      <c r="O510" s="8" t="n">
        <v>10</v>
      </c>
      <c r="P510" s="9" t="n">
        <v>392.203435518718</v>
      </c>
      <c r="Q510" s="10" t="n">
        <v>0.0025496971965006</v>
      </c>
      <c r="R510" s="9" t="n">
        <v>67</v>
      </c>
      <c r="S510" s="11" t="n">
        <f aca="false">IF(AND(ISNUMBER(R510),R510&gt;1,P510&gt;0),R510/P510-1,"")</f>
        <v>-0.829170287834456</v>
      </c>
      <c r="T510" s="9" t="n">
        <f aca="false">IF(AND(ISNUMBER(P510),P510&gt;0),P510*EXP('Read me'!$B$22),"")</f>
        <v>479.038357902456</v>
      </c>
    </row>
    <row r="511" customFormat="false" ht="15" hidden="false" customHeight="false" outlineLevel="0" collapsed="false">
      <c r="A511" s="14" t="s">
        <v>313</v>
      </c>
      <c r="B511" s="14" t="s">
        <v>117</v>
      </c>
      <c r="C511" s="14" t="s">
        <v>314</v>
      </c>
      <c r="D511" s="14"/>
      <c r="E511" s="15" t="n">
        <v>16</v>
      </c>
      <c r="F511" s="14" t="s">
        <v>388</v>
      </c>
      <c r="G511" s="8" t="n">
        <v>6</v>
      </c>
      <c r="H511" s="14" t="s">
        <v>315</v>
      </c>
      <c r="I511" s="14" t="s">
        <v>316</v>
      </c>
      <c r="J511" s="14" t="s">
        <v>317</v>
      </c>
      <c r="K511" s="8" t="n">
        <v>3</v>
      </c>
      <c r="L511" s="8" t="n">
        <v>0</v>
      </c>
      <c r="M511" s="8" t="n">
        <v>4</v>
      </c>
      <c r="N511" s="8" t="n">
        <v>15</v>
      </c>
      <c r="O511" s="8" t="n">
        <v>1</v>
      </c>
      <c r="P511" s="9" t="n">
        <v>1.64822357562607</v>
      </c>
      <c r="Q511" s="10" t="n">
        <v>0.606713806784469</v>
      </c>
      <c r="R511" s="9" t="n">
        <v>1.57142857142857</v>
      </c>
      <c r="S511" s="11" t="n">
        <f aca="false">IF(AND(ISNUMBER(R511),R511&gt;1,P511&gt;0),R511/P511-1,"")</f>
        <v>-0.0465925893386922</v>
      </c>
      <c r="T511" s="9" t="n">
        <f aca="false">IF(AND(ISNUMBER(P511),P511&gt;0),P511*EXP('Read me'!$B$22),"")</f>
        <v>2.0131448213343</v>
      </c>
    </row>
    <row r="512" customFormat="false" ht="15" hidden="false" customHeight="false" outlineLevel="0" collapsed="false">
      <c r="A512" s="14" t="s">
        <v>313</v>
      </c>
      <c r="B512" s="14" t="s">
        <v>117</v>
      </c>
      <c r="C512" s="14" t="s">
        <v>314</v>
      </c>
      <c r="D512" s="14"/>
      <c r="E512" s="15" t="n">
        <v>16</v>
      </c>
      <c r="F512" s="14" t="s">
        <v>388</v>
      </c>
      <c r="G512" s="8" t="n">
        <v>6</v>
      </c>
      <c r="H512" s="14" t="s">
        <v>318</v>
      </c>
      <c r="I512" s="14" t="s">
        <v>1187</v>
      </c>
      <c r="J512" s="14" t="s">
        <v>1047</v>
      </c>
      <c r="K512" s="8" t="n">
        <v>2</v>
      </c>
      <c r="L512" s="8" t="n">
        <v>0</v>
      </c>
      <c r="M512" s="8" t="n">
        <v>4</v>
      </c>
      <c r="N512" s="8" t="n">
        <v>42</v>
      </c>
      <c r="O512" s="8" t="n">
        <v>2</v>
      </c>
      <c r="P512" s="9" t="n">
        <v>4.43808915537955</v>
      </c>
      <c r="Q512" s="10" t="n">
        <v>0.225322197231632</v>
      </c>
      <c r="R512" s="9" t="n">
        <v>2.875</v>
      </c>
      <c r="S512" s="11" t="n">
        <f aca="false">IF(AND(ISNUMBER(R512),R512&gt;1,P512&gt;0),R512/P512-1,"")</f>
        <v>-0.352198682959057</v>
      </c>
      <c r="T512" s="9" t="n">
        <f aca="false">IF(AND(ISNUMBER(P512),P512&gt;0),P512*EXP('Read me'!$B$22),"")</f>
        <v>5.42069433534133</v>
      </c>
    </row>
    <row r="513" customFormat="false" ht="15" hidden="false" customHeight="false" outlineLevel="0" collapsed="false">
      <c r="A513" s="14" t="s">
        <v>313</v>
      </c>
      <c r="B513" s="14" t="s">
        <v>117</v>
      </c>
      <c r="C513" s="14" t="s">
        <v>314</v>
      </c>
      <c r="D513" s="14"/>
      <c r="E513" s="15" t="n">
        <v>16</v>
      </c>
      <c r="F513" s="14" t="s">
        <v>388</v>
      </c>
      <c r="G513" s="8" t="n">
        <v>6</v>
      </c>
      <c r="H513" s="14" t="s">
        <v>1188</v>
      </c>
      <c r="I513" s="14" t="s">
        <v>224</v>
      </c>
      <c r="J513" s="14" t="s">
        <v>1189</v>
      </c>
      <c r="K513" s="8" t="n">
        <v>4</v>
      </c>
      <c r="L513" s="8" t="n">
        <v>0</v>
      </c>
      <c r="M513" s="8" t="n">
        <v>5</v>
      </c>
      <c r="N513" s="8" t="n">
        <v>65</v>
      </c>
      <c r="O513" s="8" t="n">
        <v>3</v>
      </c>
      <c r="P513" s="9" t="n">
        <v>7.21121767991177</v>
      </c>
      <c r="Q513" s="10" t="n">
        <v>0.138672835072736</v>
      </c>
      <c r="R513" s="9" t="n">
        <v>15</v>
      </c>
      <c r="S513" s="11" t="n">
        <f aca="false">IF(AND(ISNUMBER(R513),R513&gt;1,P513&gt;0),R513/P513-1,"")</f>
        <v>1.08009252609103</v>
      </c>
      <c r="T513" s="9" t="n">
        <f aca="false">IF(AND(ISNUMBER(P513),P513&gt;0),P513*EXP('Read me'!$B$22),"")</f>
        <v>8.80780116393762</v>
      </c>
    </row>
    <row r="514" customFormat="false" ht="15" hidden="false" customHeight="false" outlineLevel="0" collapsed="false">
      <c r="A514" s="14" t="s">
        <v>313</v>
      </c>
      <c r="B514" s="14" t="s">
        <v>117</v>
      </c>
      <c r="C514" s="14" t="s">
        <v>314</v>
      </c>
      <c r="D514" s="14"/>
      <c r="E514" s="15" t="n">
        <v>16</v>
      </c>
      <c r="F514" s="14" t="s">
        <v>388</v>
      </c>
      <c r="G514" s="8" t="n">
        <v>6</v>
      </c>
      <c r="H514" s="14" t="s">
        <v>1190</v>
      </c>
      <c r="I514" s="14" t="s">
        <v>1191</v>
      </c>
      <c r="J514" s="14" t="s">
        <v>1192</v>
      </c>
      <c r="K514" s="8" t="n">
        <v>5</v>
      </c>
      <c r="L514" s="8" t="n">
        <v>0</v>
      </c>
      <c r="M514" s="8" t="n">
        <v>6</v>
      </c>
      <c r="N514" s="8"/>
      <c r="O514" s="8" t="n">
        <v>4</v>
      </c>
      <c r="P514" s="9" t="n">
        <v>52.8448757884378</v>
      </c>
      <c r="Q514" s="10" t="n">
        <v>0.0189233106347615</v>
      </c>
      <c r="R514" s="9" t="n">
        <v>26</v>
      </c>
      <c r="S514" s="11" t="n">
        <f aca="false">IF(AND(ISNUMBER(R514),R514&gt;1,P514&gt;0),R514/P514-1,"")</f>
        <v>-0.507993923496199</v>
      </c>
      <c r="T514" s="9" t="n">
        <f aca="false">IF(AND(ISNUMBER(P514),P514&gt;0),P514*EXP('Read me'!$B$22),"")</f>
        <v>64.5448770426295</v>
      </c>
    </row>
    <row r="515" customFormat="false" ht="15" hidden="false" customHeight="false" outlineLevel="0" collapsed="false">
      <c r="A515" s="14" t="s">
        <v>313</v>
      </c>
      <c r="B515" s="14" t="s">
        <v>117</v>
      </c>
      <c r="C515" s="14" t="s">
        <v>314</v>
      </c>
      <c r="D515" s="14"/>
      <c r="E515" s="15" t="n">
        <v>16</v>
      </c>
      <c r="F515" s="14" t="s">
        <v>388</v>
      </c>
      <c r="G515" s="8" t="n">
        <v>6</v>
      </c>
      <c r="H515" s="14" t="s">
        <v>1193</v>
      </c>
      <c r="I515" s="14" t="s">
        <v>1194</v>
      </c>
      <c r="J515" s="14" t="s">
        <v>1195</v>
      </c>
      <c r="K515" s="8" t="n">
        <v>6</v>
      </c>
      <c r="L515" s="8" t="n">
        <v>0</v>
      </c>
      <c r="M515" s="8" t="n">
        <v>4</v>
      </c>
      <c r="N515" s="8"/>
      <c r="O515" s="8" t="n">
        <v>5</v>
      </c>
      <c r="P515" s="9" t="n">
        <v>177.451824888959</v>
      </c>
      <c r="Q515" s="10" t="n">
        <v>0.0056353322972347</v>
      </c>
      <c r="R515" s="9" t="n">
        <v>41</v>
      </c>
      <c r="S515" s="11" t="n">
        <f aca="false">IF(AND(ISNUMBER(R515),R515&gt;1,P515&gt;0),R515/P515-1,"")</f>
        <v>-0.768951375813374</v>
      </c>
      <c r="T515" s="9" t="n">
        <f aca="false">IF(AND(ISNUMBER(P515),P515&gt;0),P515*EXP('Read me'!$B$22),"")</f>
        <v>216.740148359929</v>
      </c>
    </row>
    <row r="516" customFormat="false" ht="15" hidden="false" customHeight="false" outlineLevel="0" collapsed="false">
      <c r="A516" s="14" t="s">
        <v>313</v>
      </c>
      <c r="B516" s="14" t="s">
        <v>117</v>
      </c>
      <c r="C516" s="14" t="s">
        <v>314</v>
      </c>
      <c r="D516" s="14"/>
      <c r="E516" s="15" t="n">
        <v>16</v>
      </c>
      <c r="F516" s="14" t="s">
        <v>388</v>
      </c>
      <c r="G516" s="8" t="n">
        <v>6</v>
      </c>
      <c r="H516" s="14" t="s">
        <v>1196</v>
      </c>
      <c r="I516" s="14" t="s">
        <v>1197</v>
      </c>
      <c r="J516" s="14" t="s">
        <v>1198</v>
      </c>
      <c r="K516" s="8" t="n">
        <v>7</v>
      </c>
      <c r="L516" s="8" t="n">
        <v>0</v>
      </c>
      <c r="M516" s="8" t="n">
        <v>4</v>
      </c>
      <c r="N516" s="8" t="n">
        <v>72</v>
      </c>
      <c r="O516" s="8" t="n">
        <v>6</v>
      </c>
      <c r="P516" s="9" t="n">
        <v>211.304004422614</v>
      </c>
      <c r="Q516" s="10" t="n">
        <v>0.0047325179791669</v>
      </c>
      <c r="R516" s="9" t="n">
        <v>41</v>
      </c>
      <c r="S516" s="11" t="n">
        <f aca="false">IF(AND(ISNUMBER(R516),R516&gt;1,P516&gt;0),R516/P516-1,"")</f>
        <v>-0.805966762854154</v>
      </c>
      <c r="T516" s="9" t="n">
        <f aca="false">IF(AND(ISNUMBER(P516),P516&gt;0),P516*EXP('Read me'!$B$22),"")</f>
        <v>258.08729381207</v>
      </c>
    </row>
    <row r="517" customFormat="false" ht="15" hidden="false" customHeight="false" outlineLevel="0" collapsed="false">
      <c r="A517" s="14" t="s">
        <v>319</v>
      </c>
      <c r="B517" s="14" t="s">
        <v>197</v>
      </c>
      <c r="C517" s="14" t="s">
        <v>320</v>
      </c>
      <c r="D517" s="14" t="s">
        <v>877</v>
      </c>
      <c r="E517" s="15" t="n">
        <v>12</v>
      </c>
      <c r="F517" s="14" t="s">
        <v>819</v>
      </c>
      <c r="G517" s="8" t="n">
        <v>8</v>
      </c>
      <c r="H517" s="14" t="s">
        <v>321</v>
      </c>
      <c r="I517" s="14" t="s">
        <v>306</v>
      </c>
      <c r="J517" s="14" t="s">
        <v>307</v>
      </c>
      <c r="K517" s="8" t="n">
        <v>7</v>
      </c>
      <c r="L517" s="8" t="n">
        <v>75</v>
      </c>
      <c r="M517" s="8" t="n">
        <v>3</v>
      </c>
      <c r="N517" s="8" t="n">
        <v>24</v>
      </c>
      <c r="O517" s="8" t="n">
        <v>1</v>
      </c>
      <c r="P517" s="9" t="n">
        <v>3.3880756452045</v>
      </c>
      <c r="Q517" s="10" t="n">
        <v>0.295152796076264</v>
      </c>
      <c r="R517" s="9" t="n">
        <v>3.5</v>
      </c>
      <c r="S517" s="11" t="n">
        <f aca="false">IF(AND(ISNUMBER(R517),R517&gt;1,P517&gt;0),R517/P517-1,"")</f>
        <v>0.0330347862669242</v>
      </c>
      <c r="T517" s="9" t="n">
        <f aca="false">IF(AND(ISNUMBER(P517),P517&gt;0),P517*EXP('Read me'!$B$22),"")</f>
        <v>4.13820493790807</v>
      </c>
    </row>
    <row r="518" customFormat="false" ht="15" hidden="false" customHeight="false" outlineLevel="0" collapsed="false">
      <c r="A518" s="14" t="s">
        <v>319</v>
      </c>
      <c r="B518" s="14" t="s">
        <v>197</v>
      </c>
      <c r="C518" s="14" t="s">
        <v>320</v>
      </c>
      <c r="D518" s="14" t="s">
        <v>877</v>
      </c>
      <c r="E518" s="15" t="n">
        <v>12</v>
      </c>
      <c r="F518" s="14" t="s">
        <v>819</v>
      </c>
      <c r="G518" s="8" t="n">
        <v>8</v>
      </c>
      <c r="H518" s="14" t="s">
        <v>322</v>
      </c>
      <c r="I518" s="14" t="s">
        <v>343</v>
      </c>
      <c r="J518" s="14" t="s">
        <v>344</v>
      </c>
      <c r="K518" s="8" t="n">
        <v>5</v>
      </c>
      <c r="L518" s="8" t="n">
        <v>75</v>
      </c>
      <c r="M518" s="8" t="n">
        <v>4</v>
      </c>
      <c r="N518" s="8" t="n">
        <v>16</v>
      </c>
      <c r="O518" s="8" t="n">
        <v>2</v>
      </c>
      <c r="P518" s="9" t="n">
        <v>4.29981569424984</v>
      </c>
      <c r="Q518" s="10" t="n">
        <v>0.232568107823157</v>
      </c>
      <c r="R518" s="9" t="n">
        <v>3.5</v>
      </c>
      <c r="S518" s="11" t="n">
        <f aca="false">IF(AND(ISNUMBER(R518),R518&gt;1,P518&gt;0),R518/P518-1,"")</f>
        <v>-0.18601162261895</v>
      </c>
      <c r="T518" s="9" t="n">
        <f aca="false">IF(AND(ISNUMBER(P518),P518&gt;0),P518*EXP('Read me'!$B$22),"")</f>
        <v>5.25180674853714</v>
      </c>
    </row>
    <row r="519" customFormat="false" ht="15" hidden="false" customHeight="false" outlineLevel="0" collapsed="false">
      <c r="A519" s="14" t="s">
        <v>319</v>
      </c>
      <c r="B519" s="14" t="s">
        <v>197</v>
      </c>
      <c r="C519" s="14" t="s">
        <v>320</v>
      </c>
      <c r="D519" s="14" t="s">
        <v>877</v>
      </c>
      <c r="E519" s="15" t="n">
        <v>12</v>
      </c>
      <c r="F519" s="14" t="s">
        <v>819</v>
      </c>
      <c r="G519" s="8" t="n">
        <v>8</v>
      </c>
      <c r="H519" s="14" t="s">
        <v>1199</v>
      </c>
      <c r="I519" s="14" t="s">
        <v>1170</v>
      </c>
      <c r="J519" s="14" t="s">
        <v>230</v>
      </c>
      <c r="K519" s="8" t="n">
        <v>1</v>
      </c>
      <c r="L519" s="8" t="n">
        <v>73</v>
      </c>
      <c r="M519" s="8" t="n">
        <v>3</v>
      </c>
      <c r="N519" s="8" t="n">
        <v>23</v>
      </c>
      <c r="O519" s="8" t="n">
        <v>3</v>
      </c>
      <c r="P519" s="9" t="n">
        <v>6.09960181189157</v>
      </c>
      <c r="Q519" s="10" t="n">
        <v>0.163945128032855</v>
      </c>
      <c r="R519" s="9" t="n">
        <v>6</v>
      </c>
      <c r="S519" s="11" t="n">
        <f aca="false">IF(AND(ISNUMBER(R519),R519&gt;1,P519&gt;0),R519/P519-1,"")</f>
        <v>-0.0163292318028681</v>
      </c>
      <c r="T519" s="9" t="n">
        <f aca="false">IF(AND(ISNUMBER(P519),P519&gt;0),P519*EXP('Read me'!$B$22),"")</f>
        <v>7.45007047672314</v>
      </c>
    </row>
    <row r="520" customFormat="false" ht="15" hidden="false" customHeight="false" outlineLevel="0" collapsed="false">
      <c r="A520" s="14" t="s">
        <v>319</v>
      </c>
      <c r="B520" s="14" t="s">
        <v>197</v>
      </c>
      <c r="C520" s="14" t="s">
        <v>320</v>
      </c>
      <c r="D520" s="14" t="s">
        <v>877</v>
      </c>
      <c r="E520" s="15" t="n">
        <v>12</v>
      </c>
      <c r="F520" s="14" t="s">
        <v>819</v>
      </c>
      <c r="G520" s="8" t="n">
        <v>8</v>
      </c>
      <c r="H520" s="14" t="s">
        <v>1200</v>
      </c>
      <c r="I520" s="14" t="s">
        <v>200</v>
      </c>
      <c r="J520" s="14" t="s">
        <v>674</v>
      </c>
      <c r="K520" s="8" t="n">
        <v>4</v>
      </c>
      <c r="L520" s="8" t="n">
        <v>73</v>
      </c>
      <c r="M520" s="8" t="n">
        <v>4</v>
      </c>
      <c r="N520" s="8" t="n">
        <v>23</v>
      </c>
      <c r="O520" s="8" t="n">
        <v>4</v>
      </c>
      <c r="P520" s="9" t="n">
        <v>7.03193947800192</v>
      </c>
      <c r="Q520" s="10" t="n">
        <v>0.142208277407436</v>
      </c>
      <c r="R520" s="9" t="n">
        <v>6</v>
      </c>
      <c r="S520" s="11" t="n">
        <f aca="false">IF(AND(ISNUMBER(R520),R520&gt;1,P520&gt;0),R520/P520-1,"")</f>
        <v>-0.146750335555382</v>
      </c>
      <c r="T520" s="9" t="n">
        <f aca="false">IF(AND(ISNUMBER(P520),P520&gt;0),P520*EXP('Read me'!$B$22),"")</f>
        <v>8.58883027364693</v>
      </c>
    </row>
    <row r="521" customFormat="false" ht="15" hidden="false" customHeight="false" outlineLevel="0" collapsed="false">
      <c r="A521" s="14" t="s">
        <v>319</v>
      </c>
      <c r="B521" s="14" t="s">
        <v>197</v>
      </c>
      <c r="C521" s="14" t="s">
        <v>320</v>
      </c>
      <c r="D521" s="14" t="s">
        <v>877</v>
      </c>
      <c r="E521" s="15" t="n">
        <v>12</v>
      </c>
      <c r="F521" s="14" t="s">
        <v>819</v>
      </c>
      <c r="G521" s="8" t="n">
        <v>8</v>
      </c>
      <c r="H521" s="14" t="s">
        <v>1201</v>
      </c>
      <c r="I521" s="14" t="s">
        <v>1168</v>
      </c>
      <c r="J521" s="14" t="s">
        <v>91</v>
      </c>
      <c r="K521" s="8" t="n">
        <v>6</v>
      </c>
      <c r="L521" s="8" t="n">
        <v>73</v>
      </c>
      <c r="M521" s="8" t="n">
        <v>3</v>
      </c>
      <c r="N521" s="8" t="n">
        <v>15</v>
      </c>
      <c r="O521" s="8" t="n">
        <v>5</v>
      </c>
      <c r="P521" s="9" t="n">
        <v>12.0665593461044</v>
      </c>
      <c r="Q521" s="10" t="n">
        <v>0.0828736652526255</v>
      </c>
      <c r="R521" s="9" t="n">
        <v>10</v>
      </c>
      <c r="S521" s="11" t="n">
        <f aca="false">IF(AND(ISNUMBER(R521),R521&gt;1,P521&gt;0),R521/P521-1,"")</f>
        <v>-0.171263347473744</v>
      </c>
      <c r="T521" s="9" t="n">
        <f aca="false">IF(AND(ISNUMBER(P521),P521&gt;0),P521*EXP('Read me'!$B$22),"")</f>
        <v>14.7381288668353</v>
      </c>
    </row>
    <row r="522" customFormat="false" ht="15" hidden="false" customHeight="false" outlineLevel="0" collapsed="false">
      <c r="A522" s="14" t="s">
        <v>319</v>
      </c>
      <c r="B522" s="14" t="s">
        <v>197</v>
      </c>
      <c r="C522" s="14" t="s">
        <v>320</v>
      </c>
      <c r="D522" s="14" t="s">
        <v>877</v>
      </c>
      <c r="E522" s="15" t="n">
        <v>12</v>
      </c>
      <c r="F522" s="14" t="s">
        <v>819</v>
      </c>
      <c r="G522" s="8" t="n">
        <v>8</v>
      </c>
      <c r="H522" s="14" t="s">
        <v>1202</v>
      </c>
      <c r="I522" s="14" t="s">
        <v>1164</v>
      </c>
      <c r="J522" s="14" t="s">
        <v>1165</v>
      </c>
      <c r="K522" s="8" t="n">
        <v>8</v>
      </c>
      <c r="L522" s="8" t="n">
        <v>70</v>
      </c>
      <c r="M522" s="8" t="n">
        <v>4</v>
      </c>
      <c r="N522" s="8" t="n">
        <v>41</v>
      </c>
      <c r="O522" s="8" t="n">
        <v>6</v>
      </c>
      <c r="P522" s="9" t="n">
        <v>26.0328311308386</v>
      </c>
      <c r="Q522" s="10" t="n">
        <v>0.0384130329495893</v>
      </c>
      <c r="R522" s="9" t="n">
        <v>12</v>
      </c>
      <c r="S522" s="11" t="n">
        <f aca="false">IF(AND(ISNUMBER(R522),R522&gt;1,P522&gt;0),R522/P522-1,"")</f>
        <v>-0.539043604604927</v>
      </c>
      <c r="T522" s="9" t="n">
        <f aca="false">IF(AND(ISNUMBER(P522),P522&gt;0),P522*EXP('Read me'!$B$22),"")</f>
        <v>31.7965717459242</v>
      </c>
    </row>
    <row r="523" customFormat="false" ht="15" hidden="false" customHeight="false" outlineLevel="0" collapsed="false">
      <c r="A523" s="14" t="s">
        <v>319</v>
      </c>
      <c r="B523" s="14" t="s">
        <v>197</v>
      </c>
      <c r="C523" s="14" t="s">
        <v>320</v>
      </c>
      <c r="D523" s="14" t="s">
        <v>877</v>
      </c>
      <c r="E523" s="15" t="n">
        <v>12</v>
      </c>
      <c r="F523" s="14" t="s">
        <v>819</v>
      </c>
      <c r="G523" s="8" t="n">
        <v>8</v>
      </c>
      <c r="H523" s="14" t="s">
        <v>1203</v>
      </c>
      <c r="I523" s="14" t="s">
        <v>822</v>
      </c>
      <c r="J523" s="14" t="s">
        <v>629</v>
      </c>
      <c r="K523" s="8" t="n">
        <v>3</v>
      </c>
      <c r="L523" s="8" t="n">
        <v>72</v>
      </c>
      <c r="M523" s="8" t="n">
        <v>3</v>
      </c>
      <c r="N523" s="8" t="n">
        <v>11</v>
      </c>
      <c r="O523" s="8" t="n">
        <v>7</v>
      </c>
      <c r="P523" s="9" t="n">
        <v>35.6410035307655</v>
      </c>
      <c r="Q523" s="10" t="n">
        <v>0.0280575713626243</v>
      </c>
      <c r="R523" s="9" t="n">
        <v>21</v>
      </c>
      <c r="S523" s="11" t="n">
        <f aca="false">IF(AND(ISNUMBER(R523),R523&gt;1,P523&gt;0),R523/P523-1,"")</f>
        <v>-0.410791001384888</v>
      </c>
      <c r="T523" s="9" t="n">
        <f aca="false">IF(AND(ISNUMBER(P523),P523&gt;0),P523*EXP('Read me'!$B$22),"")</f>
        <v>43.5320200160733</v>
      </c>
    </row>
    <row r="524" customFormat="false" ht="15" hidden="false" customHeight="false" outlineLevel="0" collapsed="false">
      <c r="A524" s="14" t="s">
        <v>319</v>
      </c>
      <c r="B524" s="14" t="s">
        <v>197</v>
      </c>
      <c r="C524" s="14" t="s">
        <v>320</v>
      </c>
      <c r="D524" s="14" t="s">
        <v>877</v>
      </c>
      <c r="E524" s="15" t="n">
        <v>12</v>
      </c>
      <c r="F524" s="14" t="s">
        <v>819</v>
      </c>
      <c r="G524" s="8" t="n">
        <v>8</v>
      </c>
      <c r="H524" s="14" t="s">
        <v>1204</v>
      </c>
      <c r="I524" s="14" t="s">
        <v>961</v>
      </c>
      <c r="J524" s="14" t="s">
        <v>1205</v>
      </c>
      <c r="K524" s="8" t="n">
        <v>2</v>
      </c>
      <c r="L524" s="8" t="n">
        <v>73</v>
      </c>
      <c r="M524" s="8" t="n">
        <v>7</v>
      </c>
      <c r="N524" s="8" t="n">
        <v>22</v>
      </c>
      <c r="O524" s="8" t="n">
        <v>8</v>
      </c>
      <c r="P524" s="9" t="n">
        <v>59.5897090188192</v>
      </c>
      <c r="Q524" s="10" t="n">
        <v>0.0167814210954476</v>
      </c>
      <c r="R524" s="9" t="n">
        <v>34</v>
      </c>
      <c r="S524" s="11" t="n">
        <f aca="false">IF(AND(ISNUMBER(R524),R524&gt;1,P524&gt;0),R524/P524-1,"")</f>
        <v>-0.429431682754779</v>
      </c>
      <c r="T524" s="9" t="n">
        <f aca="false">IF(AND(ISNUMBER(P524),P524&gt;0),P524*EXP('Read me'!$B$22),"")</f>
        <v>72.7830349535477</v>
      </c>
    </row>
    <row r="525" customFormat="false" ht="15" hidden="false" customHeight="false" outlineLevel="0" collapsed="false">
      <c r="A525" s="14" t="s">
        <v>323</v>
      </c>
      <c r="B525" s="14" t="s">
        <v>197</v>
      </c>
      <c r="C525" s="14" t="s">
        <v>324</v>
      </c>
      <c r="D525" s="14" t="s">
        <v>570</v>
      </c>
      <c r="E525" s="15" t="n">
        <v>11</v>
      </c>
      <c r="F525" s="14" t="s">
        <v>819</v>
      </c>
      <c r="G525" s="8" t="n">
        <v>13</v>
      </c>
      <c r="H525" s="14" t="s">
        <v>325</v>
      </c>
      <c r="I525" s="14" t="s">
        <v>326</v>
      </c>
      <c r="J525" s="14" t="s">
        <v>166</v>
      </c>
      <c r="K525" s="8" t="n">
        <v>5</v>
      </c>
      <c r="L525" s="8" t="n">
        <v>0</v>
      </c>
      <c r="M525" s="8" t="n">
        <v>3</v>
      </c>
      <c r="N525" s="8" t="n">
        <v>58</v>
      </c>
      <c r="O525" s="8" t="n">
        <v>1</v>
      </c>
      <c r="P525" s="9" t="n">
        <v>1.96240472965731</v>
      </c>
      <c r="Q525" s="10" t="n">
        <v>0.509578877836595</v>
      </c>
      <c r="R525" s="9" t="n">
        <v>1.53333333333333</v>
      </c>
      <c r="S525" s="11" t="n">
        <f aca="false">IF(AND(ISNUMBER(R525),R525&gt;1,P525&gt;0),R525/P525-1,"")</f>
        <v>-0.218645720650555</v>
      </c>
      <c r="T525" s="9" t="n">
        <f aca="false">IF(AND(ISNUMBER(P525),P525&gt;0),P525*EXP('Read me'!$B$22),"")</f>
        <v>2.39688654943</v>
      </c>
    </row>
    <row r="526" customFormat="false" ht="15" hidden="false" customHeight="false" outlineLevel="0" collapsed="false">
      <c r="A526" s="14" t="s">
        <v>323</v>
      </c>
      <c r="B526" s="14" t="s">
        <v>197</v>
      </c>
      <c r="C526" s="14" t="s">
        <v>324</v>
      </c>
      <c r="D526" s="14" t="s">
        <v>570</v>
      </c>
      <c r="E526" s="15" t="n">
        <v>11</v>
      </c>
      <c r="F526" s="14" t="s">
        <v>819</v>
      </c>
      <c r="G526" s="8" t="n">
        <v>13</v>
      </c>
      <c r="H526" s="14" t="s">
        <v>327</v>
      </c>
      <c r="I526" s="14" t="s">
        <v>1170</v>
      </c>
      <c r="J526" s="14" t="s">
        <v>230</v>
      </c>
      <c r="K526" s="8" t="n">
        <v>4</v>
      </c>
      <c r="L526" s="8" t="n">
        <v>0</v>
      </c>
      <c r="M526" s="8" t="n">
        <v>3</v>
      </c>
      <c r="N526" s="8" t="n">
        <v>80</v>
      </c>
      <c r="O526" s="8" t="n">
        <v>2</v>
      </c>
      <c r="P526" s="9" t="n">
        <v>3.83048068973723</v>
      </c>
      <c r="Q526" s="10" t="n">
        <v>0.261063840545976</v>
      </c>
      <c r="R526" s="9" t="n">
        <v>4.5</v>
      </c>
      <c r="S526" s="11" t="n">
        <f aca="false">IF(AND(ISNUMBER(R526),R526&gt;1,P526&gt;0),R526/P526-1,"")</f>
        <v>0.174787282456892</v>
      </c>
      <c r="T526" s="9" t="n">
        <f aca="false">IF(AND(ISNUMBER(P526),P526&gt;0),P526*EXP('Read me'!$B$22),"")</f>
        <v>4.67855967952432</v>
      </c>
    </row>
    <row r="527" customFormat="false" ht="15" hidden="false" customHeight="false" outlineLevel="0" collapsed="false">
      <c r="A527" s="14" t="s">
        <v>323</v>
      </c>
      <c r="B527" s="14" t="s">
        <v>197</v>
      </c>
      <c r="C527" s="14" t="s">
        <v>324</v>
      </c>
      <c r="D527" s="14" t="s">
        <v>570</v>
      </c>
      <c r="E527" s="15" t="n">
        <v>11</v>
      </c>
      <c r="F527" s="14" t="s">
        <v>819</v>
      </c>
      <c r="G527" s="8" t="n">
        <v>13</v>
      </c>
      <c r="H527" s="14" t="s">
        <v>1206</v>
      </c>
      <c r="I527" s="14" t="s">
        <v>200</v>
      </c>
      <c r="J527" s="14" t="s">
        <v>1207</v>
      </c>
      <c r="K527" s="8" t="n">
        <v>8</v>
      </c>
      <c r="L527" s="8" t="n">
        <v>0</v>
      </c>
      <c r="M527" s="8" t="n">
        <v>5</v>
      </c>
      <c r="N527" s="8" t="n">
        <v>23</v>
      </c>
      <c r="O527" s="8" t="n">
        <v>3</v>
      </c>
      <c r="P527" s="9" t="n">
        <v>9.12724399196439</v>
      </c>
      <c r="Q527" s="10" t="n">
        <v>0.109562097921388</v>
      </c>
      <c r="R527" s="9" t="n">
        <v>12</v>
      </c>
      <c r="S527" s="11" t="n">
        <f aca="false">IF(AND(ISNUMBER(R527),R527&gt;1,P527&gt;0),R527/P527-1,"")</f>
        <v>0.314745175056652</v>
      </c>
      <c r="T527" s="9" t="n">
        <f aca="false">IF(AND(ISNUMBER(P527),P527&gt;0),P527*EXP('Read me'!$B$22),"")</f>
        <v>11.1480409861861</v>
      </c>
    </row>
    <row r="528" customFormat="false" ht="15" hidden="false" customHeight="false" outlineLevel="0" collapsed="false">
      <c r="A528" s="14" t="s">
        <v>323</v>
      </c>
      <c r="B528" s="14" t="s">
        <v>197</v>
      </c>
      <c r="C528" s="14" t="s">
        <v>324</v>
      </c>
      <c r="D528" s="14" t="s">
        <v>570</v>
      </c>
      <c r="E528" s="15" t="n">
        <v>11</v>
      </c>
      <c r="F528" s="14" t="s">
        <v>819</v>
      </c>
      <c r="G528" s="8" t="n">
        <v>13</v>
      </c>
      <c r="H528" s="14" t="s">
        <v>1208</v>
      </c>
      <c r="I528" s="14" t="s">
        <v>1168</v>
      </c>
      <c r="J528" s="14" t="s">
        <v>91</v>
      </c>
      <c r="K528" s="8" t="n">
        <v>12</v>
      </c>
      <c r="L528" s="8" t="n">
        <v>0</v>
      </c>
      <c r="M528" s="8" t="n">
        <v>3</v>
      </c>
      <c r="N528" s="8" t="n">
        <v>52</v>
      </c>
      <c r="O528" s="8" t="n">
        <v>4</v>
      </c>
      <c r="P528" s="9" t="n">
        <v>13.2317820921082</v>
      </c>
      <c r="Q528" s="10" t="n">
        <v>0.0755756097734129</v>
      </c>
      <c r="R528" s="9" t="n">
        <v>9</v>
      </c>
      <c r="S528" s="11" t="n">
        <f aca="false">IF(AND(ISNUMBER(R528),R528&gt;1,P528&gt;0),R528/P528-1,"")</f>
        <v>-0.319819512039284</v>
      </c>
      <c r="T528" s="9" t="n">
        <f aca="false">IF(AND(ISNUMBER(P528),P528&gt;0),P528*EXP('Read me'!$B$22),"")</f>
        <v>16.1613351426753</v>
      </c>
    </row>
    <row r="529" customFormat="false" ht="15" hidden="false" customHeight="false" outlineLevel="0" collapsed="false">
      <c r="A529" s="14" t="s">
        <v>323</v>
      </c>
      <c r="B529" s="14" t="s">
        <v>197</v>
      </c>
      <c r="C529" s="14" t="s">
        <v>324</v>
      </c>
      <c r="D529" s="14" t="s">
        <v>570</v>
      </c>
      <c r="E529" s="15" t="n">
        <v>11</v>
      </c>
      <c r="F529" s="14" t="s">
        <v>819</v>
      </c>
      <c r="G529" s="8" t="n">
        <v>13</v>
      </c>
      <c r="H529" s="14" t="s">
        <v>1209</v>
      </c>
      <c r="I529" s="14" t="s">
        <v>343</v>
      </c>
      <c r="J529" s="14" t="s">
        <v>845</v>
      </c>
      <c r="K529" s="8" t="n">
        <v>1</v>
      </c>
      <c r="L529" s="8" t="n">
        <v>0</v>
      </c>
      <c r="M529" s="8" t="n">
        <v>3</v>
      </c>
      <c r="N529" s="8"/>
      <c r="O529" s="8" t="n">
        <v>5</v>
      </c>
      <c r="P529" s="9" t="n">
        <v>68.2604075999277</v>
      </c>
      <c r="Q529" s="10" t="n">
        <v>0.0146497806731681</v>
      </c>
      <c r="R529" s="9" t="n">
        <v>15</v>
      </c>
      <c r="S529" s="11" t="n">
        <f aca="false">IF(AND(ISNUMBER(R529),R529&gt;1,P529&gt;0),R529/P529-1,"")</f>
        <v>-0.780253289902478</v>
      </c>
      <c r="T529" s="9" t="n">
        <f aca="false">IF(AND(ISNUMBER(P529),P529&gt;0),P529*EXP('Read me'!$B$22),"")</f>
        <v>83.3734501156891</v>
      </c>
    </row>
    <row r="530" customFormat="false" ht="15" hidden="false" customHeight="false" outlineLevel="0" collapsed="false">
      <c r="A530" s="14" t="s">
        <v>323</v>
      </c>
      <c r="B530" s="14" t="s">
        <v>197</v>
      </c>
      <c r="C530" s="14" t="s">
        <v>324</v>
      </c>
      <c r="D530" s="14" t="s">
        <v>570</v>
      </c>
      <c r="E530" s="15" t="n">
        <v>11</v>
      </c>
      <c r="F530" s="14" t="s">
        <v>819</v>
      </c>
      <c r="G530" s="8" t="n">
        <v>13</v>
      </c>
      <c r="H530" s="14" t="s">
        <v>1210</v>
      </c>
      <c r="I530" s="14" t="s">
        <v>1081</v>
      </c>
      <c r="J530" s="14" t="s">
        <v>506</v>
      </c>
      <c r="K530" s="8" t="n">
        <v>3</v>
      </c>
      <c r="L530" s="8" t="n">
        <v>0</v>
      </c>
      <c r="M530" s="8" t="n">
        <v>3</v>
      </c>
      <c r="N530" s="8" t="n">
        <v>24</v>
      </c>
      <c r="O530" s="8" t="n">
        <v>6</v>
      </c>
      <c r="P530" s="9" t="n">
        <v>167.913266132246</v>
      </c>
      <c r="Q530" s="10" t="n">
        <v>0.0059554555934396</v>
      </c>
      <c r="R530" s="9" t="n">
        <v>41</v>
      </c>
      <c r="S530" s="11" t="n">
        <f aca="false">IF(AND(ISNUMBER(R530),R530&gt;1,P530&gt;0),R530/P530-1,"")</f>
        <v>-0.755826320668976</v>
      </c>
      <c r="T530" s="9" t="n">
        <f aca="false">IF(AND(ISNUMBER(P530),P530&gt;0),P530*EXP('Read me'!$B$22),"")</f>
        <v>205.089726385608</v>
      </c>
    </row>
    <row r="531" customFormat="false" ht="15" hidden="false" customHeight="false" outlineLevel="0" collapsed="false">
      <c r="A531" s="14" t="s">
        <v>323</v>
      </c>
      <c r="B531" s="14" t="s">
        <v>197</v>
      </c>
      <c r="C531" s="14" t="s">
        <v>324</v>
      </c>
      <c r="D531" s="14" t="s">
        <v>570</v>
      </c>
      <c r="E531" s="15" t="n">
        <v>11</v>
      </c>
      <c r="F531" s="14" t="s">
        <v>819</v>
      </c>
      <c r="G531" s="8" t="n">
        <v>13</v>
      </c>
      <c r="H531" s="14" t="s">
        <v>1211</v>
      </c>
      <c r="I531" s="14" t="s">
        <v>961</v>
      </c>
      <c r="J531" s="14" t="s">
        <v>1114</v>
      </c>
      <c r="K531" s="8" t="n">
        <v>14</v>
      </c>
      <c r="L531" s="8" t="n">
        <v>0</v>
      </c>
      <c r="M531" s="8" t="n">
        <v>3</v>
      </c>
      <c r="N531" s="8" t="n">
        <v>149</v>
      </c>
      <c r="O531" s="8" t="n">
        <v>7</v>
      </c>
      <c r="P531" s="9" t="n">
        <v>173.534245885453</v>
      </c>
      <c r="Q531" s="10" t="n">
        <v>0.0057625513332975</v>
      </c>
      <c r="R531" s="9" t="n">
        <v>51</v>
      </c>
      <c r="S531" s="11" t="n">
        <f aca="false">IF(AND(ISNUMBER(R531),R531&gt;1,P531&gt;0),R531/P531-1,"")</f>
        <v>-0.706109882001826</v>
      </c>
      <c r="T531" s="9" t="n">
        <f aca="false">IF(AND(ISNUMBER(P531),P531&gt;0),P531*EXP('Read me'!$B$22),"")</f>
        <v>211.955206559738</v>
      </c>
    </row>
    <row r="532" customFormat="false" ht="15" hidden="false" customHeight="false" outlineLevel="0" collapsed="false">
      <c r="A532" s="14" t="s">
        <v>323</v>
      </c>
      <c r="B532" s="14" t="s">
        <v>197</v>
      </c>
      <c r="C532" s="14" t="s">
        <v>324</v>
      </c>
      <c r="D532" s="14" t="s">
        <v>570</v>
      </c>
      <c r="E532" s="15" t="n">
        <v>11</v>
      </c>
      <c r="F532" s="14" t="s">
        <v>819</v>
      </c>
      <c r="G532" s="8" t="n">
        <v>13</v>
      </c>
      <c r="H532" s="14" t="s">
        <v>1212</v>
      </c>
      <c r="I532" s="14" t="s">
        <v>1092</v>
      </c>
      <c r="J532" s="14" t="s">
        <v>1213</v>
      </c>
      <c r="K532" s="8" t="n">
        <v>13</v>
      </c>
      <c r="L532" s="8" t="n">
        <v>0</v>
      </c>
      <c r="M532" s="8" t="n">
        <v>4</v>
      </c>
      <c r="N532" s="8" t="n">
        <v>23</v>
      </c>
      <c r="O532" s="8" t="n">
        <v>8</v>
      </c>
      <c r="P532" s="9" t="n">
        <v>180.420089972317</v>
      </c>
      <c r="Q532" s="10" t="n">
        <v>0.0055426200050861</v>
      </c>
      <c r="R532" s="9" t="n">
        <v>151</v>
      </c>
      <c r="S532" s="11" t="n">
        <f aca="false">IF(AND(ISNUMBER(R532),R532&gt;1,P532&gt;0),R532/P532-1,"")</f>
        <v>-0.163064379231996</v>
      </c>
      <c r="T532" s="9" t="n">
        <f aca="false">IF(AND(ISNUMBER(P532),P532&gt;0),P532*EXP('Read me'!$B$22),"")</f>
        <v>220.365595519694</v>
      </c>
    </row>
    <row r="533" customFormat="false" ht="15" hidden="false" customHeight="false" outlineLevel="0" collapsed="false">
      <c r="A533" s="14" t="s">
        <v>323</v>
      </c>
      <c r="B533" s="14" t="s">
        <v>197</v>
      </c>
      <c r="C533" s="14" t="s">
        <v>324</v>
      </c>
      <c r="D533" s="14" t="s">
        <v>570</v>
      </c>
      <c r="E533" s="15" t="n">
        <v>11</v>
      </c>
      <c r="F533" s="14" t="s">
        <v>819</v>
      </c>
      <c r="G533" s="8" t="n">
        <v>13</v>
      </c>
      <c r="H533" s="14" t="s">
        <v>1214</v>
      </c>
      <c r="I533" s="14" t="s">
        <v>278</v>
      </c>
      <c r="J533" s="14" t="s">
        <v>1215</v>
      </c>
      <c r="K533" s="8" t="n">
        <v>7</v>
      </c>
      <c r="L533" s="8" t="n">
        <v>0</v>
      </c>
      <c r="M533" s="8" t="n">
        <v>3</v>
      </c>
      <c r="N533" s="8" t="n">
        <v>17</v>
      </c>
      <c r="O533" s="8" t="n">
        <v>9</v>
      </c>
      <c r="P533" s="9" t="n">
        <v>238.439588143901</v>
      </c>
      <c r="Q533" s="10" t="n">
        <v>0.0041939344375837</v>
      </c>
      <c r="R533" s="9" t="n">
        <v>51</v>
      </c>
      <c r="S533" s="11" t="n">
        <f aca="false">IF(AND(ISNUMBER(R533),R533&gt;1,P533&gt;0),R533/P533-1,"")</f>
        <v>-0.786109343683227</v>
      </c>
      <c r="T533" s="9" t="n">
        <f aca="false">IF(AND(ISNUMBER(P533),P533&gt;0),P533*EXP('Read me'!$B$22),"")</f>
        <v>291.230770613535</v>
      </c>
    </row>
    <row r="534" customFormat="false" ht="15" hidden="false" customHeight="false" outlineLevel="0" collapsed="false">
      <c r="A534" s="14" t="s">
        <v>323</v>
      </c>
      <c r="B534" s="14" t="s">
        <v>197</v>
      </c>
      <c r="C534" s="14" t="s">
        <v>324</v>
      </c>
      <c r="D534" s="14" t="s">
        <v>570</v>
      </c>
      <c r="E534" s="15" t="n">
        <v>11</v>
      </c>
      <c r="F534" s="14" t="s">
        <v>819</v>
      </c>
      <c r="G534" s="8" t="n">
        <v>13</v>
      </c>
      <c r="H534" s="14" t="s">
        <v>1216</v>
      </c>
      <c r="I534" s="14" t="s">
        <v>822</v>
      </c>
      <c r="J534" s="14" t="s">
        <v>463</v>
      </c>
      <c r="K534" s="8" t="n">
        <v>6</v>
      </c>
      <c r="L534" s="8" t="n">
        <v>0</v>
      </c>
      <c r="M534" s="8" t="n">
        <v>5</v>
      </c>
      <c r="N534" s="8" t="n">
        <v>26</v>
      </c>
      <c r="O534" s="8" t="n">
        <v>10</v>
      </c>
      <c r="P534" s="9" t="n">
        <v>241.301816920747</v>
      </c>
      <c r="Q534" s="10" t="n">
        <v>0.0041441876101929</v>
      </c>
      <c r="R534" s="9" t="n">
        <v>67</v>
      </c>
      <c r="S534" s="11" t="n">
        <f aca="false">IF(AND(ISNUMBER(R534),R534&gt;1,P534&gt;0),R534/P534-1,"")</f>
        <v>-0.722339430117074</v>
      </c>
      <c r="T534" s="9" t="n">
        <f aca="false">IF(AND(ISNUMBER(P534),P534&gt;0),P534*EXP('Read me'!$B$22),"")</f>
        <v>294.72670473606</v>
      </c>
    </row>
    <row r="535" customFormat="false" ht="15" hidden="false" customHeight="false" outlineLevel="0" collapsed="false">
      <c r="A535" s="14" t="s">
        <v>323</v>
      </c>
      <c r="B535" s="14" t="s">
        <v>197</v>
      </c>
      <c r="C535" s="14" t="s">
        <v>324</v>
      </c>
      <c r="D535" s="14" t="s">
        <v>570</v>
      </c>
      <c r="E535" s="15" t="n">
        <v>11</v>
      </c>
      <c r="F535" s="14" t="s">
        <v>819</v>
      </c>
      <c r="G535" s="8" t="n">
        <v>13</v>
      </c>
      <c r="H535" s="14" t="s">
        <v>1217</v>
      </c>
      <c r="I535" s="14" t="s">
        <v>1218</v>
      </c>
      <c r="J535" s="14" t="s">
        <v>1205</v>
      </c>
      <c r="K535" s="8" t="n">
        <v>2</v>
      </c>
      <c r="L535" s="8" t="n">
        <v>0</v>
      </c>
      <c r="M535" s="8" t="n">
        <v>3</v>
      </c>
      <c r="N535" s="8" t="n">
        <v>17</v>
      </c>
      <c r="O535" s="8" t="n">
        <v>11</v>
      </c>
      <c r="P535" s="9" t="n">
        <v>541.772470414921</v>
      </c>
      <c r="Q535" s="10" t="n">
        <v>0.001845793307353</v>
      </c>
      <c r="R535" s="9" t="n">
        <v>51</v>
      </c>
      <c r="S535" s="11" t="n">
        <f aca="false">IF(AND(ISNUMBER(R535),R535&gt;1,P535&gt;0),R535/P535-1,"")</f>
        <v>-0.905864541324994</v>
      </c>
      <c r="T535" s="9" t="n">
        <f aca="false">IF(AND(ISNUMBER(P535),P535&gt;0),P535*EXP('Read me'!$B$22),"")</f>
        <v>661.722389660034</v>
      </c>
    </row>
    <row r="536" customFormat="false" ht="15" hidden="false" customHeight="false" outlineLevel="0" collapsed="false">
      <c r="A536" s="14" t="s">
        <v>323</v>
      </c>
      <c r="B536" s="14" t="s">
        <v>197</v>
      </c>
      <c r="C536" s="14" t="s">
        <v>324</v>
      </c>
      <c r="D536" s="14" t="s">
        <v>570</v>
      </c>
      <c r="E536" s="15" t="n">
        <v>11</v>
      </c>
      <c r="F536" s="14" t="s">
        <v>819</v>
      </c>
      <c r="G536" s="8" t="n">
        <v>13</v>
      </c>
      <c r="H536" s="14" t="s">
        <v>1219</v>
      </c>
      <c r="I536" s="14" t="s">
        <v>827</v>
      </c>
      <c r="J536" s="14" t="s">
        <v>1220</v>
      </c>
      <c r="K536" s="8" t="n">
        <v>11</v>
      </c>
      <c r="L536" s="8" t="n">
        <v>0</v>
      </c>
      <c r="M536" s="8" t="n">
        <v>3</v>
      </c>
      <c r="N536" s="8" t="n">
        <v>16</v>
      </c>
      <c r="O536" s="8" t="n">
        <v>12</v>
      </c>
      <c r="P536" s="9" t="n">
        <v>895.507070732748</v>
      </c>
      <c r="Q536" s="10" t="n">
        <v>0.0011166857668491</v>
      </c>
      <c r="R536" s="9" t="n">
        <v>101</v>
      </c>
      <c r="S536" s="11" t="n">
        <f aca="false">IF(AND(ISNUMBER(R536),R536&gt;1,P536&gt;0),R536/P536-1,"")</f>
        <v>-0.88721473754824</v>
      </c>
      <c r="T536" s="9" t="n">
        <f aca="false">IF(AND(ISNUMBER(P536),P536&gt;0),P536*EXP('Read me'!$B$22),"")</f>
        <v>1093.77480614491</v>
      </c>
    </row>
    <row r="537" customFormat="false" ht="15" hidden="false" customHeight="false" outlineLevel="0" collapsed="false">
      <c r="A537" s="14" t="s">
        <v>323</v>
      </c>
      <c r="B537" s="14" t="s">
        <v>197</v>
      </c>
      <c r="C537" s="14" t="s">
        <v>324</v>
      </c>
      <c r="D537" s="14" t="s">
        <v>570</v>
      </c>
      <c r="E537" s="15" t="n">
        <v>11</v>
      </c>
      <c r="F537" s="14" t="s">
        <v>819</v>
      </c>
      <c r="G537" s="8" t="n">
        <v>13</v>
      </c>
      <c r="H537" s="14" t="s">
        <v>1221</v>
      </c>
      <c r="I537" s="14" t="s">
        <v>1222</v>
      </c>
      <c r="J537" s="14" t="s">
        <v>847</v>
      </c>
      <c r="K537" s="8" t="n">
        <v>10</v>
      </c>
      <c r="L537" s="8" t="n">
        <v>0</v>
      </c>
      <c r="M537" s="8" t="n">
        <v>3</v>
      </c>
      <c r="N537" s="8" t="n">
        <v>14</v>
      </c>
      <c r="O537" s="8" t="n">
        <v>13</v>
      </c>
      <c r="P537" s="9" t="n">
        <v>991.507543890121</v>
      </c>
      <c r="Q537" s="10" t="n">
        <v>0.001008565195658</v>
      </c>
      <c r="R537" s="9" t="n">
        <v>101</v>
      </c>
      <c r="S537" s="11" t="n">
        <f aca="false">IF(AND(ISNUMBER(R537),R537&gt;1,P537&gt;0),R537/P537-1,"")</f>
        <v>-0.898134915238534</v>
      </c>
      <c r="T537" s="9" t="n">
        <f aca="false">IF(AND(ISNUMBER(P537),P537&gt;0),P537*EXP('Read me'!$B$22),"")</f>
        <v>1211.03004884401</v>
      </c>
    </row>
    <row r="538" customFormat="false" ht="15" hidden="false" customHeight="false" outlineLevel="0" collapsed="false">
      <c r="A538" s="14" t="s">
        <v>328</v>
      </c>
      <c r="B538" s="14" t="s">
        <v>197</v>
      </c>
      <c r="C538" s="14" t="s">
        <v>329</v>
      </c>
      <c r="D538" s="14" t="s">
        <v>803</v>
      </c>
      <c r="E538" s="15" t="n">
        <v>8</v>
      </c>
      <c r="F538" s="14" t="s">
        <v>819</v>
      </c>
      <c r="G538" s="8" t="n">
        <v>14</v>
      </c>
      <c r="H538" s="14" t="s">
        <v>330</v>
      </c>
      <c r="I538" s="14" t="s">
        <v>331</v>
      </c>
      <c r="J538" s="14" t="s">
        <v>332</v>
      </c>
      <c r="K538" s="8" t="n">
        <v>12</v>
      </c>
      <c r="L538" s="8" t="n">
        <v>65</v>
      </c>
      <c r="M538" s="8" t="n">
        <v>5</v>
      </c>
      <c r="N538" s="8" t="n">
        <v>9</v>
      </c>
      <c r="O538" s="8" t="n">
        <v>1</v>
      </c>
      <c r="P538" s="9" t="n">
        <v>5.67757655969021</v>
      </c>
      <c r="Q538" s="10" t="n">
        <v>0.176131486645169</v>
      </c>
      <c r="R538" s="9" t="n">
        <v>4.5</v>
      </c>
      <c r="S538" s="11" t="n">
        <f aca="false">IF(AND(ISNUMBER(R538),R538&gt;1,P538&gt;0),R538/P538-1,"")</f>
        <v>-0.20740831009674</v>
      </c>
      <c r="T538" s="9" t="n">
        <f aca="false">IF(AND(ISNUMBER(P538),P538&gt;0),P538*EXP('Read me'!$B$22),"")</f>
        <v>6.93460766967115</v>
      </c>
    </row>
    <row r="539" customFormat="false" ht="15" hidden="false" customHeight="false" outlineLevel="0" collapsed="false">
      <c r="A539" s="14" t="s">
        <v>328</v>
      </c>
      <c r="B539" s="14" t="s">
        <v>197</v>
      </c>
      <c r="C539" s="14" t="s">
        <v>329</v>
      </c>
      <c r="D539" s="14" t="s">
        <v>803</v>
      </c>
      <c r="E539" s="15" t="n">
        <v>8</v>
      </c>
      <c r="F539" s="14" t="s">
        <v>819</v>
      </c>
      <c r="G539" s="8" t="n">
        <v>14</v>
      </c>
      <c r="H539" s="14" t="s">
        <v>333</v>
      </c>
      <c r="I539" s="14" t="s">
        <v>1223</v>
      </c>
      <c r="J539" s="14" t="s">
        <v>1165</v>
      </c>
      <c r="K539" s="8" t="n">
        <v>2</v>
      </c>
      <c r="L539" s="8" t="n">
        <v>62</v>
      </c>
      <c r="M539" s="8" t="n">
        <v>5</v>
      </c>
      <c r="N539" s="8" t="n">
        <v>12</v>
      </c>
      <c r="O539" s="8" t="n">
        <v>2</v>
      </c>
      <c r="P539" s="9" t="n">
        <v>9.01418465242488</v>
      </c>
      <c r="Q539" s="10" t="n">
        <v>0.110936267511559</v>
      </c>
      <c r="R539" s="9" t="n">
        <v>9.5</v>
      </c>
      <c r="S539" s="11" t="n">
        <f aca="false">IF(AND(ISNUMBER(R539),R539&gt;1,P539&gt;0),R539/P539-1,"")</f>
        <v>0.0538945413598144</v>
      </c>
      <c r="T539" s="9" t="n">
        <f aca="false">IF(AND(ISNUMBER(P539),P539&gt;0),P539*EXP('Read me'!$B$22),"")</f>
        <v>11.0099499970368</v>
      </c>
    </row>
    <row r="540" customFormat="false" ht="15" hidden="false" customHeight="false" outlineLevel="0" collapsed="false">
      <c r="A540" s="14" t="s">
        <v>328</v>
      </c>
      <c r="B540" s="14" t="s">
        <v>197</v>
      </c>
      <c r="C540" s="14" t="s">
        <v>329</v>
      </c>
      <c r="D540" s="14" t="s">
        <v>803</v>
      </c>
      <c r="E540" s="15" t="n">
        <v>8</v>
      </c>
      <c r="F540" s="14" t="s">
        <v>819</v>
      </c>
      <c r="G540" s="8" t="n">
        <v>14</v>
      </c>
      <c r="H540" s="14" t="s">
        <v>1224</v>
      </c>
      <c r="I540" s="14" t="s">
        <v>1225</v>
      </c>
      <c r="J540" s="14" t="s">
        <v>201</v>
      </c>
      <c r="K540" s="8" t="n">
        <v>8</v>
      </c>
      <c r="L540" s="8" t="n">
        <v>63</v>
      </c>
      <c r="M540" s="8" t="n">
        <v>4</v>
      </c>
      <c r="N540" s="8" t="n">
        <v>11</v>
      </c>
      <c r="O540" s="8" t="n">
        <v>3</v>
      </c>
      <c r="P540" s="9" t="n">
        <v>9.43614717971501</v>
      </c>
      <c r="Q540" s="10" t="n">
        <v>0.105975455973144</v>
      </c>
      <c r="R540" s="9" t="n">
        <v>7</v>
      </c>
      <c r="S540" s="11" t="n">
        <f aca="false">IF(AND(ISNUMBER(R540),R540&gt;1,P540&gt;0),R540/P540-1,"")</f>
        <v>-0.258171808187989</v>
      </c>
      <c r="T540" s="9" t="n">
        <f aca="false">IF(AND(ISNUMBER(P540),P540&gt;0),P540*EXP('Read me'!$B$22),"")</f>
        <v>11.5253361917092</v>
      </c>
    </row>
    <row r="541" customFormat="false" ht="15" hidden="false" customHeight="false" outlineLevel="0" collapsed="false">
      <c r="A541" s="14" t="s">
        <v>328</v>
      </c>
      <c r="B541" s="14" t="s">
        <v>197</v>
      </c>
      <c r="C541" s="14" t="s">
        <v>329</v>
      </c>
      <c r="D541" s="14" t="s">
        <v>803</v>
      </c>
      <c r="E541" s="15" t="n">
        <v>8</v>
      </c>
      <c r="F541" s="14" t="s">
        <v>819</v>
      </c>
      <c r="G541" s="8" t="n">
        <v>14</v>
      </c>
      <c r="H541" s="14" t="s">
        <v>1226</v>
      </c>
      <c r="I541" s="14" t="s">
        <v>200</v>
      </c>
      <c r="J541" s="14" t="s">
        <v>1207</v>
      </c>
      <c r="K541" s="8" t="n">
        <v>3</v>
      </c>
      <c r="L541" s="8" t="n">
        <v>64</v>
      </c>
      <c r="M541" s="8" t="n">
        <v>4</v>
      </c>
      <c r="N541" s="8" t="n">
        <v>17</v>
      </c>
      <c r="O541" s="8" t="n">
        <v>4</v>
      </c>
      <c r="P541" s="9" t="n">
        <v>9.47187669067537</v>
      </c>
      <c r="Q541" s="10" t="n">
        <v>0.105575698740299</v>
      </c>
      <c r="R541" s="9" t="n">
        <v>9</v>
      </c>
      <c r="S541" s="11" t="n">
        <f aca="false">IF(AND(ISNUMBER(R541),R541&gt;1,P541&gt;0),R541/P541-1,"")</f>
        <v>-0.0498187113373118</v>
      </c>
      <c r="T541" s="9" t="n">
        <f aca="false">IF(AND(ISNUMBER(P541),P541&gt;0),P541*EXP('Read me'!$B$22),"")</f>
        <v>11.5689763149439</v>
      </c>
    </row>
    <row r="542" customFormat="false" ht="15" hidden="false" customHeight="false" outlineLevel="0" collapsed="false">
      <c r="A542" s="14" t="s">
        <v>328</v>
      </c>
      <c r="B542" s="14" t="s">
        <v>197</v>
      </c>
      <c r="C542" s="14" t="s">
        <v>329</v>
      </c>
      <c r="D542" s="14" t="s">
        <v>803</v>
      </c>
      <c r="E542" s="15" t="n">
        <v>8</v>
      </c>
      <c r="F542" s="14" t="s">
        <v>819</v>
      </c>
      <c r="G542" s="8" t="n">
        <v>14</v>
      </c>
      <c r="H542" s="14" t="s">
        <v>1227</v>
      </c>
      <c r="I542" s="14" t="s">
        <v>1228</v>
      </c>
      <c r="J542" s="14" t="s">
        <v>744</v>
      </c>
      <c r="K542" s="8" t="n">
        <v>11</v>
      </c>
      <c r="L542" s="8" t="n">
        <v>62</v>
      </c>
      <c r="M542" s="8" t="n">
        <v>5</v>
      </c>
      <c r="N542" s="8" t="n">
        <v>26</v>
      </c>
      <c r="O542" s="8" t="n">
        <v>5</v>
      </c>
      <c r="P542" s="9" t="n">
        <v>9.83632653756779</v>
      </c>
      <c r="Q542" s="10" t="n">
        <v>0.101663969387424</v>
      </c>
      <c r="R542" s="9" t="n">
        <v>7</v>
      </c>
      <c r="S542" s="11" t="n">
        <f aca="false">IF(AND(ISNUMBER(R542),R542&gt;1,P542&gt;0),R542/P542-1,"")</f>
        <v>-0.288352214288031</v>
      </c>
      <c r="T542" s="9" t="n">
        <f aca="false">IF(AND(ISNUMBER(P542),P542&gt;0),P542*EXP('Read me'!$B$22),"")</f>
        <v>12.0141163631494</v>
      </c>
    </row>
    <row r="543" customFormat="false" ht="15" hidden="false" customHeight="false" outlineLevel="0" collapsed="false">
      <c r="A543" s="14" t="s">
        <v>328</v>
      </c>
      <c r="B543" s="14" t="s">
        <v>197</v>
      </c>
      <c r="C543" s="14" t="s">
        <v>329</v>
      </c>
      <c r="D543" s="14" t="s">
        <v>803</v>
      </c>
      <c r="E543" s="15" t="n">
        <v>8</v>
      </c>
      <c r="F543" s="14" t="s">
        <v>819</v>
      </c>
      <c r="G543" s="8" t="n">
        <v>14</v>
      </c>
      <c r="H543" s="14" t="s">
        <v>1229</v>
      </c>
      <c r="I543" s="14" t="s">
        <v>1230</v>
      </c>
      <c r="J543" s="14" t="s">
        <v>582</v>
      </c>
      <c r="K543" s="8" t="n">
        <v>7</v>
      </c>
      <c r="L543" s="8" t="n">
        <v>63</v>
      </c>
      <c r="M543" s="8" t="n">
        <v>3</v>
      </c>
      <c r="N543" s="8" t="n">
        <v>11</v>
      </c>
      <c r="O543" s="8" t="n">
        <v>6</v>
      </c>
      <c r="P543" s="9" t="n">
        <v>10.7637356866216</v>
      </c>
      <c r="Q543" s="10" t="n">
        <v>0.0929045481154762</v>
      </c>
      <c r="R543" s="9" t="n">
        <v>8</v>
      </c>
      <c r="S543" s="11" t="n">
        <f aca="false">IF(AND(ISNUMBER(R543),R543&gt;1,P543&gt;0),R543/P543-1,"")</f>
        <v>-0.25676361507619</v>
      </c>
      <c r="T543" s="9" t="n">
        <f aca="false">IF(AND(ISNUMBER(P543),P543&gt;0),P543*EXP('Read me'!$B$22),"")</f>
        <v>13.1468564557466</v>
      </c>
    </row>
    <row r="544" customFormat="false" ht="15" hidden="false" customHeight="false" outlineLevel="0" collapsed="false">
      <c r="A544" s="14" t="s">
        <v>328</v>
      </c>
      <c r="B544" s="14" t="s">
        <v>197</v>
      </c>
      <c r="C544" s="14" t="s">
        <v>329</v>
      </c>
      <c r="D544" s="14" t="s">
        <v>803</v>
      </c>
      <c r="E544" s="15" t="n">
        <v>8</v>
      </c>
      <c r="F544" s="14" t="s">
        <v>819</v>
      </c>
      <c r="G544" s="8" t="n">
        <v>14</v>
      </c>
      <c r="H544" s="14" t="s">
        <v>1231</v>
      </c>
      <c r="I544" s="14" t="s">
        <v>963</v>
      </c>
      <c r="J544" s="14" t="s">
        <v>480</v>
      </c>
      <c r="K544" s="8" t="n">
        <v>14</v>
      </c>
      <c r="L544" s="8" t="n">
        <v>60</v>
      </c>
      <c r="M544" s="8" t="n">
        <v>4</v>
      </c>
      <c r="N544" s="8" t="n">
        <v>26</v>
      </c>
      <c r="O544" s="8" t="n">
        <v>7</v>
      </c>
      <c r="P544" s="9" t="n">
        <v>11.010429743532</v>
      </c>
      <c r="Q544" s="10" t="n">
        <v>0.0908229763318225</v>
      </c>
      <c r="R544" s="9" t="n">
        <v>12</v>
      </c>
      <c r="S544" s="11" t="n">
        <f aca="false">IF(AND(ISNUMBER(R544),R544&gt;1,P544&gt;0),R544/P544-1,"")</f>
        <v>0.0898757159818706</v>
      </c>
      <c r="T544" s="9" t="n">
        <f aca="false">IF(AND(ISNUMBER(P544),P544&gt;0),P544*EXP('Read me'!$B$22),"")</f>
        <v>13.4481692572787</v>
      </c>
    </row>
    <row r="545" customFormat="false" ht="15" hidden="false" customHeight="false" outlineLevel="0" collapsed="false">
      <c r="A545" s="14" t="s">
        <v>328</v>
      </c>
      <c r="B545" s="14" t="s">
        <v>197</v>
      </c>
      <c r="C545" s="14" t="s">
        <v>329</v>
      </c>
      <c r="D545" s="14" t="s">
        <v>803</v>
      </c>
      <c r="E545" s="15" t="n">
        <v>8</v>
      </c>
      <c r="F545" s="14" t="s">
        <v>819</v>
      </c>
      <c r="G545" s="8" t="n">
        <v>14</v>
      </c>
      <c r="H545" s="14" t="s">
        <v>1232</v>
      </c>
      <c r="I545" s="14" t="s">
        <v>820</v>
      </c>
      <c r="J545" s="14" t="s">
        <v>810</v>
      </c>
      <c r="K545" s="8" t="n">
        <v>10</v>
      </c>
      <c r="L545" s="8" t="n">
        <v>63</v>
      </c>
      <c r="M545" s="8" t="n">
        <v>5</v>
      </c>
      <c r="N545" s="8" t="n">
        <v>17</v>
      </c>
      <c r="O545" s="8" t="n">
        <v>8</v>
      </c>
      <c r="P545" s="9" t="n">
        <v>12.140105867876</v>
      </c>
      <c r="Q545" s="10" t="n">
        <v>0.0823716045711021</v>
      </c>
      <c r="R545" s="9" t="n">
        <v>11</v>
      </c>
      <c r="S545" s="11" t="n">
        <f aca="false">IF(AND(ISNUMBER(R545),R545&gt;1,P545&gt;0),R545/P545-1,"")</f>
        <v>-0.0939123497178759</v>
      </c>
      <c r="T545" s="9" t="n">
        <f aca="false">IF(AND(ISNUMBER(P545),P545&gt;0),P545*EXP('Read me'!$B$22),"")</f>
        <v>14.8279587913802</v>
      </c>
    </row>
    <row r="546" customFormat="false" ht="15" hidden="false" customHeight="false" outlineLevel="0" collapsed="false">
      <c r="A546" s="14" t="s">
        <v>328</v>
      </c>
      <c r="B546" s="14" t="s">
        <v>197</v>
      </c>
      <c r="C546" s="14" t="s">
        <v>329</v>
      </c>
      <c r="D546" s="14" t="s">
        <v>803</v>
      </c>
      <c r="E546" s="15" t="n">
        <v>8</v>
      </c>
      <c r="F546" s="14" t="s">
        <v>819</v>
      </c>
      <c r="G546" s="8" t="n">
        <v>14</v>
      </c>
      <c r="H546" s="14" t="s">
        <v>1233</v>
      </c>
      <c r="I546" s="14" t="s">
        <v>1234</v>
      </c>
      <c r="J546" s="14" t="s">
        <v>1235</v>
      </c>
      <c r="K546" s="8" t="n">
        <v>6</v>
      </c>
      <c r="L546" s="8" t="n">
        <v>55</v>
      </c>
      <c r="M546" s="8" t="n">
        <v>4</v>
      </c>
      <c r="N546" s="8" t="n">
        <v>27</v>
      </c>
      <c r="O546" s="8" t="n">
        <v>9</v>
      </c>
      <c r="P546" s="9" t="n">
        <v>31.3946100490601</v>
      </c>
      <c r="Q546" s="10" t="n">
        <v>0.0318526013999635</v>
      </c>
      <c r="R546" s="9" t="n">
        <v>19</v>
      </c>
      <c r="S546" s="11" t="n">
        <f aca="false">IF(AND(ISNUMBER(R546),R546&gt;1,P546&gt;0),R546/P546-1,"")</f>
        <v>-0.394800573400693</v>
      </c>
      <c r="T546" s="9" t="n">
        <f aca="false">IF(AND(ISNUMBER(P546),P546&gt;0),P546*EXP('Read me'!$B$22),"")</f>
        <v>38.3454633052849</v>
      </c>
    </row>
    <row r="547" customFormat="false" ht="15" hidden="false" customHeight="false" outlineLevel="0" collapsed="false">
      <c r="A547" s="14" t="s">
        <v>328</v>
      </c>
      <c r="B547" s="14" t="s">
        <v>197</v>
      </c>
      <c r="C547" s="14" t="s">
        <v>329</v>
      </c>
      <c r="D547" s="14" t="s">
        <v>803</v>
      </c>
      <c r="E547" s="15" t="n">
        <v>8</v>
      </c>
      <c r="F547" s="14" t="s">
        <v>819</v>
      </c>
      <c r="G547" s="8" t="n">
        <v>14</v>
      </c>
      <c r="H547" s="14" t="s">
        <v>1236</v>
      </c>
      <c r="I547" s="14" t="s">
        <v>1237</v>
      </c>
      <c r="J547" s="14" t="s">
        <v>1238</v>
      </c>
      <c r="K547" s="8" t="n">
        <v>1</v>
      </c>
      <c r="L547" s="8" t="n">
        <v>62</v>
      </c>
      <c r="M547" s="8" t="n">
        <v>4</v>
      </c>
      <c r="N547" s="8" t="n">
        <v>36</v>
      </c>
      <c r="O547" s="8" t="n">
        <v>10</v>
      </c>
      <c r="P547" s="9" t="n">
        <v>31.726470217962</v>
      </c>
      <c r="Q547" s="10" t="n">
        <v>0.0315194218937677</v>
      </c>
      <c r="R547" s="9" t="n">
        <v>19</v>
      </c>
      <c r="S547" s="11" t="n">
        <f aca="false">IF(AND(ISNUMBER(R547),R547&gt;1,P547&gt;0),R547/P547-1,"")</f>
        <v>-0.401130984018413</v>
      </c>
      <c r="T547" s="9" t="n">
        <f aca="false">IF(AND(ISNUMBER(P547),P547&gt;0),P547*EXP('Read me'!$B$22),"")</f>
        <v>38.7507982309052</v>
      </c>
    </row>
    <row r="548" customFormat="false" ht="15" hidden="false" customHeight="false" outlineLevel="0" collapsed="false">
      <c r="A548" s="14" t="s">
        <v>328</v>
      </c>
      <c r="B548" s="14" t="s">
        <v>197</v>
      </c>
      <c r="C548" s="14" t="s">
        <v>329</v>
      </c>
      <c r="D548" s="14" t="s">
        <v>803</v>
      </c>
      <c r="E548" s="15" t="n">
        <v>8</v>
      </c>
      <c r="F548" s="14" t="s">
        <v>819</v>
      </c>
      <c r="G548" s="8" t="n">
        <v>14</v>
      </c>
      <c r="H548" s="14" t="s">
        <v>1239</v>
      </c>
      <c r="I548" s="14" t="s">
        <v>833</v>
      </c>
      <c r="J548" s="14" t="s">
        <v>1240</v>
      </c>
      <c r="K548" s="8" t="n">
        <v>13</v>
      </c>
      <c r="L548" s="8" t="n">
        <v>63</v>
      </c>
      <c r="M548" s="8" t="n">
        <v>5</v>
      </c>
      <c r="N548" s="8" t="n">
        <v>67</v>
      </c>
      <c r="O548" s="8" t="n">
        <v>11</v>
      </c>
      <c r="P548" s="9" t="n">
        <v>35.557451451937</v>
      </c>
      <c r="Q548" s="10" t="n">
        <v>0.0281235003963009</v>
      </c>
      <c r="R548" s="9" t="n">
        <v>17</v>
      </c>
      <c r="S548" s="11" t="n">
        <f aca="false">IF(AND(ISNUMBER(R548),R548&gt;1,P548&gt;0),R548/P548-1,"")</f>
        <v>-0.521900493262885</v>
      </c>
      <c r="T548" s="9" t="n">
        <f aca="false">IF(AND(ISNUMBER(P548),P548&gt;0),P548*EXP('Read me'!$B$22),"")</f>
        <v>43.4299692765422</v>
      </c>
    </row>
    <row r="549" customFormat="false" ht="15" hidden="false" customHeight="false" outlineLevel="0" collapsed="false">
      <c r="A549" s="14" t="s">
        <v>328</v>
      </c>
      <c r="B549" s="14" t="s">
        <v>197</v>
      </c>
      <c r="C549" s="14" t="s">
        <v>329</v>
      </c>
      <c r="D549" s="14" t="s">
        <v>803</v>
      </c>
      <c r="E549" s="15" t="n">
        <v>8</v>
      </c>
      <c r="F549" s="14" t="s">
        <v>819</v>
      </c>
      <c r="G549" s="8" t="n">
        <v>14</v>
      </c>
      <c r="H549" s="14" t="s">
        <v>1241</v>
      </c>
      <c r="I549" s="14" t="s">
        <v>959</v>
      </c>
      <c r="J549" s="14" t="s">
        <v>1173</v>
      </c>
      <c r="K549" s="8" t="n">
        <v>9</v>
      </c>
      <c r="L549" s="8" t="n">
        <v>63</v>
      </c>
      <c r="M549" s="8" t="n">
        <v>7</v>
      </c>
      <c r="N549" s="8" t="n">
        <v>116</v>
      </c>
      <c r="O549" s="8" t="n">
        <v>12</v>
      </c>
      <c r="P549" s="9" t="n">
        <v>46.4144973636846</v>
      </c>
      <c r="Q549" s="10" t="n">
        <v>0.0215449925518834</v>
      </c>
      <c r="R549" s="9" t="n">
        <v>17</v>
      </c>
      <c r="S549" s="11" t="n">
        <f aca="false">IF(AND(ISNUMBER(R549),R549&gt;1,P549&gt;0),R549/P549-1,"")</f>
        <v>-0.633735126617981</v>
      </c>
      <c r="T549" s="9" t="n">
        <f aca="false">IF(AND(ISNUMBER(P549),P549&gt;0),P549*EXP('Read me'!$B$22),"")</f>
        <v>56.6907950986223</v>
      </c>
    </row>
    <row r="550" customFormat="false" ht="15" hidden="false" customHeight="false" outlineLevel="0" collapsed="false">
      <c r="A550" s="14" t="s">
        <v>328</v>
      </c>
      <c r="B550" s="14" t="s">
        <v>197</v>
      </c>
      <c r="C550" s="14" t="s">
        <v>329</v>
      </c>
      <c r="D550" s="14" t="s">
        <v>803</v>
      </c>
      <c r="E550" s="15" t="n">
        <v>8</v>
      </c>
      <c r="F550" s="14" t="s">
        <v>819</v>
      </c>
      <c r="G550" s="8" t="n">
        <v>14</v>
      </c>
      <c r="H550" s="14" t="s">
        <v>1242</v>
      </c>
      <c r="I550" s="14" t="s">
        <v>1243</v>
      </c>
      <c r="J550" s="14" t="s">
        <v>1244</v>
      </c>
      <c r="K550" s="8" t="n">
        <v>5</v>
      </c>
      <c r="L550" s="8" t="n">
        <v>65</v>
      </c>
      <c r="M550" s="8" t="n">
        <v>4</v>
      </c>
      <c r="N550" s="8" t="n">
        <v>23</v>
      </c>
      <c r="O550" s="8" t="n">
        <v>13</v>
      </c>
      <c r="P550" s="9" t="n">
        <v>68.5106482579196</v>
      </c>
      <c r="Q550" s="10" t="n">
        <v>0.0145962711699258</v>
      </c>
      <c r="R550" s="9" t="n">
        <v>26</v>
      </c>
      <c r="S550" s="11" t="n">
        <f aca="false">IF(AND(ISNUMBER(R550),R550&gt;1,P550&gt;0),R550/P550-1,"")</f>
        <v>-0.620496949581929</v>
      </c>
      <c r="T550" s="9" t="n">
        <f aca="false">IF(AND(ISNUMBER(P550),P550&gt;0),P550*EXP('Read me'!$B$22),"")</f>
        <v>83.6790947455642</v>
      </c>
    </row>
    <row r="551" customFormat="false" ht="15" hidden="false" customHeight="false" outlineLevel="0" collapsed="false">
      <c r="A551" s="14" t="s">
        <v>328</v>
      </c>
      <c r="B551" s="14" t="s">
        <v>197</v>
      </c>
      <c r="C551" s="14" t="s">
        <v>329</v>
      </c>
      <c r="D551" s="14" t="s">
        <v>803</v>
      </c>
      <c r="E551" s="15" t="n">
        <v>8</v>
      </c>
      <c r="F551" s="14" t="s">
        <v>819</v>
      </c>
      <c r="G551" s="8" t="n">
        <v>14</v>
      </c>
      <c r="H551" s="14" t="s">
        <v>1245</v>
      </c>
      <c r="I551" s="14" t="s">
        <v>1246</v>
      </c>
      <c r="J551" s="14" t="s">
        <v>442</v>
      </c>
      <c r="K551" s="8" t="n">
        <v>4</v>
      </c>
      <c r="L551" s="8" t="n">
        <v>60</v>
      </c>
      <c r="M551" s="8" t="n">
        <v>3</v>
      </c>
      <c r="N551" s="8" t="n">
        <v>92</v>
      </c>
      <c r="O551" s="8" t="n">
        <v>14</v>
      </c>
      <c r="P551" s="9" t="n">
        <v>167.190381839364</v>
      </c>
      <c r="Q551" s="10" t="n">
        <v>0.005981205312162</v>
      </c>
      <c r="R551" s="9" t="n">
        <v>34</v>
      </c>
      <c r="S551" s="11" t="n">
        <f aca="false">IF(AND(ISNUMBER(R551),R551&gt;1,P551&gt;0),R551/P551-1,"")</f>
        <v>-0.796639019386492</v>
      </c>
      <c r="T551" s="9" t="n">
        <f aca="false">IF(AND(ISNUMBER(P551),P551&gt;0),P551*EXP('Read me'!$B$22),"")</f>
        <v>204.206793516451</v>
      </c>
    </row>
    <row r="552" customFormat="false" ht="15" hidden="false" customHeight="false" outlineLevel="0" collapsed="false">
      <c r="A552" s="14" t="s">
        <v>334</v>
      </c>
      <c r="B552" s="14" t="s">
        <v>197</v>
      </c>
      <c r="C552" s="14" t="s">
        <v>335</v>
      </c>
      <c r="D552" s="14" t="s">
        <v>877</v>
      </c>
      <c r="E552" s="15" t="n">
        <v>7</v>
      </c>
      <c r="F552" s="14" t="s">
        <v>819</v>
      </c>
      <c r="G552" s="8" t="n">
        <v>12</v>
      </c>
      <c r="H552" s="14" t="s">
        <v>336</v>
      </c>
      <c r="I552" s="14" t="s">
        <v>337</v>
      </c>
      <c r="J552" s="14" t="s">
        <v>338</v>
      </c>
      <c r="K552" s="8" t="n">
        <v>8</v>
      </c>
      <c r="L552" s="8" t="n">
        <v>72</v>
      </c>
      <c r="M552" s="8" t="n">
        <v>3</v>
      </c>
      <c r="N552" s="8" t="n">
        <v>11</v>
      </c>
      <c r="O552" s="8" t="n">
        <v>1</v>
      </c>
      <c r="P552" s="9" t="n">
        <v>6.60489098212704</v>
      </c>
      <c r="Q552" s="10" t="n">
        <v>0.151402953160926</v>
      </c>
      <c r="R552" s="9" t="n">
        <v>9.5</v>
      </c>
      <c r="S552" s="11" t="n">
        <f aca="false">IF(AND(ISNUMBER(R552),R552&gt;1,P552&gt;0),R552/P552-1,"")</f>
        <v>0.438328055028793</v>
      </c>
      <c r="T552" s="9" t="n">
        <f aca="false">IF(AND(ISNUMBER(P552),P552&gt;0),P552*EXP('Read me'!$B$22),"")</f>
        <v>8.0672320629172</v>
      </c>
    </row>
    <row r="553" customFormat="false" ht="15" hidden="false" customHeight="false" outlineLevel="0" collapsed="false">
      <c r="A553" s="14" t="s">
        <v>334</v>
      </c>
      <c r="B553" s="14" t="s">
        <v>197</v>
      </c>
      <c r="C553" s="14" t="s">
        <v>335</v>
      </c>
      <c r="D553" s="14" t="s">
        <v>877</v>
      </c>
      <c r="E553" s="15" t="n">
        <v>7</v>
      </c>
      <c r="F553" s="14" t="s">
        <v>819</v>
      </c>
      <c r="G553" s="8" t="n">
        <v>12</v>
      </c>
      <c r="H553" s="14" t="s">
        <v>339</v>
      </c>
      <c r="I553" s="14" t="s">
        <v>961</v>
      </c>
      <c r="J553" s="14" t="s">
        <v>480</v>
      </c>
      <c r="K553" s="8" t="n">
        <v>3</v>
      </c>
      <c r="L553" s="8" t="n">
        <v>69</v>
      </c>
      <c r="M553" s="8" t="n">
        <v>6</v>
      </c>
      <c r="N553" s="8" t="n">
        <v>15</v>
      </c>
      <c r="O553" s="8" t="n">
        <v>2</v>
      </c>
      <c r="P553" s="9" t="n">
        <v>6.97450119585363</v>
      </c>
      <c r="Q553" s="10" t="n">
        <v>0.143379429140324</v>
      </c>
      <c r="R553" s="9" t="n">
        <v>4</v>
      </c>
      <c r="S553" s="11" t="n">
        <f aca="false">IF(AND(ISNUMBER(R553),R553&gt;1,P553&gt;0),R553/P553-1,"")</f>
        <v>-0.426482283438704</v>
      </c>
      <c r="T553" s="9" t="n">
        <f aca="false">IF(AND(ISNUMBER(P553),P553&gt;0),P553*EXP('Read me'!$B$22),"")</f>
        <v>8.51867499740703</v>
      </c>
    </row>
    <row r="554" customFormat="false" ht="15" hidden="false" customHeight="false" outlineLevel="0" collapsed="false">
      <c r="A554" s="14" t="s">
        <v>334</v>
      </c>
      <c r="B554" s="14" t="s">
        <v>197</v>
      </c>
      <c r="C554" s="14" t="s">
        <v>335</v>
      </c>
      <c r="D554" s="14" t="s">
        <v>877</v>
      </c>
      <c r="E554" s="15" t="n">
        <v>7</v>
      </c>
      <c r="F554" s="14" t="s">
        <v>819</v>
      </c>
      <c r="G554" s="8" t="n">
        <v>12</v>
      </c>
      <c r="H554" s="14" t="s">
        <v>1247</v>
      </c>
      <c r="I554" s="14" t="s">
        <v>1248</v>
      </c>
      <c r="J554" s="14" t="s">
        <v>1249</v>
      </c>
      <c r="K554" s="8" t="n">
        <v>6</v>
      </c>
      <c r="L554" s="8" t="n">
        <v>67</v>
      </c>
      <c r="M554" s="8" t="n">
        <v>3</v>
      </c>
      <c r="N554" s="8" t="n">
        <v>12</v>
      </c>
      <c r="O554" s="8" t="n">
        <v>3</v>
      </c>
      <c r="P554" s="9" t="n">
        <v>7.79092297333167</v>
      </c>
      <c r="Q554" s="10" t="n">
        <v>0.12835449707602</v>
      </c>
      <c r="R554" s="9" t="n">
        <v>6</v>
      </c>
      <c r="S554" s="11" t="n">
        <f aca="false">IF(AND(ISNUMBER(R554),R554&gt;1,P554&gt;0),R554/P554-1,"")</f>
        <v>-0.229873017543877</v>
      </c>
      <c r="T554" s="9" t="n">
        <f aca="false">IF(AND(ISNUMBER(P554),P554&gt;0),P554*EXP('Read me'!$B$22),"")</f>
        <v>9.51585480824073</v>
      </c>
    </row>
    <row r="555" customFormat="false" ht="15" hidden="false" customHeight="false" outlineLevel="0" collapsed="false">
      <c r="A555" s="14" t="s">
        <v>334</v>
      </c>
      <c r="B555" s="14" t="s">
        <v>197</v>
      </c>
      <c r="C555" s="14" t="s">
        <v>335</v>
      </c>
      <c r="D555" s="14" t="s">
        <v>877</v>
      </c>
      <c r="E555" s="15" t="n">
        <v>7</v>
      </c>
      <c r="F555" s="14" t="s">
        <v>819</v>
      </c>
      <c r="G555" s="8" t="n">
        <v>12</v>
      </c>
      <c r="H555" s="14" t="s">
        <v>1250</v>
      </c>
      <c r="I555" s="14" t="s">
        <v>820</v>
      </c>
      <c r="J555" s="14" t="s">
        <v>692</v>
      </c>
      <c r="K555" s="8" t="n">
        <v>5</v>
      </c>
      <c r="L555" s="8" t="n">
        <v>69</v>
      </c>
      <c r="M555" s="8" t="n">
        <v>4</v>
      </c>
      <c r="N555" s="8" t="n">
        <v>104</v>
      </c>
      <c r="O555" s="8" t="n">
        <v>4</v>
      </c>
      <c r="P555" s="9" t="n">
        <v>7.88095505918759</v>
      </c>
      <c r="Q555" s="10" t="n">
        <v>0.126888174401427</v>
      </c>
      <c r="R555" s="9" t="n">
        <v>11</v>
      </c>
      <c r="S555" s="11" t="n">
        <f aca="false">IF(AND(ISNUMBER(R555),R555&gt;1,P555&gt;0),R555/P555-1,"")</f>
        <v>0.395769918415692</v>
      </c>
      <c r="T555" s="9" t="n">
        <f aca="false">IF(AND(ISNUMBER(P555),P555&gt;0),P555*EXP('Read me'!$B$22),"")</f>
        <v>9.62582024622807</v>
      </c>
    </row>
    <row r="556" customFormat="false" ht="15" hidden="false" customHeight="false" outlineLevel="0" collapsed="false">
      <c r="A556" s="14" t="s">
        <v>334</v>
      </c>
      <c r="B556" s="14" t="s">
        <v>197</v>
      </c>
      <c r="C556" s="14" t="s">
        <v>335</v>
      </c>
      <c r="D556" s="14" t="s">
        <v>877</v>
      </c>
      <c r="E556" s="15" t="n">
        <v>7</v>
      </c>
      <c r="F556" s="14" t="s">
        <v>819</v>
      </c>
      <c r="G556" s="8" t="n">
        <v>12</v>
      </c>
      <c r="H556" s="14" t="s">
        <v>1251</v>
      </c>
      <c r="I556" s="14" t="s">
        <v>306</v>
      </c>
      <c r="J556" s="14" t="s">
        <v>127</v>
      </c>
      <c r="K556" s="8" t="n">
        <v>1</v>
      </c>
      <c r="L556" s="8" t="n">
        <v>72</v>
      </c>
      <c r="M556" s="8" t="n">
        <v>5</v>
      </c>
      <c r="N556" s="8" t="n">
        <v>12</v>
      </c>
      <c r="O556" s="8" t="n">
        <v>5</v>
      </c>
      <c r="P556" s="9" t="n">
        <v>9.76316925774466</v>
      </c>
      <c r="Q556" s="10" t="n">
        <v>0.102425756800923</v>
      </c>
      <c r="R556" s="9" t="n">
        <v>13</v>
      </c>
      <c r="S556" s="11" t="n">
        <f aca="false">IF(AND(ISNUMBER(R556),R556&gt;1,P556&gt;0),R556/P556-1,"")</f>
        <v>0.331534838411996</v>
      </c>
      <c r="T556" s="9" t="n">
        <f aca="false">IF(AND(ISNUMBER(P556),P556&gt;0),P556*EXP('Read me'!$B$22),"")</f>
        <v>11.9247618597939</v>
      </c>
    </row>
    <row r="557" customFormat="false" ht="15" hidden="false" customHeight="false" outlineLevel="0" collapsed="false">
      <c r="A557" s="14" t="s">
        <v>334</v>
      </c>
      <c r="B557" s="14" t="s">
        <v>197</v>
      </c>
      <c r="C557" s="14" t="s">
        <v>335</v>
      </c>
      <c r="D557" s="14" t="s">
        <v>877</v>
      </c>
      <c r="E557" s="15" t="n">
        <v>7</v>
      </c>
      <c r="F557" s="14" t="s">
        <v>819</v>
      </c>
      <c r="G557" s="8" t="n">
        <v>12</v>
      </c>
      <c r="H557" s="14" t="s">
        <v>1252</v>
      </c>
      <c r="I557" s="14" t="s">
        <v>1170</v>
      </c>
      <c r="J557" s="14" t="s">
        <v>1253</v>
      </c>
      <c r="K557" s="8" t="n">
        <v>2</v>
      </c>
      <c r="L557" s="8" t="n">
        <v>72</v>
      </c>
      <c r="M557" s="8" t="n">
        <v>4</v>
      </c>
      <c r="N557" s="8" t="n">
        <v>9</v>
      </c>
      <c r="O557" s="8" t="n">
        <v>6</v>
      </c>
      <c r="P557" s="9" t="n">
        <v>10.7158918259793</v>
      </c>
      <c r="Q557" s="10" t="n">
        <v>0.0933193444129058</v>
      </c>
      <c r="R557" s="9" t="n">
        <v>7.5</v>
      </c>
      <c r="S557" s="11" t="n">
        <f aca="false">IF(AND(ISNUMBER(R557),R557&gt;1,P557&gt;0),R557/P557-1,"")</f>
        <v>-0.300104916903206</v>
      </c>
      <c r="T557" s="9" t="n">
        <f aca="false">IF(AND(ISNUMBER(P557),P557&gt;0),P557*EXP('Read me'!$B$22),"")</f>
        <v>13.0884198323971</v>
      </c>
    </row>
    <row r="558" customFormat="false" ht="15" hidden="false" customHeight="false" outlineLevel="0" collapsed="false">
      <c r="A558" s="14" t="s">
        <v>334</v>
      </c>
      <c r="B558" s="14" t="s">
        <v>197</v>
      </c>
      <c r="C558" s="14" t="s">
        <v>335</v>
      </c>
      <c r="D558" s="14" t="s">
        <v>877</v>
      </c>
      <c r="E558" s="15" t="n">
        <v>7</v>
      </c>
      <c r="F558" s="14" t="s">
        <v>819</v>
      </c>
      <c r="G558" s="8" t="n">
        <v>12</v>
      </c>
      <c r="H558" s="14" t="s">
        <v>1254</v>
      </c>
      <c r="I558" s="14" t="s">
        <v>343</v>
      </c>
      <c r="J558" s="14" t="s">
        <v>703</v>
      </c>
      <c r="K558" s="8" t="n">
        <v>11</v>
      </c>
      <c r="L558" s="8" t="n">
        <v>70</v>
      </c>
      <c r="M558" s="8" t="n">
        <v>6</v>
      </c>
      <c r="N558" s="8" t="n">
        <v>14</v>
      </c>
      <c r="O558" s="8" t="n">
        <v>7</v>
      </c>
      <c r="P558" s="9" t="n">
        <v>14.0069530083833</v>
      </c>
      <c r="Q558" s="10" t="n">
        <v>0.0713931145054525</v>
      </c>
      <c r="R558" s="9" t="n">
        <v>5.5</v>
      </c>
      <c r="S558" s="11" t="n">
        <f aca="false">IF(AND(ISNUMBER(R558),R558&gt;1,P558&gt;0),R558/P558-1,"")</f>
        <v>-0.607337870220011</v>
      </c>
      <c r="T558" s="9" t="n">
        <f aca="false">IF(AND(ISNUMBER(P558),P558&gt;0),P558*EXP('Read me'!$B$22),"")</f>
        <v>17.1081310378592</v>
      </c>
    </row>
    <row r="559" customFormat="false" ht="15" hidden="false" customHeight="false" outlineLevel="0" collapsed="false">
      <c r="A559" s="14" t="s">
        <v>334</v>
      </c>
      <c r="B559" s="14" t="s">
        <v>197</v>
      </c>
      <c r="C559" s="14" t="s">
        <v>335</v>
      </c>
      <c r="D559" s="14" t="s">
        <v>877</v>
      </c>
      <c r="E559" s="15" t="n">
        <v>7</v>
      </c>
      <c r="F559" s="14" t="s">
        <v>819</v>
      </c>
      <c r="G559" s="8" t="n">
        <v>12</v>
      </c>
      <c r="H559" s="14" t="s">
        <v>1255</v>
      </c>
      <c r="I559" s="14" t="s">
        <v>326</v>
      </c>
      <c r="J559" s="14" t="s">
        <v>1249</v>
      </c>
      <c r="K559" s="8" t="n">
        <v>12</v>
      </c>
      <c r="L559" s="8" t="n">
        <v>68</v>
      </c>
      <c r="M559" s="8" t="n">
        <v>3</v>
      </c>
      <c r="N559" s="8" t="n">
        <v>17</v>
      </c>
      <c r="O559" s="8" t="n">
        <v>8</v>
      </c>
      <c r="P559" s="9" t="n">
        <v>14.54412421912</v>
      </c>
      <c r="Q559" s="10" t="n">
        <v>0.0687562884457064</v>
      </c>
      <c r="R559" s="9" t="n">
        <v>12</v>
      </c>
      <c r="S559" s="11" t="n">
        <f aca="false">IF(AND(ISNUMBER(R559),R559&gt;1,P559&gt;0),R559/P559-1,"")</f>
        <v>-0.174924538651522</v>
      </c>
      <c r="T559" s="9" t="n">
        <f aca="false">IF(AND(ISNUMBER(P559),P559&gt;0),P559*EXP('Read me'!$B$22),"")</f>
        <v>17.7642334362573</v>
      </c>
    </row>
    <row r="560" customFormat="false" ht="15" hidden="false" customHeight="false" outlineLevel="0" collapsed="false">
      <c r="A560" s="14" t="s">
        <v>334</v>
      </c>
      <c r="B560" s="14" t="s">
        <v>197</v>
      </c>
      <c r="C560" s="14" t="s">
        <v>335</v>
      </c>
      <c r="D560" s="14" t="s">
        <v>877</v>
      </c>
      <c r="E560" s="15" t="n">
        <v>7</v>
      </c>
      <c r="F560" s="14" t="s">
        <v>819</v>
      </c>
      <c r="G560" s="8" t="n">
        <v>12</v>
      </c>
      <c r="H560" s="14" t="s">
        <v>1256</v>
      </c>
      <c r="I560" s="14" t="s">
        <v>956</v>
      </c>
      <c r="J560" s="14" t="s">
        <v>1257</v>
      </c>
      <c r="K560" s="8" t="n">
        <v>4</v>
      </c>
      <c r="L560" s="8" t="n">
        <v>66</v>
      </c>
      <c r="M560" s="8" t="n">
        <v>5</v>
      </c>
      <c r="N560" s="8" t="n">
        <v>22</v>
      </c>
      <c r="O560" s="8" t="n">
        <v>9</v>
      </c>
      <c r="P560" s="9" t="n">
        <v>23.3604625117097</v>
      </c>
      <c r="Q560" s="10" t="n">
        <v>0.0428073716219762</v>
      </c>
      <c r="R560" s="9" t="n">
        <v>12</v>
      </c>
      <c r="S560" s="11" t="n">
        <f aca="false">IF(AND(ISNUMBER(R560),R560&gt;1,P560&gt;0),R560/P560-1,"")</f>
        <v>-0.486311540536285</v>
      </c>
      <c r="T560" s="9" t="n">
        <f aca="false">IF(AND(ISNUMBER(P560),P560&gt;0),P560*EXP('Read me'!$B$22),"")</f>
        <v>28.5325333436994</v>
      </c>
    </row>
    <row r="561" customFormat="false" ht="15" hidden="false" customHeight="false" outlineLevel="0" collapsed="false">
      <c r="A561" s="14" t="s">
        <v>334</v>
      </c>
      <c r="B561" s="14" t="s">
        <v>197</v>
      </c>
      <c r="C561" s="14" t="s">
        <v>335</v>
      </c>
      <c r="D561" s="14" t="s">
        <v>877</v>
      </c>
      <c r="E561" s="15" t="n">
        <v>7</v>
      </c>
      <c r="F561" s="14" t="s">
        <v>819</v>
      </c>
      <c r="G561" s="8" t="n">
        <v>12</v>
      </c>
      <c r="H561" s="14" t="s">
        <v>1258</v>
      </c>
      <c r="I561" s="14" t="s">
        <v>827</v>
      </c>
      <c r="J561" s="14" t="s">
        <v>692</v>
      </c>
      <c r="K561" s="8" t="n">
        <v>13</v>
      </c>
      <c r="L561" s="8" t="n">
        <v>70</v>
      </c>
      <c r="M561" s="8" t="n">
        <v>3</v>
      </c>
      <c r="N561" s="8" t="n">
        <v>83</v>
      </c>
      <c r="O561" s="8" t="n">
        <v>10</v>
      </c>
      <c r="P561" s="9" t="n">
        <v>25.8691784858546</v>
      </c>
      <c r="Q561" s="10" t="n">
        <v>0.0386560400650838</v>
      </c>
      <c r="R561" s="9" t="n">
        <v>21</v>
      </c>
      <c r="S561" s="11" t="n">
        <f aca="false">IF(AND(ISNUMBER(R561),R561&gt;1,P561&gt;0),R561/P561-1,"")</f>
        <v>-0.18822315863324</v>
      </c>
      <c r="T561" s="9" t="n">
        <f aca="false">IF(AND(ISNUMBER(P561),P561&gt;0),P561*EXP('Read me'!$B$22),"")</f>
        <v>31.5966859539605</v>
      </c>
    </row>
    <row r="562" customFormat="false" ht="15" hidden="false" customHeight="false" outlineLevel="0" collapsed="false">
      <c r="A562" s="14" t="s">
        <v>334</v>
      </c>
      <c r="B562" s="14" t="s">
        <v>197</v>
      </c>
      <c r="C562" s="14" t="s">
        <v>335</v>
      </c>
      <c r="D562" s="14" t="s">
        <v>877</v>
      </c>
      <c r="E562" s="15" t="n">
        <v>7</v>
      </c>
      <c r="F562" s="14" t="s">
        <v>819</v>
      </c>
      <c r="G562" s="8" t="n">
        <v>12</v>
      </c>
      <c r="H562" s="14" t="s">
        <v>1259</v>
      </c>
      <c r="I562" s="14" t="s">
        <v>822</v>
      </c>
      <c r="J562" s="14" t="s">
        <v>744</v>
      </c>
      <c r="K562" s="8" t="n">
        <v>10</v>
      </c>
      <c r="L562" s="8" t="n">
        <v>69</v>
      </c>
      <c r="M562" s="8" t="n">
        <v>3</v>
      </c>
      <c r="N562" s="8" t="n">
        <v>113</v>
      </c>
      <c r="O562" s="8" t="n">
        <v>11</v>
      </c>
      <c r="P562" s="9" t="n">
        <v>33.524348900549</v>
      </c>
      <c r="Q562" s="10" t="n">
        <v>0.0298290655238832</v>
      </c>
      <c r="R562" s="9" t="n">
        <v>26</v>
      </c>
      <c r="S562" s="11" t="n">
        <f aca="false">IF(AND(ISNUMBER(R562),R562&gt;1,P562&gt;0),R562/P562-1,"")</f>
        <v>-0.224444296379035</v>
      </c>
      <c r="T562" s="9" t="n">
        <f aca="false">IF(AND(ISNUMBER(P562),P562&gt;0),P562*EXP('Read me'!$B$22),"")</f>
        <v>40.9467322126544</v>
      </c>
    </row>
    <row r="563" customFormat="false" ht="15" hidden="false" customHeight="false" outlineLevel="0" collapsed="false">
      <c r="A563" s="14" t="s">
        <v>334</v>
      </c>
      <c r="B563" s="14" t="s">
        <v>197</v>
      </c>
      <c r="C563" s="14" t="s">
        <v>335</v>
      </c>
      <c r="D563" s="14" t="s">
        <v>877</v>
      </c>
      <c r="E563" s="15" t="n">
        <v>7</v>
      </c>
      <c r="F563" s="14" t="s">
        <v>819</v>
      </c>
      <c r="G563" s="8" t="n">
        <v>12</v>
      </c>
      <c r="H563" s="14" t="s">
        <v>1260</v>
      </c>
      <c r="I563" s="14" t="s">
        <v>1087</v>
      </c>
      <c r="J563" s="14" t="s">
        <v>703</v>
      </c>
      <c r="K563" s="8" t="n">
        <v>9</v>
      </c>
      <c r="L563" s="8" t="n">
        <v>69</v>
      </c>
      <c r="M563" s="8" t="n">
        <v>7</v>
      </c>
      <c r="N563" s="8" t="n">
        <v>8</v>
      </c>
      <c r="O563" s="8" t="n">
        <v>12</v>
      </c>
      <c r="P563" s="9" t="n">
        <v>358.684580137293</v>
      </c>
      <c r="Q563" s="10" t="n">
        <v>0.0027879648453725</v>
      </c>
      <c r="R563" s="9" t="n">
        <v>34</v>
      </c>
      <c r="S563" s="11" t="n">
        <f aca="false">IF(AND(ISNUMBER(R563),R563&gt;1,P563&gt;0),R563/P563-1,"")</f>
        <v>-0.905209195257332</v>
      </c>
      <c r="T563" s="9" t="n">
        <f aca="false">IF(AND(ISNUMBER(P563),P563&gt;0),P563*EXP('Read me'!$B$22),"")</f>
        <v>438.098335489212</v>
      </c>
    </row>
    <row r="564" customFormat="false" ht="15" hidden="false" customHeight="false" outlineLevel="0" collapsed="false">
      <c r="A564" s="14" t="s">
        <v>340</v>
      </c>
      <c r="B564" s="14" t="s">
        <v>197</v>
      </c>
      <c r="C564" s="14" t="s">
        <v>341</v>
      </c>
      <c r="D564" s="14" t="s">
        <v>877</v>
      </c>
      <c r="E564" s="15" t="n">
        <v>6</v>
      </c>
      <c r="F564" s="14" t="s">
        <v>819</v>
      </c>
      <c r="G564" s="8" t="n">
        <v>13</v>
      </c>
      <c r="H564" s="14" t="s">
        <v>342</v>
      </c>
      <c r="I564" s="14" t="s">
        <v>343</v>
      </c>
      <c r="J564" s="14" t="s">
        <v>344</v>
      </c>
      <c r="K564" s="8" t="n">
        <v>7</v>
      </c>
      <c r="L564" s="8" t="n">
        <v>71</v>
      </c>
      <c r="M564" s="8" t="n">
        <v>4</v>
      </c>
      <c r="N564" s="8" t="n">
        <v>10</v>
      </c>
      <c r="O564" s="8" t="n">
        <v>1</v>
      </c>
      <c r="P564" s="9" t="n">
        <v>4.35247403174201</v>
      </c>
      <c r="Q564" s="10" t="n">
        <v>0.229754386288611</v>
      </c>
      <c r="R564" s="9" t="n">
        <v>3.25</v>
      </c>
      <c r="S564" s="11" t="n">
        <f aca="false">IF(AND(ISNUMBER(R564),R564&gt;1,P564&gt;0),R564/P564-1,"")</f>
        <v>-0.253298244562015</v>
      </c>
      <c r="T564" s="9" t="n">
        <f aca="false">IF(AND(ISNUMBER(P564),P564&gt;0),P564*EXP('Read me'!$B$22),"")</f>
        <v>5.3161237871902</v>
      </c>
    </row>
    <row r="565" customFormat="false" ht="15" hidden="false" customHeight="false" outlineLevel="0" collapsed="false">
      <c r="A565" s="14" t="s">
        <v>340</v>
      </c>
      <c r="B565" s="14" t="s">
        <v>197</v>
      </c>
      <c r="C565" s="14" t="s">
        <v>341</v>
      </c>
      <c r="D565" s="14" t="s">
        <v>877</v>
      </c>
      <c r="E565" s="15" t="n">
        <v>6</v>
      </c>
      <c r="F565" s="14" t="s">
        <v>819</v>
      </c>
      <c r="G565" s="8" t="n">
        <v>13</v>
      </c>
      <c r="H565" s="14" t="s">
        <v>345</v>
      </c>
      <c r="I565" s="14" t="s">
        <v>306</v>
      </c>
      <c r="J565" s="14" t="s">
        <v>629</v>
      </c>
      <c r="K565" s="8" t="n">
        <v>8</v>
      </c>
      <c r="L565" s="8" t="n">
        <v>74</v>
      </c>
      <c r="M565" s="8" t="n">
        <v>6</v>
      </c>
      <c r="N565" s="8" t="n">
        <v>21</v>
      </c>
      <c r="O565" s="8" t="n">
        <v>2</v>
      </c>
      <c r="P565" s="9" t="n">
        <v>6.1152374234686</v>
      </c>
      <c r="Q565" s="10" t="n">
        <v>0.163525948504023</v>
      </c>
      <c r="R565" s="9" t="n">
        <v>4.5</v>
      </c>
      <c r="S565" s="11" t="n">
        <f aca="false">IF(AND(ISNUMBER(R565),R565&gt;1,P565&gt;0),R565/P565-1,"")</f>
        <v>-0.264133231731896</v>
      </c>
      <c r="T565" s="9" t="n">
        <f aca="false">IF(AND(ISNUMBER(P565),P565&gt;0),P565*EXP('Read me'!$B$22),"")</f>
        <v>7.46916785582883</v>
      </c>
    </row>
    <row r="566" customFormat="false" ht="15" hidden="false" customHeight="false" outlineLevel="0" collapsed="false">
      <c r="A566" s="14" t="s">
        <v>340</v>
      </c>
      <c r="B566" s="14" t="s">
        <v>197</v>
      </c>
      <c r="C566" s="14" t="s">
        <v>341</v>
      </c>
      <c r="D566" s="14" t="s">
        <v>877</v>
      </c>
      <c r="E566" s="15" t="n">
        <v>6</v>
      </c>
      <c r="F566" s="14" t="s">
        <v>819</v>
      </c>
      <c r="G566" s="8" t="n">
        <v>13</v>
      </c>
      <c r="H566" s="14" t="s">
        <v>1261</v>
      </c>
      <c r="I566" s="14" t="s">
        <v>822</v>
      </c>
      <c r="J566" s="14" t="s">
        <v>127</v>
      </c>
      <c r="K566" s="8" t="n">
        <v>14</v>
      </c>
      <c r="L566" s="8" t="n">
        <v>76</v>
      </c>
      <c r="M566" s="8" t="n">
        <v>3</v>
      </c>
      <c r="N566" s="8" t="n">
        <v>8</v>
      </c>
      <c r="O566" s="8" t="n">
        <v>3</v>
      </c>
      <c r="P566" s="9" t="n">
        <v>7.99586275994608</v>
      </c>
      <c r="Q566" s="10" t="n">
        <v>0.125064677824303</v>
      </c>
      <c r="R566" s="9" t="n">
        <v>7.5</v>
      </c>
      <c r="S566" s="11" t="n">
        <f aca="false">IF(AND(ISNUMBER(R566),R566&gt;1,P566&gt;0),R566/P566-1,"")</f>
        <v>-0.0620149163177259</v>
      </c>
      <c r="T566" s="9" t="n">
        <f aca="false">IF(AND(ISNUMBER(P566),P566&gt;0),P566*EXP('Read me'!$B$22),"")</f>
        <v>9.76616882886833</v>
      </c>
    </row>
    <row r="567" customFormat="false" ht="15" hidden="false" customHeight="false" outlineLevel="0" collapsed="false">
      <c r="A567" s="14" t="s">
        <v>340</v>
      </c>
      <c r="B567" s="14" t="s">
        <v>197</v>
      </c>
      <c r="C567" s="14" t="s">
        <v>341</v>
      </c>
      <c r="D567" s="14" t="s">
        <v>877</v>
      </c>
      <c r="E567" s="15" t="n">
        <v>6</v>
      </c>
      <c r="F567" s="14" t="s">
        <v>819</v>
      </c>
      <c r="G567" s="8" t="n">
        <v>13</v>
      </c>
      <c r="H567" s="14" t="s">
        <v>1262</v>
      </c>
      <c r="I567" s="14" t="s">
        <v>959</v>
      </c>
      <c r="J567" s="14" t="s">
        <v>67</v>
      </c>
      <c r="K567" s="8" t="n">
        <v>2</v>
      </c>
      <c r="L567" s="8" t="n">
        <v>75</v>
      </c>
      <c r="M567" s="8" t="n">
        <v>3</v>
      </c>
      <c r="N567" s="8" t="n">
        <v>59</v>
      </c>
      <c r="O567" s="8" t="n">
        <v>4</v>
      </c>
      <c r="P567" s="9" t="n">
        <v>14.2230468401084</v>
      </c>
      <c r="Q567" s="10" t="n">
        <v>0.0703084234511581</v>
      </c>
      <c r="R567" s="9" t="n">
        <v>6.5</v>
      </c>
      <c r="S567" s="11" t="n">
        <f aca="false">IF(AND(ISNUMBER(R567),R567&gt;1,P567&gt;0),R567/P567-1,"")</f>
        <v>-0.542995247567472</v>
      </c>
      <c r="T567" s="9" t="n">
        <f aca="false">IF(AND(ISNUMBER(P567),P567&gt;0),P567*EXP('Read me'!$B$22),"")</f>
        <v>17.3720686399497</v>
      </c>
    </row>
    <row r="568" customFormat="false" ht="15" hidden="false" customHeight="false" outlineLevel="0" collapsed="false">
      <c r="A568" s="14" t="s">
        <v>340</v>
      </c>
      <c r="B568" s="14" t="s">
        <v>197</v>
      </c>
      <c r="C568" s="14" t="s">
        <v>341</v>
      </c>
      <c r="D568" s="14" t="s">
        <v>877</v>
      </c>
      <c r="E568" s="15" t="n">
        <v>6</v>
      </c>
      <c r="F568" s="14" t="s">
        <v>819</v>
      </c>
      <c r="G568" s="8" t="n">
        <v>13</v>
      </c>
      <c r="H568" s="14" t="s">
        <v>1263</v>
      </c>
      <c r="I568" s="14" t="s">
        <v>278</v>
      </c>
      <c r="J568" s="14" t="s">
        <v>279</v>
      </c>
      <c r="K568" s="8" t="n">
        <v>13</v>
      </c>
      <c r="L568" s="8" t="n">
        <v>75</v>
      </c>
      <c r="M568" s="8" t="n">
        <v>6</v>
      </c>
      <c r="N568" s="8" t="n">
        <v>30</v>
      </c>
      <c r="O568" s="8" t="n">
        <v>5</v>
      </c>
      <c r="P568" s="9" t="n">
        <v>15.1336776752144</v>
      </c>
      <c r="Q568" s="10" t="n">
        <v>0.066077791628784</v>
      </c>
      <c r="R568" s="9" t="n">
        <v>13</v>
      </c>
      <c r="S568" s="11" t="n">
        <f aca="false">IF(AND(ISNUMBER(R568),R568&gt;1,P568&gt;0),R568/P568-1,"")</f>
        <v>-0.140988708825807</v>
      </c>
      <c r="T568" s="9" t="n">
        <f aca="false">IF(AND(ISNUMBER(P568),P568&gt;0),P568*EXP('Read me'!$B$22),"")</f>
        <v>18.4843156536139</v>
      </c>
    </row>
    <row r="569" customFormat="false" ht="15" hidden="false" customHeight="false" outlineLevel="0" collapsed="false">
      <c r="A569" s="14" t="s">
        <v>340</v>
      </c>
      <c r="B569" s="14" t="s">
        <v>197</v>
      </c>
      <c r="C569" s="14" t="s">
        <v>341</v>
      </c>
      <c r="D569" s="14" t="s">
        <v>877</v>
      </c>
      <c r="E569" s="15" t="n">
        <v>6</v>
      </c>
      <c r="F569" s="14" t="s">
        <v>819</v>
      </c>
      <c r="G569" s="8" t="n">
        <v>13</v>
      </c>
      <c r="H569" s="14" t="s">
        <v>1264</v>
      </c>
      <c r="I569" s="14" t="s">
        <v>200</v>
      </c>
      <c r="J569" s="14" t="s">
        <v>463</v>
      </c>
      <c r="K569" s="8" t="n">
        <v>6</v>
      </c>
      <c r="L569" s="8" t="n">
        <v>71</v>
      </c>
      <c r="M569" s="8" t="n">
        <v>4</v>
      </c>
      <c r="N569" s="8" t="n">
        <v>25</v>
      </c>
      <c r="O569" s="8" t="n">
        <v>6</v>
      </c>
      <c r="P569" s="9" t="n">
        <v>17.9140564767704</v>
      </c>
      <c r="Q569" s="10" t="n">
        <v>0.0558220859299358</v>
      </c>
      <c r="R569" s="9" t="n">
        <v>12</v>
      </c>
      <c r="S569" s="11" t="n">
        <f aca="false">IF(AND(ISNUMBER(R569),R569&gt;1,P569&gt;0),R569/P569-1,"")</f>
        <v>-0.33013496884077</v>
      </c>
      <c r="T569" s="9" t="n">
        <f aca="false">IF(AND(ISNUMBER(P569),P569&gt;0),P569*EXP('Read me'!$B$22),"")</f>
        <v>21.8802779905644</v>
      </c>
    </row>
    <row r="570" customFormat="false" ht="15" hidden="false" customHeight="false" outlineLevel="0" collapsed="false">
      <c r="A570" s="14" t="s">
        <v>340</v>
      </c>
      <c r="B570" s="14" t="s">
        <v>197</v>
      </c>
      <c r="C570" s="14" t="s">
        <v>341</v>
      </c>
      <c r="D570" s="14" t="s">
        <v>877</v>
      </c>
      <c r="E570" s="15" t="n">
        <v>6</v>
      </c>
      <c r="F570" s="14" t="s">
        <v>819</v>
      </c>
      <c r="G570" s="8" t="n">
        <v>13</v>
      </c>
      <c r="H570" s="14" t="s">
        <v>1265</v>
      </c>
      <c r="I570" s="14" t="s">
        <v>1170</v>
      </c>
      <c r="J570" s="14" t="s">
        <v>230</v>
      </c>
      <c r="K570" s="8" t="n">
        <v>3</v>
      </c>
      <c r="L570" s="8" t="n">
        <v>73</v>
      </c>
      <c r="M570" s="8" t="n">
        <v>3</v>
      </c>
      <c r="N570" s="8" t="n">
        <v>17</v>
      </c>
      <c r="O570" s="8" t="n">
        <v>7</v>
      </c>
      <c r="P570" s="9" t="n">
        <v>19.4015988197202</v>
      </c>
      <c r="Q570" s="10" t="n">
        <v>0.051542143989885</v>
      </c>
      <c r="R570" s="9" t="n">
        <v>26</v>
      </c>
      <c r="S570" s="11" t="n">
        <f aca="false">IF(AND(ISNUMBER(R570),R570&gt;1,P570&gt;0),R570/P570-1,"")</f>
        <v>0.340095743737011</v>
      </c>
      <c r="T570" s="9" t="n">
        <f aca="false">IF(AND(ISNUMBER(P570),P570&gt;0),P570*EXP('Read me'!$B$22),"")</f>
        <v>23.6971663111233</v>
      </c>
    </row>
    <row r="571" customFormat="false" ht="15" hidden="false" customHeight="false" outlineLevel="0" collapsed="false">
      <c r="A571" s="14" t="s">
        <v>340</v>
      </c>
      <c r="B571" s="14" t="s">
        <v>197</v>
      </c>
      <c r="C571" s="14" t="s">
        <v>341</v>
      </c>
      <c r="D571" s="14" t="s">
        <v>877</v>
      </c>
      <c r="E571" s="15" t="n">
        <v>6</v>
      </c>
      <c r="F571" s="14" t="s">
        <v>819</v>
      </c>
      <c r="G571" s="8" t="n">
        <v>13</v>
      </c>
      <c r="H571" s="14" t="s">
        <v>1266</v>
      </c>
      <c r="I571" s="14" t="s">
        <v>966</v>
      </c>
      <c r="J571" s="14" t="s">
        <v>621</v>
      </c>
      <c r="K571" s="8" t="n">
        <v>11</v>
      </c>
      <c r="L571" s="8" t="n">
        <v>75</v>
      </c>
      <c r="M571" s="8" t="n">
        <v>8</v>
      </c>
      <c r="N571" s="8" t="n">
        <v>29</v>
      </c>
      <c r="O571" s="8" t="n">
        <v>8</v>
      </c>
      <c r="P571" s="9" t="n">
        <v>19.6984458388283</v>
      </c>
      <c r="Q571" s="10" t="n">
        <v>0.0507654262768721</v>
      </c>
      <c r="R571" s="9" t="n">
        <v>12</v>
      </c>
      <c r="S571" s="11" t="n">
        <f aca="false">IF(AND(ISNUMBER(R571),R571&gt;1,P571&gt;0),R571/P571-1,"")</f>
        <v>-0.390814884677534</v>
      </c>
      <c r="T571" s="9" t="n">
        <f aca="false">IF(AND(ISNUMBER(P571),P571&gt;0),P571*EXP('Read me'!$B$22),"")</f>
        <v>24.0597360790137</v>
      </c>
    </row>
    <row r="572" customFormat="false" ht="15" hidden="false" customHeight="false" outlineLevel="0" collapsed="false">
      <c r="A572" s="14" t="s">
        <v>340</v>
      </c>
      <c r="B572" s="14" t="s">
        <v>197</v>
      </c>
      <c r="C572" s="14" t="s">
        <v>341</v>
      </c>
      <c r="D572" s="14" t="s">
        <v>877</v>
      </c>
      <c r="E572" s="15" t="n">
        <v>6</v>
      </c>
      <c r="F572" s="14" t="s">
        <v>819</v>
      </c>
      <c r="G572" s="8" t="n">
        <v>13</v>
      </c>
      <c r="H572" s="14" t="s">
        <v>1267</v>
      </c>
      <c r="I572" s="14" t="s">
        <v>1218</v>
      </c>
      <c r="J572" s="14" t="s">
        <v>442</v>
      </c>
      <c r="K572" s="8" t="n">
        <v>9</v>
      </c>
      <c r="L572" s="8" t="n">
        <v>74</v>
      </c>
      <c r="M572" s="8" t="n">
        <v>3</v>
      </c>
      <c r="N572" s="8" t="n">
        <v>35</v>
      </c>
      <c r="O572" s="8" t="n">
        <v>9</v>
      </c>
      <c r="P572" s="9" t="n">
        <v>20.5504084205138</v>
      </c>
      <c r="Q572" s="10" t="n">
        <v>0.0486608333779772</v>
      </c>
      <c r="R572" s="9" t="n">
        <v>26</v>
      </c>
      <c r="S572" s="11" t="n">
        <f aca="false">IF(AND(ISNUMBER(R572),R572&gt;1,P572&gt;0),R572/P572-1,"")</f>
        <v>0.265181667827408</v>
      </c>
      <c r="T572" s="9" t="n">
        <f aca="false">IF(AND(ISNUMBER(P572),P572&gt;0),P572*EXP('Read me'!$B$22),"")</f>
        <v>25.1003255261335</v>
      </c>
    </row>
    <row r="573" customFormat="false" ht="15" hidden="false" customHeight="false" outlineLevel="0" collapsed="false">
      <c r="A573" s="14" t="s">
        <v>340</v>
      </c>
      <c r="B573" s="14" t="s">
        <v>197</v>
      </c>
      <c r="C573" s="14" t="s">
        <v>341</v>
      </c>
      <c r="D573" s="14" t="s">
        <v>877</v>
      </c>
      <c r="E573" s="15" t="n">
        <v>6</v>
      </c>
      <c r="F573" s="14" t="s">
        <v>819</v>
      </c>
      <c r="G573" s="8" t="n">
        <v>13</v>
      </c>
      <c r="H573" s="14" t="s">
        <v>1268</v>
      </c>
      <c r="I573" s="14" t="s">
        <v>1085</v>
      </c>
      <c r="J573" s="14" t="s">
        <v>188</v>
      </c>
      <c r="K573" s="8" t="n">
        <v>1</v>
      </c>
      <c r="L573" s="8" t="n">
        <v>75</v>
      </c>
      <c r="M573" s="8" t="n">
        <v>4</v>
      </c>
      <c r="N573" s="8" t="n">
        <v>18</v>
      </c>
      <c r="O573" s="8" t="n">
        <v>10</v>
      </c>
      <c r="P573" s="9" t="n">
        <v>22.0912938390151</v>
      </c>
      <c r="Q573" s="10" t="n">
        <v>0.0452667013207672</v>
      </c>
      <c r="R573" s="9" t="n">
        <v>26</v>
      </c>
      <c r="S573" s="11" t="n">
        <f aca="false">IF(AND(ISNUMBER(R573),R573&gt;1,P573&gt;0),R573/P573-1,"")</f>
        <v>0.176934234339948</v>
      </c>
      <c r="T573" s="9" t="n">
        <f aca="false">IF(AND(ISNUMBER(P573),P573&gt;0),P573*EXP('Read me'!$B$22),"")</f>
        <v>26.9823672262998</v>
      </c>
    </row>
    <row r="574" customFormat="false" ht="15" hidden="false" customHeight="false" outlineLevel="0" collapsed="false">
      <c r="A574" s="14" t="s">
        <v>340</v>
      </c>
      <c r="B574" s="14" t="s">
        <v>197</v>
      </c>
      <c r="C574" s="14" t="s">
        <v>341</v>
      </c>
      <c r="D574" s="14" t="s">
        <v>877</v>
      </c>
      <c r="E574" s="15" t="n">
        <v>6</v>
      </c>
      <c r="F574" s="14" t="s">
        <v>819</v>
      </c>
      <c r="G574" s="8" t="n">
        <v>13</v>
      </c>
      <c r="H574" s="14" t="s">
        <v>1269</v>
      </c>
      <c r="I574" s="14" t="s">
        <v>830</v>
      </c>
      <c r="J574" s="14" t="s">
        <v>839</v>
      </c>
      <c r="K574" s="8" t="n">
        <v>5</v>
      </c>
      <c r="L574" s="8" t="n">
        <v>74</v>
      </c>
      <c r="M574" s="8" t="n">
        <v>3</v>
      </c>
      <c r="N574" s="8" t="n">
        <v>98</v>
      </c>
      <c r="O574" s="8" t="n">
        <v>11</v>
      </c>
      <c r="P574" s="9" t="n">
        <v>30.2383799996355</v>
      </c>
      <c r="Q574" s="10" t="n">
        <v>0.0330705547060409</v>
      </c>
      <c r="R574" s="9" t="n">
        <v>34</v>
      </c>
      <c r="S574" s="11" t="n">
        <f aca="false">IF(AND(ISNUMBER(R574),R574&gt;1,P574&gt;0),R574/P574-1,"")</f>
        <v>0.124398860005391</v>
      </c>
      <c r="T574" s="9" t="n">
        <f aca="false">IF(AND(ISNUMBER(P574),P574&gt;0),P574*EXP('Read me'!$B$22),"")</f>
        <v>36.9332407338502</v>
      </c>
    </row>
    <row r="575" customFormat="false" ht="15" hidden="false" customHeight="false" outlineLevel="0" collapsed="false">
      <c r="A575" s="14" t="s">
        <v>340</v>
      </c>
      <c r="B575" s="14" t="s">
        <v>197</v>
      </c>
      <c r="C575" s="14" t="s">
        <v>341</v>
      </c>
      <c r="D575" s="14" t="s">
        <v>877</v>
      </c>
      <c r="E575" s="15" t="n">
        <v>6</v>
      </c>
      <c r="F575" s="14" t="s">
        <v>819</v>
      </c>
      <c r="G575" s="8" t="n">
        <v>13</v>
      </c>
      <c r="H575" s="14" t="s">
        <v>1270</v>
      </c>
      <c r="I575" s="14" t="s">
        <v>838</v>
      </c>
      <c r="J575" s="14" t="s">
        <v>1271</v>
      </c>
      <c r="K575" s="8" t="n">
        <v>4</v>
      </c>
      <c r="L575" s="8" t="n">
        <v>72</v>
      </c>
      <c r="M575" s="8" t="n">
        <v>5</v>
      </c>
      <c r="N575" s="8" t="n">
        <v>30</v>
      </c>
      <c r="O575" s="8" t="n">
        <v>12</v>
      </c>
      <c r="P575" s="9" t="n">
        <v>30.43610312689</v>
      </c>
      <c r="Q575" s="10" t="n">
        <v>0.0328557172983328</v>
      </c>
      <c r="R575" s="9" t="n">
        <v>26</v>
      </c>
      <c r="S575" s="11" t="n">
        <f aca="false">IF(AND(ISNUMBER(R575),R575&gt;1,P575&gt;0),R575/P575-1,"")</f>
        <v>-0.145751350243347</v>
      </c>
      <c r="T575" s="9" t="n">
        <f aca="false">IF(AND(ISNUMBER(P575),P575&gt;0),P575*EXP('Read me'!$B$22),"")</f>
        <v>37.1747403068308</v>
      </c>
    </row>
    <row r="576" customFormat="false" ht="15" hidden="false" customHeight="false" outlineLevel="0" collapsed="false">
      <c r="A576" s="14" t="s">
        <v>340</v>
      </c>
      <c r="B576" s="14" t="s">
        <v>197</v>
      </c>
      <c r="C576" s="14" t="s">
        <v>341</v>
      </c>
      <c r="D576" s="14" t="s">
        <v>877</v>
      </c>
      <c r="E576" s="15" t="n">
        <v>6</v>
      </c>
      <c r="F576" s="14" t="s">
        <v>819</v>
      </c>
      <c r="G576" s="8" t="n">
        <v>13</v>
      </c>
      <c r="H576" s="14" t="s">
        <v>1272</v>
      </c>
      <c r="I576" s="14" t="s">
        <v>1223</v>
      </c>
      <c r="J576" s="14" t="s">
        <v>815</v>
      </c>
      <c r="K576" s="8" t="n">
        <v>10</v>
      </c>
      <c r="L576" s="8" t="n">
        <v>74</v>
      </c>
      <c r="M576" s="8" t="n">
        <v>4</v>
      </c>
      <c r="N576" s="8" t="n">
        <v>63</v>
      </c>
      <c r="O576" s="8" t="n">
        <v>13</v>
      </c>
      <c r="P576" s="9" t="n">
        <v>36.6497584916045</v>
      </c>
      <c r="Q576" s="10" t="n">
        <v>0.0272853094033095</v>
      </c>
      <c r="R576" s="9" t="n">
        <v>21</v>
      </c>
      <c r="S576" s="11" t="n">
        <f aca="false">IF(AND(ISNUMBER(R576),R576&gt;1,P576&gt;0),R576/P576-1,"")</f>
        <v>-0.427008502530499</v>
      </c>
      <c r="T576" s="9" t="n">
        <f aca="false">IF(AND(ISNUMBER(P576),P576&gt;0),P576*EXP('Read me'!$B$22),"")</f>
        <v>44.7641161075498</v>
      </c>
    </row>
  </sheetData>
  <autoFilter ref="A1:T576"/>
  <conditionalFormatting sqref="A2:T576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358</v>
      </c>
      <c r="E1" s="6" t="s">
        <v>359</v>
      </c>
      <c r="F1" s="6" t="s">
        <v>360</v>
      </c>
      <c r="G1" s="6" t="s">
        <v>1</v>
      </c>
      <c r="H1" s="6" t="s">
        <v>361</v>
      </c>
      <c r="I1" s="6" t="s">
        <v>35</v>
      </c>
      <c r="J1" s="6" t="s">
        <v>36</v>
      </c>
      <c r="K1" s="6" t="s">
        <v>362</v>
      </c>
      <c r="L1" s="6" t="s">
        <v>363</v>
      </c>
      <c r="M1" s="6" t="s">
        <v>364</v>
      </c>
      <c r="N1" s="6" t="s">
        <v>365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4" t="s">
        <v>41</v>
      </c>
      <c r="B2" s="14" t="s">
        <v>42</v>
      </c>
      <c r="C2" s="14" t="s">
        <v>43</v>
      </c>
      <c r="D2" s="14" t="s">
        <v>366</v>
      </c>
      <c r="E2" s="15" t="n">
        <v>7</v>
      </c>
      <c r="F2" s="14" t="s">
        <v>367</v>
      </c>
      <c r="G2" s="8" t="n">
        <v>10</v>
      </c>
      <c r="H2" s="14" t="s">
        <v>44</v>
      </c>
      <c r="I2" s="14" t="s">
        <v>45</v>
      </c>
      <c r="J2" s="14" t="s">
        <v>46</v>
      </c>
      <c r="K2" s="8" t="n">
        <v>2</v>
      </c>
      <c r="L2" s="8" t="n">
        <v>85</v>
      </c>
      <c r="M2" s="8" t="n">
        <v>2</v>
      </c>
      <c r="N2" s="8" t="n">
        <v>18</v>
      </c>
      <c r="O2" s="8" t="n">
        <v>1</v>
      </c>
      <c r="P2" s="9" t="n">
        <v>5.42239116953925</v>
      </c>
      <c r="Q2" s="10" t="n">
        <v>0.184420483276379</v>
      </c>
      <c r="R2" s="9" t="n">
        <v>7.5</v>
      </c>
      <c r="S2" s="11" t="n">
        <f aca="false">IF(AND(ISNUMBER(R2),R2&gt;1,P2&gt;0),R2/P2-1,"")</f>
        <v>0.383153624572846</v>
      </c>
      <c r="T2" s="9" t="n">
        <f aca="false">IF(AND(ISNUMBER(P2),P2&gt;0),P2*EXP('Read me'!$B$22),"")</f>
        <v>6.62292353029858</v>
      </c>
    </row>
    <row r="3" customFormat="false" ht="15" hidden="false" customHeight="false" outlineLevel="0" collapsed="false">
      <c r="A3" s="14" t="s">
        <v>41</v>
      </c>
      <c r="B3" s="14" t="s">
        <v>42</v>
      </c>
      <c r="C3" s="14" t="s">
        <v>43</v>
      </c>
      <c r="D3" s="14" t="s">
        <v>366</v>
      </c>
      <c r="E3" s="15" t="n">
        <v>7</v>
      </c>
      <c r="F3" s="14" t="s">
        <v>367</v>
      </c>
      <c r="G3" s="8" t="n">
        <v>10</v>
      </c>
      <c r="H3" s="14" t="s">
        <v>47</v>
      </c>
      <c r="I3" s="14" t="s">
        <v>206</v>
      </c>
      <c r="J3" s="14" t="s">
        <v>60</v>
      </c>
      <c r="K3" s="8" t="n">
        <v>3</v>
      </c>
      <c r="L3" s="8" t="n">
        <v>76</v>
      </c>
      <c r="M3" s="8" t="n">
        <v>2</v>
      </c>
      <c r="N3" s="8" t="n">
        <v>8</v>
      </c>
      <c r="O3" s="8" t="n">
        <v>2</v>
      </c>
      <c r="P3" s="9" t="n">
        <v>7.36937350500186</v>
      </c>
      <c r="Q3" s="10" t="n">
        <v>0.13569674536394</v>
      </c>
      <c r="R3" s="9" t="n">
        <v>8.5</v>
      </c>
      <c r="S3" s="11" t="n">
        <f aca="false">IF(AND(ISNUMBER(R3),R3&gt;1,P3&gt;0),R3/P3-1,"")</f>
        <v>0.153422335593486</v>
      </c>
      <c r="T3" s="9" t="n">
        <f aca="false">IF(AND(ISNUMBER(P3),P3&gt;0),P3*EXP('Read me'!$B$22),"")</f>
        <v>9.00097312492175</v>
      </c>
    </row>
    <row r="4" customFormat="false" ht="15" hidden="false" customHeight="false" outlineLevel="0" collapsed="false">
      <c r="A4" s="14" t="s">
        <v>41</v>
      </c>
      <c r="B4" s="14" t="s">
        <v>42</v>
      </c>
      <c r="C4" s="14" t="s">
        <v>43</v>
      </c>
      <c r="D4" s="14" t="s">
        <v>366</v>
      </c>
      <c r="E4" s="15" t="n">
        <v>7</v>
      </c>
      <c r="F4" s="14" t="s">
        <v>367</v>
      </c>
      <c r="G4" s="8" t="n">
        <v>10</v>
      </c>
      <c r="H4" s="14" t="s">
        <v>368</v>
      </c>
      <c r="I4" s="14" t="s">
        <v>369</v>
      </c>
      <c r="J4" s="14" t="s">
        <v>370</v>
      </c>
      <c r="K4" s="8" t="n">
        <v>4</v>
      </c>
      <c r="L4" s="8" t="n">
        <v>77</v>
      </c>
      <c r="M4" s="8" t="n">
        <v>2</v>
      </c>
      <c r="N4" s="8" t="n">
        <v>10</v>
      </c>
      <c r="O4" s="8" t="n">
        <v>3</v>
      </c>
      <c r="P4" s="9" t="n">
        <v>7.87958832826131</v>
      </c>
      <c r="Q4" s="10" t="n">
        <v>0.126910183418257</v>
      </c>
      <c r="R4" s="9" t="n">
        <v>10</v>
      </c>
      <c r="S4" s="11" t="n">
        <f aca="false">IF(AND(ISNUMBER(R4),R4&gt;1,P4&gt;0),R4/P4-1,"")</f>
        <v>0.26910183418257</v>
      </c>
      <c r="T4" s="9" t="n">
        <f aca="false">IF(AND(ISNUMBER(P4),P4&gt;0),P4*EXP('Read me'!$B$22),"")</f>
        <v>9.62415091730505</v>
      </c>
    </row>
    <row r="5" customFormat="false" ht="15" hidden="false" customHeight="false" outlineLevel="0" collapsed="false">
      <c r="A5" s="14" t="s">
        <v>41</v>
      </c>
      <c r="B5" s="14" t="s">
        <v>42</v>
      </c>
      <c r="C5" s="14" t="s">
        <v>43</v>
      </c>
      <c r="D5" s="14" t="s">
        <v>366</v>
      </c>
      <c r="E5" s="15" t="n">
        <v>7</v>
      </c>
      <c r="F5" s="14" t="s">
        <v>367</v>
      </c>
      <c r="G5" s="8" t="n">
        <v>10</v>
      </c>
      <c r="H5" s="14" t="s">
        <v>371</v>
      </c>
      <c r="I5" s="14" t="s">
        <v>246</v>
      </c>
      <c r="J5" s="14" t="s">
        <v>91</v>
      </c>
      <c r="K5" s="8" t="n">
        <v>6</v>
      </c>
      <c r="L5" s="8" t="n">
        <v>74</v>
      </c>
      <c r="M5" s="8" t="n">
        <v>2</v>
      </c>
      <c r="N5" s="8" t="n">
        <v>22</v>
      </c>
      <c r="O5" s="8" t="n">
        <v>4</v>
      </c>
      <c r="P5" s="9" t="n">
        <v>8.39927337116033</v>
      </c>
      <c r="Q5" s="10" t="n">
        <v>0.119057917966284</v>
      </c>
      <c r="R5" s="9" t="n">
        <v>7</v>
      </c>
      <c r="S5" s="11" t="n">
        <f aca="false">IF(AND(ISNUMBER(R5),R5&gt;1,P5&gt;0),R5/P5-1,"")</f>
        <v>-0.166594574236012</v>
      </c>
      <c r="T5" s="9" t="n">
        <f aca="false">IF(AND(ISNUMBER(P5),P5&gt;0),P5*EXP('Read me'!$B$22),"")</f>
        <v>10.2588956620765</v>
      </c>
    </row>
    <row r="6" customFormat="false" ht="15" hidden="false" customHeight="false" outlineLevel="0" collapsed="false">
      <c r="A6" s="14" t="s">
        <v>41</v>
      </c>
      <c r="B6" s="14" t="s">
        <v>42</v>
      </c>
      <c r="C6" s="14" t="s">
        <v>43</v>
      </c>
      <c r="D6" s="14" t="s">
        <v>366</v>
      </c>
      <c r="E6" s="15" t="n">
        <v>7</v>
      </c>
      <c r="F6" s="14" t="s">
        <v>367</v>
      </c>
      <c r="G6" s="8" t="n">
        <v>10</v>
      </c>
      <c r="H6" s="14" t="s">
        <v>372</v>
      </c>
      <c r="I6" s="14" t="s">
        <v>373</v>
      </c>
      <c r="J6" s="14" t="s">
        <v>370</v>
      </c>
      <c r="K6" s="8" t="n">
        <v>8</v>
      </c>
      <c r="L6" s="8" t="n">
        <v>70</v>
      </c>
      <c r="M6" s="8" t="n">
        <v>2</v>
      </c>
      <c r="N6" s="8" t="n">
        <v>42</v>
      </c>
      <c r="O6" s="8" t="n">
        <v>5</v>
      </c>
      <c r="P6" s="9" t="n">
        <v>9.24698024514735</v>
      </c>
      <c r="Q6" s="10" t="n">
        <v>0.108143412604864</v>
      </c>
      <c r="R6" s="9" t="n">
        <v>4.5</v>
      </c>
      <c r="S6" s="11" t="n">
        <f aca="false">IF(AND(ISNUMBER(R6),R6&gt;1,P6&gt;0),R6/P6-1,"")</f>
        <v>-0.51335464327811</v>
      </c>
      <c r="T6" s="9" t="n">
        <f aca="false">IF(AND(ISNUMBER(P6),P6&gt;0),P6*EXP('Read me'!$B$22),"")</f>
        <v>11.2942871760756</v>
      </c>
    </row>
    <row r="7" customFormat="false" ht="15" hidden="false" customHeight="false" outlineLevel="0" collapsed="false">
      <c r="A7" s="14" t="s">
        <v>41</v>
      </c>
      <c r="B7" s="14" t="s">
        <v>42</v>
      </c>
      <c r="C7" s="14" t="s">
        <v>43</v>
      </c>
      <c r="D7" s="14" t="s">
        <v>366</v>
      </c>
      <c r="E7" s="15" t="n">
        <v>7</v>
      </c>
      <c r="F7" s="14" t="s">
        <v>367</v>
      </c>
      <c r="G7" s="8" t="n">
        <v>10</v>
      </c>
      <c r="H7" s="14" t="s">
        <v>374</v>
      </c>
      <c r="I7" s="14" t="s">
        <v>375</v>
      </c>
      <c r="J7" s="14" t="s">
        <v>376</v>
      </c>
      <c r="K7" s="8" t="n">
        <v>9</v>
      </c>
      <c r="L7" s="8" t="n">
        <v>82</v>
      </c>
      <c r="M7" s="8" t="n">
        <v>2</v>
      </c>
      <c r="N7" s="8" t="n">
        <v>16</v>
      </c>
      <c r="O7" s="8" t="n">
        <v>6</v>
      </c>
      <c r="P7" s="9" t="n">
        <v>10.3749045257683</v>
      </c>
      <c r="Q7" s="10" t="n">
        <v>0.0963864291489419</v>
      </c>
      <c r="R7" s="9" t="n">
        <v>9.5</v>
      </c>
      <c r="S7" s="11" t="n">
        <f aca="false">IF(AND(ISNUMBER(R7),R7&gt;1,P7&gt;0),R7/P7-1,"")</f>
        <v>-0.0843289230850511</v>
      </c>
      <c r="T7" s="9" t="n">
        <f aca="false">IF(AND(ISNUMBER(P7),P7&gt;0),P7*EXP('Read me'!$B$22),"")</f>
        <v>12.6719370034218</v>
      </c>
    </row>
    <row r="8" customFormat="false" ht="15" hidden="false" customHeight="false" outlineLevel="0" collapsed="false">
      <c r="A8" s="14" t="s">
        <v>41</v>
      </c>
      <c r="B8" s="14" t="s">
        <v>42</v>
      </c>
      <c r="C8" s="14" t="s">
        <v>43</v>
      </c>
      <c r="D8" s="14" t="s">
        <v>366</v>
      </c>
      <c r="E8" s="15" t="n">
        <v>7</v>
      </c>
      <c r="F8" s="14" t="s">
        <v>367</v>
      </c>
      <c r="G8" s="8" t="n">
        <v>10</v>
      </c>
      <c r="H8" s="14" t="s">
        <v>377</v>
      </c>
      <c r="I8" s="14" t="s">
        <v>378</v>
      </c>
      <c r="J8" s="14" t="s">
        <v>379</v>
      </c>
      <c r="K8" s="8" t="n">
        <v>1</v>
      </c>
      <c r="L8" s="8" t="n">
        <v>82</v>
      </c>
      <c r="M8" s="8" t="n">
        <v>2</v>
      </c>
      <c r="N8" s="8" t="n">
        <v>19</v>
      </c>
      <c r="O8" s="8" t="n">
        <v>7</v>
      </c>
      <c r="P8" s="9" t="n">
        <v>11.2155501685652</v>
      </c>
      <c r="Q8" s="10" t="n">
        <v>0.0891619211693054</v>
      </c>
      <c r="R8" s="9" t="n">
        <v>7</v>
      </c>
      <c r="S8" s="11" t="n">
        <f aca="false">IF(AND(ISNUMBER(R8),R8&gt;1,P8&gt;0),R8/P8-1,"")</f>
        <v>-0.375866551814862</v>
      </c>
      <c r="T8" s="9" t="n">
        <f aca="false">IF(AND(ISNUMBER(P8),P8&gt;0),P8*EXP('Read me'!$B$22),"")</f>
        <v>13.6987039101693</v>
      </c>
    </row>
    <row r="9" customFormat="false" ht="15" hidden="false" customHeight="false" outlineLevel="0" collapsed="false">
      <c r="A9" s="14" t="s">
        <v>41</v>
      </c>
      <c r="B9" s="14" t="s">
        <v>42</v>
      </c>
      <c r="C9" s="14" t="s">
        <v>43</v>
      </c>
      <c r="D9" s="14" t="s">
        <v>366</v>
      </c>
      <c r="E9" s="15" t="n">
        <v>7</v>
      </c>
      <c r="F9" s="14" t="s">
        <v>367</v>
      </c>
      <c r="G9" s="8" t="n">
        <v>10</v>
      </c>
      <c r="H9" s="14" t="s">
        <v>380</v>
      </c>
      <c r="I9" s="14" t="s">
        <v>165</v>
      </c>
      <c r="J9" s="14" t="s">
        <v>381</v>
      </c>
      <c r="K9" s="8" t="n">
        <v>7</v>
      </c>
      <c r="L9" s="8" t="n">
        <v>74</v>
      </c>
      <c r="M9" s="8" t="n">
        <v>2</v>
      </c>
      <c r="N9" s="8" t="n">
        <v>43</v>
      </c>
      <c r="O9" s="8" t="n">
        <v>8</v>
      </c>
      <c r="P9" s="9" t="n">
        <v>11.8663809772577</v>
      </c>
      <c r="Q9" s="10" t="n">
        <v>0.0842716917581298</v>
      </c>
      <c r="R9" s="9" t="n">
        <v>13</v>
      </c>
      <c r="S9" s="11" t="n">
        <f aca="false">IF(AND(ISNUMBER(R9),R9&gt;1,P9&gt;0),R9/P9-1,"")</f>
        <v>0.0955319928556881</v>
      </c>
      <c r="T9" s="9" t="n">
        <f aca="false">IF(AND(ISNUMBER(P9),P9&gt;0),P9*EXP('Read me'!$B$22),"")</f>
        <v>14.493630455002</v>
      </c>
    </row>
    <row r="10" customFormat="false" ht="15" hidden="false" customHeight="false" outlineLevel="0" collapsed="false">
      <c r="A10" s="14" t="s">
        <v>41</v>
      </c>
      <c r="B10" s="14" t="s">
        <v>42</v>
      </c>
      <c r="C10" s="14" t="s">
        <v>43</v>
      </c>
      <c r="D10" s="14" t="s">
        <v>366</v>
      </c>
      <c r="E10" s="15" t="n">
        <v>7</v>
      </c>
      <c r="F10" s="14" t="s">
        <v>367</v>
      </c>
      <c r="G10" s="8" t="n">
        <v>10</v>
      </c>
      <c r="H10" s="14" t="s">
        <v>382</v>
      </c>
      <c r="I10" s="14" t="s">
        <v>383</v>
      </c>
      <c r="J10" s="14" t="s">
        <v>384</v>
      </c>
      <c r="K10" s="8" t="n">
        <v>5</v>
      </c>
      <c r="L10" s="8" t="n">
        <v>76</v>
      </c>
      <c r="M10" s="8" t="n">
        <v>2</v>
      </c>
      <c r="N10" s="8" t="n">
        <v>30</v>
      </c>
      <c r="O10" s="8" t="n">
        <v>9</v>
      </c>
      <c r="P10" s="9" t="n">
        <v>34.2510460560397</v>
      </c>
      <c r="Q10" s="10" t="n">
        <v>0.0291961885883384</v>
      </c>
      <c r="R10" s="9" t="n">
        <v>13</v>
      </c>
      <c r="S10" s="11" t="n">
        <f aca="false">IF(AND(ISNUMBER(R10),R10&gt;1,P10&gt;0),R10/P10-1,"")</f>
        <v>-0.620449548351601</v>
      </c>
      <c r="T10" s="9" t="n">
        <f aca="false">IF(AND(ISNUMBER(P10),P10&gt;0),P10*EXP('Read me'!$B$22),"")</f>
        <v>41.8343221227179</v>
      </c>
    </row>
    <row r="11" customFormat="false" ht="15" hidden="false" customHeight="false" outlineLevel="0" collapsed="false">
      <c r="A11" s="14" t="s">
        <v>41</v>
      </c>
      <c r="B11" s="14" t="s">
        <v>42</v>
      </c>
      <c r="C11" s="14" t="s">
        <v>43</v>
      </c>
      <c r="D11" s="14" t="s">
        <v>366</v>
      </c>
      <c r="E11" s="15" t="n">
        <v>7</v>
      </c>
      <c r="F11" s="14" t="s">
        <v>367</v>
      </c>
      <c r="G11" s="8" t="n">
        <v>10</v>
      </c>
      <c r="H11" s="14" t="s">
        <v>385</v>
      </c>
      <c r="I11" s="14" t="s">
        <v>386</v>
      </c>
      <c r="J11" s="14" t="s">
        <v>387</v>
      </c>
      <c r="K11" s="8" t="n">
        <v>10</v>
      </c>
      <c r="L11" s="8" t="n">
        <v>80</v>
      </c>
      <c r="M11" s="8" t="n">
        <v>2</v>
      </c>
      <c r="N11" s="8" t="n">
        <v>16</v>
      </c>
      <c r="O11" s="8" t="n">
        <v>10</v>
      </c>
      <c r="P11" s="9" t="n">
        <v>37.3761540590125</v>
      </c>
      <c r="Q11" s="10" t="n">
        <v>0.0267550267055599</v>
      </c>
      <c r="R11" s="9" t="n">
        <v>29</v>
      </c>
      <c r="S11" s="11" t="n">
        <f aca="false">IF(AND(ISNUMBER(R11),R11&gt;1,P11&gt;0),R11/P11-1,"")</f>
        <v>-0.224104225538762</v>
      </c>
      <c r="T11" s="9" t="n">
        <f aca="false">IF(AND(ISNUMBER(P11),P11&gt;0),P11*EXP('Read me'!$B$22),"")</f>
        <v>45.6513376570972</v>
      </c>
    </row>
    <row r="12" customFormat="false" ht="15" hidden="false" customHeight="false" outlineLevel="0" collapsed="false">
      <c r="A12" s="14" t="s">
        <v>69</v>
      </c>
      <c r="B12" s="14" t="s">
        <v>42</v>
      </c>
      <c r="C12" s="14" t="s">
        <v>70</v>
      </c>
      <c r="D12" s="14"/>
      <c r="E12" s="15" t="n">
        <v>8</v>
      </c>
      <c r="F12" s="14" t="s">
        <v>367</v>
      </c>
      <c r="G12" s="8" t="n">
        <v>7</v>
      </c>
      <c r="H12" s="14" t="s">
        <v>71</v>
      </c>
      <c r="I12" s="14" t="s">
        <v>72</v>
      </c>
      <c r="J12" s="14" t="s">
        <v>73</v>
      </c>
      <c r="K12" s="8" t="n">
        <v>4</v>
      </c>
      <c r="L12" s="8" t="n">
        <v>110</v>
      </c>
      <c r="M12" s="8" t="n">
        <v>2</v>
      </c>
      <c r="N12" s="8" t="n">
        <v>13</v>
      </c>
      <c r="O12" s="8" t="n">
        <v>1</v>
      </c>
      <c r="P12" s="9" t="n">
        <v>4.15559373778774</v>
      </c>
      <c r="Q12" s="10" t="n">
        <v>0.240639500177021</v>
      </c>
      <c r="R12" s="9" t="n">
        <v>4.5</v>
      </c>
      <c r="S12" s="11" t="n">
        <f aca="false">IF(AND(ISNUMBER(R12),R12&gt;1,P12&gt;0),R12/P12-1,"")</f>
        <v>0.0828777507965934</v>
      </c>
      <c r="T12" s="9" t="n">
        <f aca="false">IF(AND(ISNUMBER(P12),P12&gt;0),P12*EXP('Read me'!$B$22),"")</f>
        <v>5.07565365312708</v>
      </c>
    </row>
    <row r="13" customFormat="false" ht="15" hidden="false" customHeight="false" outlineLevel="0" collapsed="false">
      <c r="A13" s="14" t="s">
        <v>69</v>
      </c>
      <c r="B13" s="14" t="s">
        <v>42</v>
      </c>
      <c r="C13" s="14" t="s">
        <v>70</v>
      </c>
      <c r="D13" s="14"/>
      <c r="E13" s="15" t="n">
        <v>8</v>
      </c>
      <c r="F13" s="14" t="s">
        <v>367</v>
      </c>
      <c r="G13" s="8" t="n">
        <v>7</v>
      </c>
      <c r="H13" s="14" t="s">
        <v>74</v>
      </c>
      <c r="I13" s="14" t="s">
        <v>132</v>
      </c>
      <c r="J13" s="14" t="s">
        <v>133</v>
      </c>
      <c r="K13" s="8" t="n">
        <v>2</v>
      </c>
      <c r="L13" s="8" t="n">
        <v>101</v>
      </c>
      <c r="M13" s="8" t="n">
        <v>2</v>
      </c>
      <c r="N13" s="8" t="n">
        <v>21</v>
      </c>
      <c r="O13" s="8" t="n">
        <v>2</v>
      </c>
      <c r="P13" s="9" t="n">
        <v>4.32480598537306</v>
      </c>
      <c r="Q13" s="10" t="n">
        <v>0.231224245291489</v>
      </c>
      <c r="R13" s="9" t="n">
        <v>4.5</v>
      </c>
      <c r="S13" s="11" t="n">
        <f aca="false">IF(AND(ISNUMBER(R13),R13&gt;1,P13&gt;0),R13/P13-1,"")</f>
        <v>0.0405091038117014</v>
      </c>
      <c r="T13" s="9" t="n">
        <f aca="false">IF(AND(ISNUMBER(P13),P13&gt;0),P13*EXP('Read me'!$B$22),"")</f>
        <v>5.28232995904226</v>
      </c>
    </row>
    <row r="14" customFormat="false" ht="15" hidden="false" customHeight="false" outlineLevel="0" collapsed="false">
      <c r="A14" s="14" t="s">
        <v>69</v>
      </c>
      <c r="B14" s="14" t="s">
        <v>42</v>
      </c>
      <c r="C14" s="14" t="s">
        <v>70</v>
      </c>
      <c r="D14" s="14"/>
      <c r="E14" s="15" t="n">
        <v>8</v>
      </c>
      <c r="F14" s="14" t="s">
        <v>367</v>
      </c>
      <c r="G14" s="8" t="n">
        <v>7</v>
      </c>
      <c r="H14" s="14" t="s">
        <v>457</v>
      </c>
      <c r="I14" s="14" t="s">
        <v>45</v>
      </c>
      <c r="J14" s="14" t="s">
        <v>133</v>
      </c>
      <c r="K14" s="8" t="n">
        <v>6</v>
      </c>
      <c r="L14" s="8" t="n">
        <v>105</v>
      </c>
      <c r="M14" s="8" t="n">
        <v>2</v>
      </c>
      <c r="N14" s="8" t="n">
        <v>14</v>
      </c>
      <c r="O14" s="8" t="n">
        <v>3</v>
      </c>
      <c r="P14" s="9" t="n">
        <v>4.87550866068698</v>
      </c>
      <c r="Q14" s="10" t="n">
        <v>0.205106804150174</v>
      </c>
      <c r="R14" s="9" t="n">
        <v>5</v>
      </c>
      <c r="S14" s="11" t="n">
        <f aca="false">IF(AND(ISNUMBER(R14),R14&gt;1,P14&gt;0),R14/P14-1,"")</f>
        <v>0.0255340207508679</v>
      </c>
      <c r="T14" s="9" t="n">
        <f aca="false">IF(AND(ISNUMBER(P14),P14&gt;0),P14*EXP('Read me'!$B$22),"")</f>
        <v>5.95495972559688</v>
      </c>
    </row>
    <row r="15" customFormat="false" ht="15" hidden="false" customHeight="false" outlineLevel="0" collapsed="false">
      <c r="A15" s="14" t="s">
        <v>69</v>
      </c>
      <c r="B15" s="14" t="s">
        <v>42</v>
      </c>
      <c r="C15" s="14" t="s">
        <v>70</v>
      </c>
      <c r="D15" s="14"/>
      <c r="E15" s="15" t="n">
        <v>8</v>
      </c>
      <c r="F15" s="14" t="s">
        <v>367</v>
      </c>
      <c r="G15" s="8" t="n">
        <v>7</v>
      </c>
      <c r="H15" s="14" t="s">
        <v>458</v>
      </c>
      <c r="I15" s="14" t="s">
        <v>375</v>
      </c>
      <c r="J15" s="14" t="s">
        <v>439</v>
      </c>
      <c r="K15" s="8" t="n">
        <v>7</v>
      </c>
      <c r="L15" s="8" t="n">
        <v>97</v>
      </c>
      <c r="M15" s="8" t="n">
        <v>2</v>
      </c>
      <c r="N15" s="8" t="n">
        <v>23</v>
      </c>
      <c r="O15" s="8" t="n">
        <v>4</v>
      </c>
      <c r="P15" s="9" t="n">
        <v>7.4636156885515</v>
      </c>
      <c r="Q15" s="10" t="n">
        <v>0.13398331877322</v>
      </c>
      <c r="R15" s="9" t="n">
        <v>4.5</v>
      </c>
      <c r="S15" s="11" t="n">
        <f aca="false">IF(AND(ISNUMBER(R15),R15&gt;1,P15&gt;0),R15/P15-1,"")</f>
        <v>-0.397075065520511</v>
      </c>
      <c r="T15" s="9" t="n">
        <f aca="false">IF(AND(ISNUMBER(P15),P15&gt;0),P15*EXP('Read me'!$B$22),"")</f>
        <v>9.11608078784432</v>
      </c>
    </row>
    <row r="16" customFormat="false" ht="15" hidden="false" customHeight="false" outlineLevel="0" collapsed="false">
      <c r="A16" s="14" t="s">
        <v>69</v>
      </c>
      <c r="B16" s="14" t="s">
        <v>42</v>
      </c>
      <c r="C16" s="14" t="s">
        <v>70</v>
      </c>
      <c r="D16" s="14"/>
      <c r="E16" s="15" t="n">
        <v>8</v>
      </c>
      <c r="F16" s="14" t="s">
        <v>367</v>
      </c>
      <c r="G16" s="8" t="n">
        <v>7</v>
      </c>
      <c r="H16" s="14" t="s">
        <v>459</v>
      </c>
      <c r="I16" s="14" t="s">
        <v>369</v>
      </c>
      <c r="J16" s="14" t="s">
        <v>230</v>
      </c>
      <c r="K16" s="8" t="n">
        <v>5</v>
      </c>
      <c r="L16" s="8" t="n">
        <v>0</v>
      </c>
      <c r="M16" s="8" t="n">
        <v>2</v>
      </c>
      <c r="N16" s="8" t="n">
        <v>18</v>
      </c>
      <c r="O16" s="8" t="n">
        <v>5</v>
      </c>
      <c r="P16" s="9" t="n">
        <v>9.07849996367788</v>
      </c>
      <c r="Q16" s="10" t="n">
        <v>0.110150355675596</v>
      </c>
      <c r="R16" s="9" t="n">
        <v>7</v>
      </c>
      <c r="S16" s="11" t="n">
        <f aca="false">IF(AND(ISNUMBER(R16),R16&gt;1,P16&gt;0),R16/P16-1,"")</f>
        <v>-0.228947510270831</v>
      </c>
      <c r="T16" s="9" t="n">
        <f aca="false">IF(AND(ISNUMBER(P16),P16&gt;0),P16*EXP('Read me'!$B$22),"")</f>
        <v>11.0885048955932</v>
      </c>
    </row>
    <row r="17" customFormat="false" ht="15" hidden="false" customHeight="false" outlineLevel="0" collapsed="false">
      <c r="A17" s="14" t="s">
        <v>69</v>
      </c>
      <c r="B17" s="14" t="s">
        <v>42</v>
      </c>
      <c r="C17" s="14" t="s">
        <v>70</v>
      </c>
      <c r="D17" s="14"/>
      <c r="E17" s="15" t="n">
        <v>8</v>
      </c>
      <c r="F17" s="14" t="s">
        <v>367</v>
      </c>
      <c r="G17" s="8" t="n">
        <v>7</v>
      </c>
      <c r="H17" s="14" t="s">
        <v>460</v>
      </c>
      <c r="I17" s="14" t="s">
        <v>378</v>
      </c>
      <c r="J17" s="14" t="s">
        <v>370</v>
      </c>
      <c r="K17" s="8" t="n">
        <v>3</v>
      </c>
      <c r="L17" s="8" t="n">
        <v>100</v>
      </c>
      <c r="M17" s="8" t="n">
        <v>2</v>
      </c>
      <c r="N17" s="8" t="n">
        <v>21</v>
      </c>
      <c r="O17" s="8" t="n">
        <v>6</v>
      </c>
      <c r="P17" s="9" t="n">
        <v>19.1603252422449</v>
      </c>
      <c r="Q17" s="10" t="n">
        <v>0.0521911808571595</v>
      </c>
      <c r="R17" s="9" t="n">
        <v>17</v>
      </c>
      <c r="S17" s="11" t="n">
        <f aca="false">IF(AND(ISNUMBER(R17),R17&gt;1,P17&gt;0),R17/P17-1,"")</f>
        <v>-0.112749925428288</v>
      </c>
      <c r="T17" s="9" t="n">
        <f aca="false">IF(AND(ISNUMBER(P17),P17&gt;0),P17*EXP('Read me'!$B$22),"")</f>
        <v>23.4024740981238</v>
      </c>
    </row>
    <row r="18" customFormat="false" ht="15" hidden="false" customHeight="false" outlineLevel="0" collapsed="false">
      <c r="A18" s="14" t="s">
        <v>69</v>
      </c>
      <c r="B18" s="14" t="s">
        <v>42</v>
      </c>
      <c r="C18" s="14" t="s">
        <v>70</v>
      </c>
      <c r="D18" s="14"/>
      <c r="E18" s="15" t="n">
        <v>8</v>
      </c>
      <c r="F18" s="14" t="s">
        <v>367</v>
      </c>
      <c r="G18" s="8" t="n">
        <v>7</v>
      </c>
      <c r="H18" s="14" t="s">
        <v>461</v>
      </c>
      <c r="I18" s="14" t="s">
        <v>462</v>
      </c>
      <c r="J18" s="14" t="s">
        <v>463</v>
      </c>
      <c r="K18" s="8" t="n">
        <v>1</v>
      </c>
      <c r="L18" s="8" t="n">
        <v>86</v>
      </c>
      <c r="M18" s="8" t="n">
        <v>2</v>
      </c>
      <c r="N18" s="8" t="n">
        <v>18</v>
      </c>
      <c r="O18" s="8" t="n">
        <v>7</v>
      </c>
      <c r="P18" s="9" t="n">
        <v>37.4467389293377</v>
      </c>
      <c r="Q18" s="10" t="n">
        <v>0.0267045950753417</v>
      </c>
      <c r="R18" s="9" t="n">
        <v>23</v>
      </c>
      <c r="S18" s="11" t="n">
        <f aca="false">IF(AND(ISNUMBER(R18),R18&gt;1,P18&gt;0),R18/P18-1,"")</f>
        <v>-0.38579431326714</v>
      </c>
      <c r="T18" s="9" t="n">
        <f aca="false">IF(AND(ISNUMBER(P18),P18&gt;0),P18*EXP('Read me'!$B$22),"")</f>
        <v>45.7375502123969</v>
      </c>
    </row>
    <row r="19" customFormat="false" ht="15" hidden="false" customHeight="false" outlineLevel="0" collapsed="false">
      <c r="A19" s="14" t="s">
        <v>93</v>
      </c>
      <c r="B19" s="14" t="s">
        <v>42</v>
      </c>
      <c r="C19" s="14" t="s">
        <v>94</v>
      </c>
      <c r="D19" s="14"/>
      <c r="E19" s="15" t="n">
        <v>6</v>
      </c>
      <c r="F19" s="14" t="s">
        <v>367</v>
      </c>
      <c r="G19" s="8" t="n">
        <v>6</v>
      </c>
      <c r="H19" s="14" t="s">
        <v>95</v>
      </c>
      <c r="I19" s="14" t="s">
        <v>72</v>
      </c>
      <c r="J19" s="14" t="s">
        <v>73</v>
      </c>
      <c r="K19" s="8" t="n">
        <v>6</v>
      </c>
      <c r="L19" s="8" t="n">
        <v>119</v>
      </c>
      <c r="M19" s="8" t="n">
        <v>2</v>
      </c>
      <c r="N19" s="8" t="n">
        <v>13</v>
      </c>
      <c r="O19" s="8" t="n">
        <v>1</v>
      </c>
      <c r="P19" s="9" t="n">
        <v>1.82781272009048</v>
      </c>
      <c r="Q19" s="10" t="n">
        <v>0.547102002852075</v>
      </c>
      <c r="R19" s="9" t="n">
        <v>2.5</v>
      </c>
      <c r="S19" s="11" t="n">
        <f aca="false">IF(AND(ISNUMBER(R19),R19&gt;1,P19&gt;0),R19/P19-1,"")</f>
        <v>0.367755007130188</v>
      </c>
      <c r="T19" s="9" t="n">
        <f aca="false">IF(AND(ISNUMBER(P19),P19&gt;0),P19*EXP('Read me'!$B$22),"")</f>
        <v>2.23249549771875</v>
      </c>
    </row>
    <row r="20" customFormat="false" ht="15" hidden="false" customHeight="false" outlineLevel="0" collapsed="false">
      <c r="A20" s="14" t="s">
        <v>93</v>
      </c>
      <c r="B20" s="14" t="s">
        <v>42</v>
      </c>
      <c r="C20" s="14" t="s">
        <v>94</v>
      </c>
      <c r="D20" s="14"/>
      <c r="E20" s="15" t="n">
        <v>6</v>
      </c>
      <c r="F20" s="14" t="s">
        <v>367</v>
      </c>
      <c r="G20" s="8" t="n">
        <v>6</v>
      </c>
      <c r="H20" s="14" t="s">
        <v>96</v>
      </c>
      <c r="I20" s="14" t="s">
        <v>45</v>
      </c>
      <c r="J20" s="14" t="s">
        <v>504</v>
      </c>
      <c r="K20" s="8" t="n">
        <v>2</v>
      </c>
      <c r="L20" s="8" t="n">
        <v>107</v>
      </c>
      <c r="M20" s="8" t="n">
        <v>2</v>
      </c>
      <c r="N20" s="8" t="n">
        <v>37</v>
      </c>
      <c r="O20" s="8" t="n">
        <v>2</v>
      </c>
      <c r="P20" s="9" t="n">
        <v>6.50551080807952</v>
      </c>
      <c r="Q20" s="10" t="n">
        <v>0.153715831008697</v>
      </c>
      <c r="R20" s="9" t="n">
        <v>5.5</v>
      </c>
      <c r="S20" s="11" t="n">
        <f aca="false">IF(AND(ISNUMBER(R20),R20&gt;1,P20&gt;0),R20/P20-1,"")</f>
        <v>-0.154562929452169</v>
      </c>
      <c r="T20" s="9" t="n">
        <f aca="false">IF(AND(ISNUMBER(P20),P20&gt;0),P20*EXP('Read me'!$B$22),"")</f>
        <v>7.94584884422912</v>
      </c>
    </row>
    <row r="21" customFormat="false" ht="15" hidden="false" customHeight="false" outlineLevel="0" collapsed="false">
      <c r="A21" s="14" t="s">
        <v>93</v>
      </c>
      <c r="B21" s="14" t="s">
        <v>42</v>
      </c>
      <c r="C21" s="14" t="s">
        <v>94</v>
      </c>
      <c r="D21" s="14"/>
      <c r="E21" s="15" t="n">
        <v>6</v>
      </c>
      <c r="F21" s="14" t="s">
        <v>367</v>
      </c>
      <c r="G21" s="8" t="n">
        <v>6</v>
      </c>
      <c r="H21" s="14" t="s">
        <v>505</v>
      </c>
      <c r="I21" s="14" t="s">
        <v>369</v>
      </c>
      <c r="J21" s="14" t="s">
        <v>506</v>
      </c>
      <c r="K21" s="8" t="n">
        <v>1</v>
      </c>
      <c r="L21" s="8" t="n">
        <v>117</v>
      </c>
      <c r="M21" s="8" t="n">
        <v>2</v>
      </c>
      <c r="N21" s="8" t="n">
        <v>78</v>
      </c>
      <c r="O21" s="8" t="n">
        <v>3</v>
      </c>
      <c r="P21" s="9" t="n">
        <v>6.55802249829701</v>
      </c>
      <c r="Q21" s="10" t="n">
        <v>0.152484990751355</v>
      </c>
      <c r="R21" s="9" t="n">
        <v>3</v>
      </c>
      <c r="S21" s="11" t="n">
        <f aca="false">IF(AND(ISNUMBER(R21),R21&gt;1,P21&gt;0),R21/P21-1,"")</f>
        <v>-0.542545027745934</v>
      </c>
      <c r="T21" s="9" t="n">
        <f aca="false">IF(AND(ISNUMBER(P21),P21&gt;0),P21*EXP('Read me'!$B$22),"")</f>
        <v>8.00998676749641</v>
      </c>
    </row>
    <row r="22" customFormat="false" ht="15" hidden="false" customHeight="false" outlineLevel="0" collapsed="false">
      <c r="A22" s="14" t="s">
        <v>93</v>
      </c>
      <c r="B22" s="14" t="s">
        <v>42</v>
      </c>
      <c r="C22" s="14" t="s">
        <v>94</v>
      </c>
      <c r="D22" s="14"/>
      <c r="E22" s="15" t="n">
        <v>6</v>
      </c>
      <c r="F22" s="14" t="s">
        <v>367</v>
      </c>
      <c r="G22" s="8" t="n">
        <v>6</v>
      </c>
      <c r="H22" s="14" t="s">
        <v>507</v>
      </c>
      <c r="I22" s="14" t="s">
        <v>132</v>
      </c>
      <c r="J22" s="14" t="s">
        <v>53</v>
      </c>
      <c r="K22" s="8" t="n">
        <v>3</v>
      </c>
      <c r="L22" s="8" t="n">
        <v>104</v>
      </c>
      <c r="M22" s="8" t="n">
        <v>2</v>
      </c>
      <c r="N22" s="8" t="n">
        <v>43</v>
      </c>
      <c r="O22" s="8" t="n">
        <v>4</v>
      </c>
      <c r="P22" s="9" t="n">
        <v>12.4596718360415</v>
      </c>
      <c r="Q22" s="10" t="n">
        <v>0.080258935641254</v>
      </c>
      <c r="R22" s="9" t="n">
        <v>11</v>
      </c>
      <c r="S22" s="11" t="n">
        <f aca="false">IF(AND(ISNUMBER(R22),R22&gt;1,P22&gt;0),R22/P22-1,"")</f>
        <v>-0.117151707946206</v>
      </c>
      <c r="T22" s="9" t="n">
        <f aca="false">IF(AND(ISNUMBER(P22),P22&gt;0),P22*EXP('Read me'!$B$22),"")</f>
        <v>15.2182775463117</v>
      </c>
    </row>
    <row r="23" customFormat="false" ht="15" hidden="false" customHeight="false" outlineLevel="0" collapsed="false">
      <c r="A23" s="14" t="s">
        <v>93</v>
      </c>
      <c r="B23" s="14" t="s">
        <v>42</v>
      </c>
      <c r="C23" s="14" t="s">
        <v>94</v>
      </c>
      <c r="D23" s="14"/>
      <c r="E23" s="15" t="n">
        <v>6</v>
      </c>
      <c r="F23" s="14" t="s">
        <v>367</v>
      </c>
      <c r="G23" s="8" t="n">
        <v>6</v>
      </c>
      <c r="H23" s="14" t="s">
        <v>508</v>
      </c>
      <c r="I23" s="14" t="s">
        <v>206</v>
      </c>
      <c r="J23" s="14" t="s">
        <v>230</v>
      </c>
      <c r="K23" s="8" t="n">
        <v>5</v>
      </c>
      <c r="L23" s="8" t="n">
        <v>109</v>
      </c>
      <c r="M23" s="8" t="n">
        <v>2</v>
      </c>
      <c r="N23" s="8" t="n">
        <v>21</v>
      </c>
      <c r="O23" s="8" t="n">
        <v>5</v>
      </c>
      <c r="P23" s="9" t="n">
        <v>16.8519170418598</v>
      </c>
      <c r="Q23" s="10" t="n">
        <v>0.0593404297870694</v>
      </c>
      <c r="R23" s="9" t="n">
        <v>17</v>
      </c>
      <c r="S23" s="11" t="n">
        <f aca="false">IF(AND(ISNUMBER(R23),R23&gt;1,P23&gt;0),R23/P23-1,"")</f>
        <v>0.0087873063801811</v>
      </c>
      <c r="T23" s="9" t="n">
        <f aca="false">IF(AND(ISNUMBER(P23),P23&gt;0),P23*EXP('Read me'!$B$22),"")</f>
        <v>20.5829779552139</v>
      </c>
    </row>
    <row r="24" customFormat="false" ht="15" hidden="false" customHeight="false" outlineLevel="0" collapsed="false">
      <c r="A24" s="14" t="s">
        <v>93</v>
      </c>
      <c r="B24" s="14" t="s">
        <v>42</v>
      </c>
      <c r="C24" s="14" t="s">
        <v>94</v>
      </c>
      <c r="D24" s="14"/>
      <c r="E24" s="15" t="n">
        <v>6</v>
      </c>
      <c r="F24" s="14" t="s">
        <v>367</v>
      </c>
      <c r="G24" s="8" t="n">
        <v>6</v>
      </c>
      <c r="H24" s="14" t="s">
        <v>509</v>
      </c>
      <c r="I24" s="14" t="s">
        <v>246</v>
      </c>
      <c r="J24" s="14" t="s">
        <v>73</v>
      </c>
      <c r="K24" s="8" t="n">
        <v>4</v>
      </c>
      <c r="L24" s="8" t="n">
        <v>98</v>
      </c>
      <c r="M24" s="8" t="n">
        <v>2</v>
      </c>
      <c r="N24" s="8" t="n">
        <v>14</v>
      </c>
      <c r="O24" s="8" t="n">
        <v>6</v>
      </c>
      <c r="P24" s="9" t="n">
        <v>140.888528391018</v>
      </c>
      <c r="Q24" s="10" t="n">
        <v>0.0070978099595491</v>
      </c>
      <c r="R24" s="9" t="n">
        <v>126</v>
      </c>
      <c r="S24" s="11" t="n">
        <f aca="false">IF(AND(ISNUMBER(R24),R24&gt;1,P24&gt;0),R24/P24-1,"")</f>
        <v>-0.105675945096801</v>
      </c>
      <c r="T24" s="9" t="n">
        <f aca="false">IF(AND(ISNUMBER(P24),P24&gt;0),P24*EXP('Read me'!$B$22),"")</f>
        <v>172.081637169917</v>
      </c>
    </row>
    <row r="25" customFormat="false" ht="15" hidden="false" customHeight="false" outlineLevel="0" collapsed="false">
      <c r="A25" s="14" t="s">
        <v>129</v>
      </c>
      <c r="B25" s="14" t="s">
        <v>42</v>
      </c>
      <c r="C25" s="14" t="s">
        <v>130</v>
      </c>
      <c r="D25" s="14"/>
      <c r="E25" s="15" t="n">
        <v>6</v>
      </c>
      <c r="F25" s="14" t="s">
        <v>367</v>
      </c>
      <c r="G25" s="8" t="n">
        <v>7</v>
      </c>
      <c r="H25" s="14" t="s">
        <v>131</v>
      </c>
      <c r="I25" s="14" t="s">
        <v>132</v>
      </c>
      <c r="J25" s="14" t="s">
        <v>133</v>
      </c>
      <c r="K25" s="8" t="n">
        <v>4</v>
      </c>
      <c r="L25" s="8" t="n">
        <v>109</v>
      </c>
      <c r="M25" s="8" t="n">
        <v>2</v>
      </c>
      <c r="N25" s="8" t="n">
        <v>79</v>
      </c>
      <c r="O25" s="8" t="n">
        <v>1</v>
      </c>
      <c r="P25" s="9" t="n">
        <v>2.80950963069644</v>
      </c>
      <c r="Q25" s="10" t="n">
        <v>0.355933999682398</v>
      </c>
      <c r="R25" s="9" t="n">
        <v>2.25</v>
      </c>
      <c r="S25" s="11" t="n">
        <f aca="false">IF(AND(ISNUMBER(R25),R25&gt;1,P25&gt;0),R25/P25-1,"")</f>
        <v>-0.199148500714604</v>
      </c>
      <c r="T25" s="9" t="n">
        <f aca="false">IF(AND(ISNUMBER(P25),P25&gt;0),P25*EXP('Read me'!$B$22),"")</f>
        <v>3.43154281201019</v>
      </c>
    </row>
    <row r="26" customFormat="false" ht="15" hidden="false" customHeight="false" outlineLevel="0" collapsed="false">
      <c r="A26" s="14" t="s">
        <v>129</v>
      </c>
      <c r="B26" s="14" t="s">
        <v>42</v>
      </c>
      <c r="C26" s="14" t="s">
        <v>130</v>
      </c>
      <c r="D26" s="14"/>
      <c r="E26" s="15" t="n">
        <v>6</v>
      </c>
      <c r="F26" s="14" t="s">
        <v>367</v>
      </c>
      <c r="G26" s="8" t="n">
        <v>7</v>
      </c>
      <c r="H26" s="14" t="s">
        <v>134</v>
      </c>
      <c r="I26" s="14" t="s">
        <v>246</v>
      </c>
      <c r="J26" s="14" t="s">
        <v>247</v>
      </c>
      <c r="K26" s="8" t="n">
        <v>7</v>
      </c>
      <c r="L26" s="8" t="n">
        <v>110</v>
      </c>
      <c r="M26" s="8" t="n">
        <v>2</v>
      </c>
      <c r="N26" s="8" t="n">
        <v>98</v>
      </c>
      <c r="O26" s="8" t="n">
        <v>2</v>
      </c>
      <c r="P26" s="9" t="n">
        <v>3.31894406564077</v>
      </c>
      <c r="Q26" s="10" t="n">
        <v>0.301300648707057</v>
      </c>
      <c r="R26" s="9" t="n">
        <v>4</v>
      </c>
      <c r="S26" s="11" t="n">
        <f aca="false">IF(AND(ISNUMBER(R26),R26&gt;1,P26&gt;0),R26/P26-1,"")</f>
        <v>0.205202594828227</v>
      </c>
      <c r="T26" s="9" t="n">
        <f aca="false">IF(AND(ISNUMBER(P26),P26&gt;0),P26*EXP('Read me'!$B$22),"")</f>
        <v>4.05376743595296</v>
      </c>
    </row>
    <row r="27" customFormat="false" ht="15" hidden="false" customHeight="false" outlineLevel="0" collapsed="false">
      <c r="A27" s="14" t="s">
        <v>129</v>
      </c>
      <c r="B27" s="14" t="s">
        <v>42</v>
      </c>
      <c r="C27" s="14" t="s">
        <v>130</v>
      </c>
      <c r="D27" s="14"/>
      <c r="E27" s="15" t="n">
        <v>6</v>
      </c>
      <c r="F27" s="14" t="s">
        <v>367</v>
      </c>
      <c r="G27" s="8" t="n">
        <v>7</v>
      </c>
      <c r="H27" s="14" t="s">
        <v>637</v>
      </c>
      <c r="I27" s="14" t="s">
        <v>72</v>
      </c>
      <c r="J27" s="14" t="s">
        <v>73</v>
      </c>
      <c r="K27" s="8" t="n">
        <v>5</v>
      </c>
      <c r="L27" s="8" t="n">
        <v>0</v>
      </c>
      <c r="M27" s="8" t="n">
        <v>2</v>
      </c>
      <c r="N27" s="8" t="n">
        <v>17</v>
      </c>
      <c r="O27" s="8" t="n">
        <v>3</v>
      </c>
      <c r="P27" s="9" t="n">
        <v>6.5121602014746</v>
      </c>
      <c r="Q27" s="10" t="n">
        <v>0.153558875866347</v>
      </c>
      <c r="R27" s="9" t="n">
        <v>6.5</v>
      </c>
      <c r="S27" s="11" t="n">
        <f aca="false">IF(AND(ISNUMBER(R27),R27&gt;1,P27&gt;0),R27/P27-1,"")</f>
        <v>-0.00186730686874736</v>
      </c>
      <c r="T27" s="9" t="n">
        <f aca="false">IF(AND(ISNUMBER(P27),P27&gt;0),P27*EXP('Read me'!$B$22),"")</f>
        <v>7.95397043166196</v>
      </c>
    </row>
    <row r="28" customFormat="false" ht="15" hidden="false" customHeight="false" outlineLevel="0" collapsed="false">
      <c r="A28" s="14" t="s">
        <v>129</v>
      </c>
      <c r="B28" s="14" t="s">
        <v>42</v>
      </c>
      <c r="C28" s="14" t="s">
        <v>130</v>
      </c>
      <c r="D28" s="14"/>
      <c r="E28" s="15" t="n">
        <v>6</v>
      </c>
      <c r="F28" s="14" t="s">
        <v>367</v>
      </c>
      <c r="G28" s="8" t="n">
        <v>7</v>
      </c>
      <c r="H28" s="14" t="s">
        <v>638</v>
      </c>
      <c r="I28" s="14" t="s">
        <v>639</v>
      </c>
      <c r="J28" s="14" t="s">
        <v>108</v>
      </c>
      <c r="K28" s="8" t="n">
        <v>6</v>
      </c>
      <c r="L28" s="8" t="n">
        <v>0</v>
      </c>
      <c r="M28" s="8" t="n">
        <v>2</v>
      </c>
      <c r="N28" s="8" t="n">
        <v>28</v>
      </c>
      <c r="O28" s="8" t="n">
        <v>4</v>
      </c>
      <c r="P28" s="9" t="n">
        <v>11.2608617986321</v>
      </c>
      <c r="Q28" s="10" t="n">
        <v>0.088803150050334</v>
      </c>
      <c r="R28" s="9" t="n">
        <v>5.5</v>
      </c>
      <c r="S28" s="11" t="n">
        <f aca="false">IF(AND(ISNUMBER(R28),R28&gt;1,P28&gt;0),R28/P28-1,"")</f>
        <v>-0.511582674723163</v>
      </c>
      <c r="T28" s="9" t="n">
        <f aca="false">IF(AND(ISNUMBER(P28),P28&gt;0),P28*EXP('Read me'!$B$22),"")</f>
        <v>13.7540476601097</v>
      </c>
    </row>
    <row r="29" customFormat="false" ht="15" hidden="false" customHeight="false" outlineLevel="0" collapsed="false">
      <c r="A29" s="14" t="s">
        <v>129</v>
      </c>
      <c r="B29" s="14" t="s">
        <v>42</v>
      </c>
      <c r="C29" s="14" t="s">
        <v>130</v>
      </c>
      <c r="D29" s="14"/>
      <c r="E29" s="15" t="n">
        <v>6</v>
      </c>
      <c r="F29" s="14" t="s">
        <v>367</v>
      </c>
      <c r="G29" s="8" t="n">
        <v>7</v>
      </c>
      <c r="H29" s="14" t="s">
        <v>640</v>
      </c>
      <c r="I29" s="14" t="s">
        <v>206</v>
      </c>
      <c r="J29" s="14" t="s">
        <v>73</v>
      </c>
      <c r="K29" s="8" t="n">
        <v>1</v>
      </c>
      <c r="L29" s="8" t="n">
        <v>101</v>
      </c>
      <c r="M29" s="8" t="n">
        <v>2</v>
      </c>
      <c r="N29" s="8" t="n">
        <v>70</v>
      </c>
      <c r="O29" s="8" t="n">
        <v>5</v>
      </c>
      <c r="P29" s="9" t="n">
        <v>20.6820015578971</v>
      </c>
      <c r="Q29" s="10" t="n">
        <v>0.048351219643834</v>
      </c>
      <c r="R29" s="9" t="n">
        <v>21</v>
      </c>
      <c r="S29" s="11" t="n">
        <f aca="false">IF(AND(ISNUMBER(R29),R29&gt;1,P29&gt;0),R29/P29-1,"")</f>
        <v>0.0153756125205147</v>
      </c>
      <c r="T29" s="9" t="n">
        <f aca="false">IF(AND(ISNUMBER(P29),P29&gt;0),P29*EXP('Read me'!$B$22),"")</f>
        <v>25.2610537470884</v>
      </c>
    </row>
    <row r="30" customFormat="false" ht="15" hidden="false" customHeight="false" outlineLevel="0" collapsed="false">
      <c r="A30" s="14" t="s">
        <v>129</v>
      </c>
      <c r="B30" s="14" t="s">
        <v>42</v>
      </c>
      <c r="C30" s="14" t="s">
        <v>130</v>
      </c>
      <c r="D30" s="14"/>
      <c r="E30" s="15" t="n">
        <v>6</v>
      </c>
      <c r="F30" s="14" t="s">
        <v>367</v>
      </c>
      <c r="G30" s="8" t="n">
        <v>7</v>
      </c>
      <c r="H30" s="14" t="s">
        <v>641</v>
      </c>
      <c r="I30" s="14" t="s">
        <v>642</v>
      </c>
      <c r="J30" s="14" t="s">
        <v>643</v>
      </c>
      <c r="K30" s="8" t="n">
        <v>2</v>
      </c>
      <c r="L30" s="8" t="n">
        <v>101</v>
      </c>
      <c r="M30" s="8" t="n">
        <v>2</v>
      </c>
      <c r="N30" s="8" t="n">
        <v>36</v>
      </c>
      <c r="O30" s="8" t="n">
        <v>6</v>
      </c>
      <c r="P30" s="9" t="n">
        <v>23.37840312143</v>
      </c>
      <c r="Q30" s="10" t="n">
        <v>0.042774521202577</v>
      </c>
      <c r="R30" s="9" t="n">
        <v>41</v>
      </c>
      <c r="S30" s="11" t="n">
        <f aca="false">IF(AND(ISNUMBER(R30),R30&gt;1,P30&gt;0),R30/P30-1,"")</f>
        <v>0.753755369305659</v>
      </c>
      <c r="T30" s="9" t="n">
        <f aca="false">IF(AND(ISNUMBER(P30),P30&gt;0),P30*EXP('Read me'!$B$22),"")</f>
        <v>28.5544460538949</v>
      </c>
    </row>
    <row r="31" customFormat="false" ht="15" hidden="false" customHeight="false" outlineLevel="0" collapsed="false">
      <c r="A31" s="14" t="s">
        <v>129</v>
      </c>
      <c r="B31" s="14" t="s">
        <v>42</v>
      </c>
      <c r="C31" s="14" t="s">
        <v>130</v>
      </c>
      <c r="D31" s="14"/>
      <c r="E31" s="15" t="n">
        <v>6</v>
      </c>
      <c r="F31" s="14" t="s">
        <v>367</v>
      </c>
      <c r="G31" s="8" t="n">
        <v>7</v>
      </c>
      <c r="H31" s="14" t="s">
        <v>644</v>
      </c>
      <c r="I31" s="14" t="s">
        <v>383</v>
      </c>
      <c r="J31" s="14" t="s">
        <v>392</v>
      </c>
      <c r="K31" s="8" t="n">
        <v>3</v>
      </c>
      <c r="L31" s="8" t="n">
        <v>94</v>
      </c>
      <c r="M31" s="8" t="n">
        <v>2</v>
      </c>
      <c r="N31" s="8" t="n">
        <v>8</v>
      </c>
      <c r="O31" s="8" t="n">
        <v>7</v>
      </c>
      <c r="P31" s="9" t="n">
        <v>107.786672549213</v>
      </c>
      <c r="Q31" s="10" t="n">
        <v>0.0092775848474534</v>
      </c>
      <c r="R31" s="9" t="n">
        <v>67</v>
      </c>
      <c r="S31" s="11" t="n">
        <f aca="false">IF(AND(ISNUMBER(R31),R31&gt;1,P31&gt;0),R31/P31-1,"")</f>
        <v>-0.378401815220621</v>
      </c>
      <c r="T31" s="9" t="n">
        <f aca="false">IF(AND(ISNUMBER(P31),P31&gt;0),P31*EXP('Read me'!$B$22),"")</f>
        <v>131.650939144516</v>
      </c>
    </row>
    <row r="32" customFormat="false" ht="15" hidden="false" customHeight="false" outlineLevel="0" collapsed="false">
      <c r="A32" s="14" t="s">
        <v>162</v>
      </c>
      <c r="B32" s="14" t="s">
        <v>42</v>
      </c>
      <c r="C32" s="14" t="s">
        <v>163</v>
      </c>
      <c r="D32" s="14" t="s">
        <v>366</v>
      </c>
      <c r="E32" s="15" t="n">
        <v>9</v>
      </c>
      <c r="F32" s="14" t="s">
        <v>367</v>
      </c>
      <c r="G32" s="8" t="n">
        <v>27</v>
      </c>
      <c r="H32" s="14" t="s">
        <v>164</v>
      </c>
      <c r="I32" s="14" t="s">
        <v>165</v>
      </c>
      <c r="J32" s="14" t="s">
        <v>166</v>
      </c>
      <c r="K32" s="8" t="n">
        <v>28</v>
      </c>
      <c r="L32" s="8" t="n">
        <v>99</v>
      </c>
      <c r="M32" s="8" t="n">
        <v>3</v>
      </c>
      <c r="N32" s="8" t="n">
        <v>21</v>
      </c>
      <c r="O32" s="8" t="n">
        <v>1</v>
      </c>
      <c r="P32" s="9" t="n">
        <v>8.58236549340676</v>
      </c>
      <c r="Q32" s="10" t="n">
        <v>0.116517992710545</v>
      </c>
      <c r="R32" s="9" t="n">
        <v>5</v>
      </c>
      <c r="S32" s="11" t="n">
        <f aca="false">IF(AND(ISNUMBER(R32),R32&gt;1,P32&gt;0),R32/P32-1,"")</f>
        <v>-0.417410036447276</v>
      </c>
      <c r="T32" s="9" t="n">
        <f aca="false">IF(AND(ISNUMBER(P32),P32&gt;0),P32*EXP('Read me'!$B$22),"")</f>
        <v>10.4825248851857</v>
      </c>
    </row>
    <row r="33" customFormat="false" ht="15" hidden="false" customHeight="false" outlineLevel="0" collapsed="false">
      <c r="A33" s="14" t="s">
        <v>162</v>
      </c>
      <c r="B33" s="14" t="s">
        <v>42</v>
      </c>
      <c r="C33" s="14" t="s">
        <v>163</v>
      </c>
      <c r="D33" s="14" t="s">
        <v>366</v>
      </c>
      <c r="E33" s="15" t="n">
        <v>9</v>
      </c>
      <c r="F33" s="14" t="s">
        <v>367</v>
      </c>
      <c r="G33" s="8" t="n">
        <v>27</v>
      </c>
      <c r="H33" s="14" t="s">
        <v>167</v>
      </c>
      <c r="I33" s="14" t="s">
        <v>72</v>
      </c>
      <c r="J33" s="14" t="s">
        <v>384</v>
      </c>
      <c r="K33" s="8" t="n">
        <v>13</v>
      </c>
      <c r="L33" s="8" t="n">
        <v>105</v>
      </c>
      <c r="M33" s="8" t="n">
        <v>3</v>
      </c>
      <c r="N33" s="8" t="n">
        <v>16</v>
      </c>
      <c r="O33" s="8" t="n">
        <v>2</v>
      </c>
      <c r="P33" s="9" t="n">
        <v>10.9016318319471</v>
      </c>
      <c r="Q33" s="10" t="n">
        <v>0.0917293865189537</v>
      </c>
      <c r="R33" s="9" t="n">
        <v>11</v>
      </c>
      <c r="S33" s="11" t="n">
        <f aca="false">IF(AND(ISNUMBER(R33),R33&gt;1,P33&gt;0),R33/P33-1,"")</f>
        <v>0.0090232517084905</v>
      </c>
      <c r="T33" s="9" t="n">
        <f aca="false">IF(AND(ISNUMBER(P33),P33&gt;0),P33*EXP('Read me'!$B$22),"")</f>
        <v>13.3152831879868</v>
      </c>
    </row>
    <row r="34" customFormat="false" ht="15" hidden="false" customHeight="false" outlineLevel="0" collapsed="false">
      <c r="A34" s="14" t="s">
        <v>162</v>
      </c>
      <c r="B34" s="14" t="s">
        <v>42</v>
      </c>
      <c r="C34" s="14" t="s">
        <v>163</v>
      </c>
      <c r="D34" s="14" t="s">
        <v>366</v>
      </c>
      <c r="E34" s="15" t="n">
        <v>9</v>
      </c>
      <c r="F34" s="14" t="s">
        <v>367</v>
      </c>
      <c r="G34" s="8" t="n">
        <v>27</v>
      </c>
      <c r="H34" s="14" t="s">
        <v>702</v>
      </c>
      <c r="I34" s="14" t="s">
        <v>132</v>
      </c>
      <c r="J34" s="14" t="s">
        <v>703</v>
      </c>
      <c r="K34" s="8" t="n">
        <v>5</v>
      </c>
      <c r="L34" s="8" t="n">
        <v>93</v>
      </c>
      <c r="M34" s="8" t="n">
        <v>4</v>
      </c>
      <c r="N34" s="8" t="n">
        <v>14</v>
      </c>
      <c r="O34" s="8" t="n">
        <v>3</v>
      </c>
      <c r="P34" s="9" t="n">
        <v>12.8928499117167</v>
      </c>
      <c r="Q34" s="10" t="n">
        <v>0.0775623703717538</v>
      </c>
      <c r="R34" s="9" t="n">
        <v>26</v>
      </c>
      <c r="S34" s="11" t="n">
        <f aca="false">IF(AND(ISNUMBER(R34),R34&gt;1,P34&gt;0),R34/P34-1,"")</f>
        <v>1.0166216296656</v>
      </c>
      <c r="T34" s="9" t="n">
        <f aca="false">IF(AND(ISNUMBER(P34),P34&gt;0),P34*EXP('Read me'!$B$22),"")</f>
        <v>15.7473624427158</v>
      </c>
    </row>
    <row r="35" customFormat="false" ht="15" hidden="false" customHeight="false" outlineLevel="0" collapsed="false">
      <c r="A35" s="14" t="s">
        <v>162</v>
      </c>
      <c r="B35" s="14" t="s">
        <v>42</v>
      </c>
      <c r="C35" s="14" t="s">
        <v>163</v>
      </c>
      <c r="D35" s="14" t="s">
        <v>366</v>
      </c>
      <c r="E35" s="15" t="n">
        <v>9</v>
      </c>
      <c r="F35" s="14" t="s">
        <v>367</v>
      </c>
      <c r="G35" s="8" t="n">
        <v>27</v>
      </c>
      <c r="H35" s="14" t="s">
        <v>704</v>
      </c>
      <c r="I35" s="14" t="s">
        <v>705</v>
      </c>
      <c r="J35" s="14" t="s">
        <v>114</v>
      </c>
      <c r="K35" s="8" t="n">
        <v>26</v>
      </c>
      <c r="L35" s="8" t="n">
        <v>104</v>
      </c>
      <c r="M35" s="8" t="n">
        <v>5</v>
      </c>
      <c r="N35" s="8" t="n">
        <v>57</v>
      </c>
      <c r="O35" s="8" t="n">
        <v>4</v>
      </c>
      <c r="P35" s="9" t="n">
        <v>13.6465062616571</v>
      </c>
      <c r="Q35" s="10" t="n">
        <v>0.0732788290882719</v>
      </c>
      <c r="R35" s="9" t="n">
        <v>9.5</v>
      </c>
      <c r="S35" s="11" t="n">
        <f aca="false">IF(AND(ISNUMBER(R35),R35&gt;1,P35&gt;0),R35/P35-1,"")</f>
        <v>-0.303851123661416</v>
      </c>
      <c r="T35" s="9" t="n">
        <f aca="false">IF(AND(ISNUMBER(P35),P35&gt;0),P35*EXP('Read me'!$B$22),"")</f>
        <v>16.667880387238</v>
      </c>
    </row>
    <row r="36" customFormat="false" ht="15" hidden="false" customHeight="false" outlineLevel="0" collapsed="false">
      <c r="A36" s="14" t="s">
        <v>162</v>
      </c>
      <c r="B36" s="14" t="s">
        <v>42</v>
      </c>
      <c r="C36" s="14" t="s">
        <v>163</v>
      </c>
      <c r="D36" s="14" t="s">
        <v>366</v>
      </c>
      <c r="E36" s="15" t="n">
        <v>9</v>
      </c>
      <c r="F36" s="14" t="s">
        <v>367</v>
      </c>
      <c r="G36" s="8" t="n">
        <v>27</v>
      </c>
      <c r="H36" s="14" t="s">
        <v>706</v>
      </c>
      <c r="I36" s="14" t="s">
        <v>707</v>
      </c>
      <c r="J36" s="14" t="s">
        <v>307</v>
      </c>
      <c r="K36" s="8" t="n">
        <v>24</v>
      </c>
      <c r="L36" s="8" t="n">
        <v>106</v>
      </c>
      <c r="M36" s="8" t="n">
        <v>5</v>
      </c>
      <c r="N36" s="8" t="n">
        <v>77</v>
      </c>
      <c r="O36" s="8" t="n">
        <v>5</v>
      </c>
      <c r="P36" s="9" t="n">
        <v>15.7319795155723</v>
      </c>
      <c r="Q36" s="10" t="n">
        <v>0.063564791640502</v>
      </c>
      <c r="R36" s="9" t="n">
        <v>9.5</v>
      </c>
      <c r="S36" s="11" t="n">
        <f aca="false">IF(AND(ISNUMBER(R36),R36&gt;1,P36&gt;0),R36/P36-1,"")</f>
        <v>-0.39613447941523</v>
      </c>
      <c r="T36" s="9" t="n">
        <f aca="false">IF(AND(ISNUMBER(P36),P36&gt;0),P36*EXP('Read me'!$B$22),"")</f>
        <v>19.2150831716393</v>
      </c>
    </row>
    <row r="37" customFormat="false" ht="15" hidden="false" customHeight="false" outlineLevel="0" collapsed="false">
      <c r="A37" s="14" t="s">
        <v>162</v>
      </c>
      <c r="B37" s="14" t="s">
        <v>42</v>
      </c>
      <c r="C37" s="14" t="s">
        <v>163</v>
      </c>
      <c r="D37" s="14" t="s">
        <v>366</v>
      </c>
      <c r="E37" s="15" t="n">
        <v>9</v>
      </c>
      <c r="F37" s="14" t="s">
        <v>367</v>
      </c>
      <c r="G37" s="8" t="n">
        <v>27</v>
      </c>
      <c r="H37" s="14" t="s">
        <v>708</v>
      </c>
      <c r="I37" s="14" t="s">
        <v>246</v>
      </c>
      <c r="J37" s="14" t="s">
        <v>709</v>
      </c>
      <c r="K37" s="8" t="n">
        <v>1</v>
      </c>
      <c r="L37" s="8" t="n">
        <v>92</v>
      </c>
      <c r="M37" s="8" t="n">
        <v>4</v>
      </c>
      <c r="N37" s="8" t="n">
        <v>28</v>
      </c>
      <c r="O37" s="8" t="n">
        <v>6</v>
      </c>
      <c r="P37" s="9" t="n">
        <v>18.1566362540199</v>
      </c>
      <c r="Q37" s="10" t="n">
        <v>0.0550762809812088</v>
      </c>
      <c r="R37" s="9" t="n">
        <v>13</v>
      </c>
      <c r="S37" s="11" t="n">
        <f aca="false">IF(AND(ISNUMBER(R37),R37&gt;1,P37&gt;0),R37/P37-1,"")</f>
        <v>-0.284008347244285</v>
      </c>
      <c r="T37" s="9" t="n">
        <f aca="false">IF(AND(ISNUMBER(P37),P37&gt;0),P37*EXP('Read me'!$B$22),"")</f>
        <v>22.1765655995708</v>
      </c>
    </row>
    <row r="38" customFormat="false" ht="15" hidden="false" customHeight="false" outlineLevel="0" collapsed="false">
      <c r="A38" s="14" t="s">
        <v>162</v>
      </c>
      <c r="B38" s="14" t="s">
        <v>42</v>
      </c>
      <c r="C38" s="14" t="s">
        <v>163</v>
      </c>
      <c r="D38" s="14" t="s">
        <v>366</v>
      </c>
      <c r="E38" s="15" t="n">
        <v>9</v>
      </c>
      <c r="F38" s="14" t="s">
        <v>367</v>
      </c>
      <c r="G38" s="8" t="n">
        <v>27</v>
      </c>
      <c r="H38" s="14" t="s">
        <v>710</v>
      </c>
      <c r="I38" s="14" t="s">
        <v>639</v>
      </c>
      <c r="J38" s="14" t="s">
        <v>166</v>
      </c>
      <c r="K38" s="8" t="n">
        <v>18</v>
      </c>
      <c r="L38" s="8" t="n">
        <v>97</v>
      </c>
      <c r="M38" s="8" t="n">
        <v>3</v>
      </c>
      <c r="N38" s="8" t="n">
        <v>19</v>
      </c>
      <c r="O38" s="8" t="n">
        <v>7</v>
      </c>
      <c r="P38" s="9" t="n">
        <v>18.3092841805485</v>
      </c>
      <c r="Q38" s="10" t="n">
        <v>0.0546170997259622</v>
      </c>
      <c r="R38" s="9" t="n">
        <v>13</v>
      </c>
      <c r="S38" s="11" t="n">
        <f aca="false">IF(AND(ISNUMBER(R38),R38&gt;1,P38&gt;0),R38/P38-1,"")</f>
        <v>-0.289977703562491</v>
      </c>
      <c r="T38" s="9" t="n">
        <f aca="false">IF(AND(ISNUMBER(P38),P38&gt;0),P38*EXP('Read me'!$B$22),"")</f>
        <v>22.3630101980603</v>
      </c>
    </row>
    <row r="39" customFormat="false" ht="15" hidden="false" customHeight="false" outlineLevel="0" collapsed="false">
      <c r="A39" s="14" t="s">
        <v>162</v>
      </c>
      <c r="B39" s="14" t="s">
        <v>42</v>
      </c>
      <c r="C39" s="14" t="s">
        <v>163</v>
      </c>
      <c r="D39" s="14" t="s">
        <v>366</v>
      </c>
      <c r="E39" s="15" t="n">
        <v>9</v>
      </c>
      <c r="F39" s="14" t="s">
        <v>367</v>
      </c>
      <c r="G39" s="8" t="n">
        <v>27</v>
      </c>
      <c r="H39" s="14" t="s">
        <v>711</v>
      </c>
      <c r="I39" s="14" t="s">
        <v>642</v>
      </c>
      <c r="J39" s="14" t="s">
        <v>532</v>
      </c>
      <c r="K39" s="8" t="n">
        <v>9</v>
      </c>
      <c r="L39" s="8" t="n">
        <v>91</v>
      </c>
      <c r="M39" s="8" t="n">
        <v>4</v>
      </c>
      <c r="N39" s="8" t="n">
        <v>13</v>
      </c>
      <c r="O39" s="8" t="n">
        <v>8</v>
      </c>
      <c r="P39" s="9" t="n">
        <v>20.336599394433</v>
      </c>
      <c r="Q39" s="10" t="n">
        <v>0.0491724295003689</v>
      </c>
      <c r="R39" s="9" t="n">
        <v>34</v>
      </c>
      <c r="S39" s="11" t="n">
        <f aca="false">IF(AND(ISNUMBER(R39),R39&gt;1,P39&gt;0),R39/P39-1,"")</f>
        <v>0.671862603012543</v>
      </c>
      <c r="T39" s="9" t="n">
        <f aca="false">IF(AND(ISNUMBER(P39),P39&gt;0),P39*EXP('Read me'!$B$22),"")</f>
        <v>24.8391785919589</v>
      </c>
    </row>
    <row r="40" customFormat="false" ht="15" hidden="false" customHeight="false" outlineLevel="0" collapsed="false">
      <c r="A40" s="14" t="s">
        <v>162</v>
      </c>
      <c r="B40" s="14" t="s">
        <v>42</v>
      </c>
      <c r="C40" s="14" t="s">
        <v>163</v>
      </c>
      <c r="D40" s="14" t="s">
        <v>366</v>
      </c>
      <c r="E40" s="15" t="n">
        <v>9</v>
      </c>
      <c r="F40" s="14" t="s">
        <v>367</v>
      </c>
      <c r="G40" s="8" t="n">
        <v>27</v>
      </c>
      <c r="H40" s="14" t="s">
        <v>712</v>
      </c>
      <c r="I40" s="14" t="s">
        <v>369</v>
      </c>
      <c r="J40" s="14" t="s">
        <v>230</v>
      </c>
      <c r="K40" s="8" t="n">
        <v>11</v>
      </c>
      <c r="L40" s="8" t="n">
        <v>94</v>
      </c>
      <c r="M40" s="8" t="n">
        <v>4</v>
      </c>
      <c r="N40" s="8" t="n">
        <v>22</v>
      </c>
      <c r="O40" s="8" t="n">
        <v>9</v>
      </c>
      <c r="P40" s="9" t="n">
        <v>23.5220308202117</v>
      </c>
      <c r="Q40" s="10" t="n">
        <v>0.0425133360143688</v>
      </c>
      <c r="R40" s="9" t="n">
        <v>15</v>
      </c>
      <c r="S40" s="11" t="n">
        <f aca="false">IF(AND(ISNUMBER(R40),R40&gt;1,P40&gt;0),R40/P40-1,"")</f>
        <v>-0.362299959784467</v>
      </c>
      <c r="T40" s="9" t="n">
        <f aca="false">IF(AND(ISNUMBER(P40),P40&gt;0),P40*EXP('Read me'!$B$22),"")</f>
        <v>28.7298733213351</v>
      </c>
    </row>
    <row r="41" customFormat="false" ht="15" hidden="false" customHeight="false" outlineLevel="0" collapsed="false">
      <c r="A41" s="14" t="s">
        <v>162</v>
      </c>
      <c r="B41" s="14" t="s">
        <v>42</v>
      </c>
      <c r="C41" s="14" t="s">
        <v>163</v>
      </c>
      <c r="D41" s="14" t="s">
        <v>366</v>
      </c>
      <c r="E41" s="15" t="n">
        <v>9</v>
      </c>
      <c r="F41" s="14" t="s">
        <v>367</v>
      </c>
      <c r="G41" s="8" t="n">
        <v>27</v>
      </c>
      <c r="H41" s="14" t="s">
        <v>713</v>
      </c>
      <c r="I41" s="14" t="s">
        <v>45</v>
      </c>
      <c r="J41" s="14" t="s">
        <v>714</v>
      </c>
      <c r="K41" s="8" t="n">
        <v>25</v>
      </c>
      <c r="L41" s="8" t="n">
        <v>100</v>
      </c>
      <c r="M41" s="8" t="n">
        <v>8</v>
      </c>
      <c r="N41" s="8" t="n">
        <v>35</v>
      </c>
      <c r="O41" s="8" t="n">
        <v>10</v>
      </c>
      <c r="P41" s="9" t="n">
        <v>24.3272067239393</v>
      </c>
      <c r="Q41" s="10" t="n">
        <v>0.0411062400771209</v>
      </c>
      <c r="R41" s="9" t="n">
        <v>9</v>
      </c>
      <c r="S41" s="11" t="n">
        <f aca="false">IF(AND(ISNUMBER(R41),R41&gt;1,P41&gt;0),R41/P41-1,"")</f>
        <v>-0.630043839305912</v>
      </c>
      <c r="T41" s="9" t="n">
        <f aca="false">IF(AND(ISNUMBER(P41),P41&gt;0),P41*EXP('Read me'!$B$22),"")</f>
        <v>29.7133173909521</v>
      </c>
    </row>
    <row r="42" customFormat="false" ht="15" hidden="false" customHeight="false" outlineLevel="0" collapsed="false">
      <c r="A42" s="14" t="s">
        <v>162</v>
      </c>
      <c r="B42" s="14" t="s">
        <v>42</v>
      </c>
      <c r="C42" s="14" t="s">
        <v>163</v>
      </c>
      <c r="D42" s="14" t="s">
        <v>366</v>
      </c>
      <c r="E42" s="15" t="n">
        <v>9</v>
      </c>
      <c r="F42" s="14" t="s">
        <v>367</v>
      </c>
      <c r="G42" s="8" t="n">
        <v>27</v>
      </c>
      <c r="H42" s="14" t="s">
        <v>715</v>
      </c>
      <c r="I42" s="14" t="s">
        <v>375</v>
      </c>
      <c r="J42" s="14" t="s">
        <v>439</v>
      </c>
      <c r="K42" s="8" t="n">
        <v>16</v>
      </c>
      <c r="L42" s="8" t="n">
        <v>108</v>
      </c>
      <c r="M42" s="8" t="n">
        <v>5</v>
      </c>
      <c r="N42" s="8" t="n">
        <v>14</v>
      </c>
      <c r="O42" s="8" t="n">
        <v>11</v>
      </c>
      <c r="P42" s="9" t="n">
        <v>24.9754885207642</v>
      </c>
      <c r="Q42" s="10" t="n">
        <v>0.0400392568565221</v>
      </c>
      <c r="R42" s="9" t="n">
        <v>26</v>
      </c>
      <c r="S42" s="11" t="n">
        <f aca="false">IF(AND(ISNUMBER(R42),R42&gt;1,P42&gt;0),R42/P42-1,"")</f>
        <v>0.0410206782695766</v>
      </c>
      <c r="T42" s="9" t="n">
        <f aca="false">IF(AND(ISNUMBER(P42),P42&gt;0),P42*EXP('Read me'!$B$22),"")</f>
        <v>30.5051305656591</v>
      </c>
    </row>
    <row r="43" customFormat="false" ht="15" hidden="false" customHeight="false" outlineLevel="0" collapsed="false">
      <c r="A43" s="14" t="s">
        <v>162</v>
      </c>
      <c r="B43" s="14" t="s">
        <v>42</v>
      </c>
      <c r="C43" s="14" t="s">
        <v>163</v>
      </c>
      <c r="D43" s="14" t="s">
        <v>366</v>
      </c>
      <c r="E43" s="15" t="n">
        <v>9</v>
      </c>
      <c r="F43" s="14" t="s">
        <v>367</v>
      </c>
      <c r="G43" s="8" t="n">
        <v>27</v>
      </c>
      <c r="H43" s="14" t="s">
        <v>716</v>
      </c>
      <c r="I43" s="14" t="s">
        <v>717</v>
      </c>
      <c r="J43" s="14" t="s">
        <v>718</v>
      </c>
      <c r="K43" s="8" t="n">
        <v>19</v>
      </c>
      <c r="L43" s="8" t="n">
        <v>93</v>
      </c>
      <c r="M43" s="8" t="n">
        <v>3</v>
      </c>
      <c r="N43" s="8" t="n">
        <v>9</v>
      </c>
      <c r="O43" s="8" t="n">
        <v>12</v>
      </c>
      <c r="P43" s="9" t="n">
        <v>28.305055325925</v>
      </c>
      <c r="Q43" s="10" t="n">
        <v>0.0353293780381374</v>
      </c>
      <c r="R43" s="9" t="n">
        <v>17</v>
      </c>
      <c r="S43" s="11" t="n">
        <f aca="false">IF(AND(ISNUMBER(R43),R43&gt;1,P43&gt;0),R43/P43-1,"")</f>
        <v>-0.399400573351664</v>
      </c>
      <c r="T43" s="9" t="n">
        <f aca="false">IF(AND(ISNUMBER(P43),P43&gt;0),P43*EXP('Read me'!$B$22),"")</f>
        <v>34.571872644961</v>
      </c>
    </row>
    <row r="44" customFormat="false" ht="15" hidden="false" customHeight="false" outlineLevel="0" collapsed="false">
      <c r="A44" s="14" t="s">
        <v>162</v>
      </c>
      <c r="B44" s="14" t="s">
        <v>42</v>
      </c>
      <c r="C44" s="14" t="s">
        <v>163</v>
      </c>
      <c r="D44" s="14" t="s">
        <v>366</v>
      </c>
      <c r="E44" s="15" t="n">
        <v>9</v>
      </c>
      <c r="F44" s="14" t="s">
        <v>367</v>
      </c>
      <c r="G44" s="8" t="n">
        <v>27</v>
      </c>
      <c r="H44" s="14" t="s">
        <v>719</v>
      </c>
      <c r="I44" s="14" t="s">
        <v>373</v>
      </c>
      <c r="J44" s="14" t="s">
        <v>720</v>
      </c>
      <c r="K44" s="8" t="n">
        <v>3</v>
      </c>
      <c r="L44" s="8" t="n">
        <v>89</v>
      </c>
      <c r="M44" s="8" t="n">
        <v>4</v>
      </c>
      <c r="N44" s="8" t="n">
        <v>37</v>
      </c>
      <c r="O44" s="8" t="n">
        <v>13</v>
      </c>
      <c r="P44" s="9" t="n">
        <v>29.652347782113</v>
      </c>
      <c r="Q44" s="10" t="n">
        <v>0.0337241424304089</v>
      </c>
      <c r="R44" s="9" t="n">
        <v>26</v>
      </c>
      <c r="S44" s="11" t="n">
        <f aca="false">IF(AND(ISNUMBER(R44),R44&gt;1,P44&gt;0),R44/P44-1,"")</f>
        <v>-0.123172296809366</v>
      </c>
      <c r="T44" s="9" t="n">
        <f aca="false">IF(AND(ISNUMBER(P44),P44&gt;0),P44*EXP('Read me'!$B$22),"")</f>
        <v>36.2174593669974</v>
      </c>
    </row>
    <row r="45" customFormat="false" ht="15" hidden="false" customHeight="false" outlineLevel="0" collapsed="false">
      <c r="A45" s="14" t="s">
        <v>162</v>
      </c>
      <c r="B45" s="14" t="s">
        <v>42</v>
      </c>
      <c r="C45" s="14" t="s">
        <v>163</v>
      </c>
      <c r="D45" s="14" t="s">
        <v>366</v>
      </c>
      <c r="E45" s="15" t="n">
        <v>9</v>
      </c>
      <c r="F45" s="14" t="s">
        <v>367</v>
      </c>
      <c r="G45" s="8" t="n">
        <v>27</v>
      </c>
      <c r="H45" s="14" t="s">
        <v>721</v>
      </c>
      <c r="I45" s="14" t="s">
        <v>722</v>
      </c>
      <c r="J45" s="14" t="s">
        <v>60</v>
      </c>
      <c r="K45" s="8" t="n">
        <v>6</v>
      </c>
      <c r="L45" s="8" t="n">
        <v>91</v>
      </c>
      <c r="M45" s="8" t="n">
        <v>3</v>
      </c>
      <c r="N45" s="8" t="n">
        <v>22</v>
      </c>
      <c r="O45" s="8" t="n">
        <v>14</v>
      </c>
      <c r="P45" s="9" t="n">
        <v>31.3018038403938</v>
      </c>
      <c r="Q45" s="10" t="n">
        <v>0.0319470406593481</v>
      </c>
      <c r="R45" s="9" t="n">
        <v>21</v>
      </c>
      <c r="S45" s="11" t="n">
        <f aca="false">IF(AND(ISNUMBER(R45),R45&gt;1,P45&gt;0),R45/P45-1,"")</f>
        <v>-0.32911214615369</v>
      </c>
      <c r="T45" s="9" t="n">
        <f aca="false">IF(AND(ISNUMBER(P45),P45&gt;0),P45*EXP('Read me'!$B$22),"")</f>
        <v>38.2321095460456</v>
      </c>
    </row>
    <row r="46" customFormat="false" ht="15" hidden="false" customHeight="false" outlineLevel="0" collapsed="false">
      <c r="A46" s="14" t="s">
        <v>162</v>
      </c>
      <c r="B46" s="14" t="s">
        <v>42</v>
      </c>
      <c r="C46" s="14" t="s">
        <v>163</v>
      </c>
      <c r="D46" s="14" t="s">
        <v>366</v>
      </c>
      <c r="E46" s="15" t="n">
        <v>9</v>
      </c>
      <c r="F46" s="14" t="s">
        <v>367</v>
      </c>
      <c r="G46" s="8" t="n">
        <v>27</v>
      </c>
      <c r="H46" s="14" t="s">
        <v>723</v>
      </c>
      <c r="I46" s="14" t="s">
        <v>206</v>
      </c>
      <c r="J46" s="14" t="s">
        <v>428</v>
      </c>
      <c r="K46" s="8" t="n">
        <v>7</v>
      </c>
      <c r="L46" s="8" t="n">
        <v>98</v>
      </c>
      <c r="M46" s="8" t="n">
        <v>3</v>
      </c>
      <c r="N46" s="8" t="n">
        <v>19</v>
      </c>
      <c r="O46" s="8" t="n">
        <v>15</v>
      </c>
      <c r="P46" s="9" t="n">
        <v>31.9625034279898</v>
      </c>
      <c r="Q46" s="10" t="n">
        <v>0.0312866607039389</v>
      </c>
      <c r="R46" s="9" t="n">
        <v>23</v>
      </c>
      <c r="S46" s="11" t="n">
        <f aca="false">IF(AND(ISNUMBER(R46),R46&gt;1,P46&gt;0),R46/P46-1,"")</f>
        <v>-0.280406803809405</v>
      </c>
      <c r="T46" s="9" t="n">
        <f aca="false">IF(AND(ISNUMBER(P46),P46&gt;0),P46*EXP('Read me'!$B$22),"")</f>
        <v>39.0390898446506</v>
      </c>
    </row>
    <row r="47" customFormat="false" ht="15" hidden="false" customHeight="false" outlineLevel="0" collapsed="false">
      <c r="A47" s="14" t="s">
        <v>162</v>
      </c>
      <c r="B47" s="14" t="s">
        <v>42</v>
      </c>
      <c r="C47" s="14" t="s">
        <v>163</v>
      </c>
      <c r="D47" s="14" t="s">
        <v>366</v>
      </c>
      <c r="E47" s="15" t="n">
        <v>9</v>
      </c>
      <c r="F47" s="14" t="s">
        <v>367</v>
      </c>
      <c r="G47" s="8" t="n">
        <v>27</v>
      </c>
      <c r="H47" s="14" t="s">
        <v>724</v>
      </c>
      <c r="I47" s="14" t="s">
        <v>725</v>
      </c>
      <c r="J47" s="14" t="s">
        <v>188</v>
      </c>
      <c r="K47" s="8" t="n">
        <v>17</v>
      </c>
      <c r="L47" s="8" t="n">
        <v>97</v>
      </c>
      <c r="M47" s="8" t="n">
        <v>3</v>
      </c>
      <c r="N47" s="8" t="n">
        <v>36</v>
      </c>
      <c r="O47" s="8" t="n">
        <v>16</v>
      </c>
      <c r="P47" s="9" t="n">
        <v>33.9169916668005</v>
      </c>
      <c r="Q47" s="10" t="n">
        <v>0.0294837469615221</v>
      </c>
      <c r="R47" s="9" t="n">
        <v>34</v>
      </c>
      <c r="S47" s="11" t="n">
        <f aca="false">IF(AND(ISNUMBER(R47),R47&gt;1,P47&gt;0),R47/P47-1,"")</f>
        <v>0.00244739669175131</v>
      </c>
      <c r="T47" s="9" t="n">
        <f aca="false">IF(AND(ISNUMBER(P47),P47&gt;0),P47*EXP('Read me'!$B$22),"")</f>
        <v>41.4263071703256</v>
      </c>
    </row>
    <row r="48" customFormat="false" ht="15" hidden="false" customHeight="false" outlineLevel="0" collapsed="false">
      <c r="A48" s="14" t="s">
        <v>162</v>
      </c>
      <c r="B48" s="14" t="s">
        <v>42</v>
      </c>
      <c r="C48" s="14" t="s">
        <v>163</v>
      </c>
      <c r="D48" s="14" t="s">
        <v>366</v>
      </c>
      <c r="E48" s="15" t="n">
        <v>9</v>
      </c>
      <c r="F48" s="14" t="s">
        <v>367</v>
      </c>
      <c r="G48" s="8" t="n">
        <v>27</v>
      </c>
      <c r="H48" s="14" t="s">
        <v>726</v>
      </c>
      <c r="I48" s="14" t="s">
        <v>383</v>
      </c>
      <c r="J48" s="14" t="s">
        <v>727</v>
      </c>
      <c r="K48" s="8" t="n">
        <v>8</v>
      </c>
      <c r="L48" s="8" t="n">
        <v>100</v>
      </c>
      <c r="M48" s="8" t="n">
        <v>4</v>
      </c>
      <c r="N48" s="8" t="n">
        <v>22</v>
      </c>
      <c r="O48" s="8" t="n">
        <v>17</v>
      </c>
      <c r="P48" s="9" t="n">
        <v>38.415547259961</v>
      </c>
      <c r="Q48" s="10" t="n">
        <v>0.0260311272733646</v>
      </c>
      <c r="R48" s="9" t="n">
        <v>26</v>
      </c>
      <c r="S48" s="11" t="n">
        <f aca="false">IF(AND(ISNUMBER(R48),R48&gt;1,P48&gt;0),R48/P48-1,"")</f>
        <v>-0.323190690892519</v>
      </c>
      <c r="T48" s="9" t="n">
        <f aca="false">IF(AND(ISNUMBER(P48),P48&gt;0),P48*EXP('Read me'!$B$22),"")</f>
        <v>46.9208553795488</v>
      </c>
    </row>
    <row r="49" customFormat="false" ht="15" hidden="false" customHeight="false" outlineLevel="0" collapsed="false">
      <c r="A49" s="14" t="s">
        <v>162</v>
      </c>
      <c r="B49" s="14" t="s">
        <v>42</v>
      </c>
      <c r="C49" s="14" t="s">
        <v>163</v>
      </c>
      <c r="D49" s="14" t="s">
        <v>366</v>
      </c>
      <c r="E49" s="15" t="n">
        <v>9</v>
      </c>
      <c r="F49" s="14" t="s">
        <v>367</v>
      </c>
      <c r="G49" s="8" t="n">
        <v>27</v>
      </c>
      <c r="H49" s="14" t="s">
        <v>728</v>
      </c>
      <c r="I49" s="14" t="s">
        <v>729</v>
      </c>
      <c r="J49" s="14" t="s">
        <v>582</v>
      </c>
      <c r="K49" s="8" t="n">
        <v>23</v>
      </c>
      <c r="L49" s="8" t="n">
        <v>90</v>
      </c>
      <c r="M49" s="8" t="n">
        <v>4</v>
      </c>
      <c r="N49" s="8" t="n">
        <v>35</v>
      </c>
      <c r="O49" s="8" t="n">
        <v>18</v>
      </c>
      <c r="P49" s="9" t="n">
        <v>50.927243937332</v>
      </c>
      <c r="Q49" s="10" t="n">
        <v>0.0196358554417462</v>
      </c>
      <c r="R49" s="9" t="n">
        <v>51</v>
      </c>
      <c r="S49" s="11" t="n">
        <f aca="false">IF(AND(ISNUMBER(R49),R49&gt;1,P49&gt;0),R49/P49-1,"")</f>
        <v>0.00142862752905937</v>
      </c>
      <c r="T49" s="9" t="n">
        <f aca="false">IF(AND(ISNUMBER(P49),P49&gt;0),P49*EXP('Read me'!$B$22),"")</f>
        <v>62.2026762105531</v>
      </c>
    </row>
    <row r="50" customFormat="false" ht="15" hidden="false" customHeight="false" outlineLevel="0" collapsed="false">
      <c r="A50" s="14" t="s">
        <v>162</v>
      </c>
      <c r="B50" s="14" t="s">
        <v>42</v>
      </c>
      <c r="C50" s="14" t="s">
        <v>163</v>
      </c>
      <c r="D50" s="14" t="s">
        <v>366</v>
      </c>
      <c r="E50" s="15" t="n">
        <v>9</v>
      </c>
      <c r="F50" s="14" t="s">
        <v>367</v>
      </c>
      <c r="G50" s="8" t="n">
        <v>27</v>
      </c>
      <c r="H50" s="14" t="s">
        <v>730</v>
      </c>
      <c r="I50" s="14" t="s">
        <v>378</v>
      </c>
      <c r="J50" s="14" t="s">
        <v>381</v>
      </c>
      <c r="K50" s="8" t="n">
        <v>21</v>
      </c>
      <c r="L50" s="8" t="n">
        <v>99</v>
      </c>
      <c r="M50" s="8" t="n">
        <v>4</v>
      </c>
      <c r="N50" s="8" t="n">
        <v>63</v>
      </c>
      <c r="O50" s="8" t="n">
        <v>19</v>
      </c>
      <c r="P50" s="9" t="n">
        <v>53.728845122168</v>
      </c>
      <c r="Q50" s="10" t="n">
        <v>0.0186119764481483</v>
      </c>
      <c r="R50" s="9" t="n">
        <v>29</v>
      </c>
      <c r="S50" s="11" t="n">
        <f aca="false">IF(AND(ISNUMBER(R50),R50&gt;1,P50&gt;0),R50/P50-1,"")</f>
        <v>-0.460252683003699</v>
      </c>
      <c r="T50" s="9" t="n">
        <f aca="false">IF(AND(ISNUMBER(P50),P50&gt;0),P50*EXP('Read me'!$B$22),"")</f>
        <v>65.6245596249766</v>
      </c>
    </row>
    <row r="51" customFormat="false" ht="15" hidden="false" customHeight="false" outlineLevel="0" collapsed="false">
      <c r="A51" s="14" t="s">
        <v>162</v>
      </c>
      <c r="B51" s="14" t="s">
        <v>42</v>
      </c>
      <c r="C51" s="14" t="s">
        <v>163</v>
      </c>
      <c r="D51" s="14" t="s">
        <v>366</v>
      </c>
      <c r="E51" s="15" t="n">
        <v>9</v>
      </c>
      <c r="F51" s="14" t="s">
        <v>367</v>
      </c>
      <c r="G51" s="8" t="n">
        <v>27</v>
      </c>
      <c r="H51" s="14" t="s">
        <v>731</v>
      </c>
      <c r="I51" s="14" t="s">
        <v>732</v>
      </c>
      <c r="J51" s="14" t="s">
        <v>733</v>
      </c>
      <c r="K51" s="8" t="n">
        <v>20</v>
      </c>
      <c r="L51" s="8" t="n">
        <v>91</v>
      </c>
      <c r="M51" s="8" t="n">
        <v>4</v>
      </c>
      <c r="N51" s="8" t="n">
        <v>23</v>
      </c>
      <c r="O51" s="8" t="n">
        <v>20</v>
      </c>
      <c r="P51" s="9" t="n">
        <v>62.2744341099781</v>
      </c>
      <c r="Q51" s="10" t="n">
        <v>0.0160579540270727</v>
      </c>
      <c r="R51" s="9" t="n">
        <v>34</v>
      </c>
      <c r="S51" s="11" t="n">
        <f aca="false">IF(AND(ISNUMBER(R51),R51&gt;1,P51&gt;0),R51/P51-1,"")</f>
        <v>-0.454029563079526</v>
      </c>
      <c r="T51" s="9" t="n">
        <f aca="false">IF(AND(ISNUMBER(P51),P51&gt;0),P51*EXP('Read me'!$B$22),"")</f>
        <v>76.062165584791</v>
      </c>
    </row>
    <row r="52" customFormat="false" ht="15" hidden="false" customHeight="false" outlineLevel="0" collapsed="false">
      <c r="A52" s="14" t="s">
        <v>162</v>
      </c>
      <c r="B52" s="14" t="s">
        <v>42</v>
      </c>
      <c r="C52" s="14" t="s">
        <v>163</v>
      </c>
      <c r="D52" s="14" t="s">
        <v>366</v>
      </c>
      <c r="E52" s="15" t="n">
        <v>9</v>
      </c>
      <c r="F52" s="14" t="s">
        <v>367</v>
      </c>
      <c r="G52" s="8" t="n">
        <v>27</v>
      </c>
      <c r="H52" s="14" t="s">
        <v>734</v>
      </c>
      <c r="I52" s="14" t="s">
        <v>735</v>
      </c>
      <c r="J52" s="14" t="s">
        <v>665</v>
      </c>
      <c r="K52" s="8" t="n">
        <v>4</v>
      </c>
      <c r="L52" s="8" t="n">
        <v>84</v>
      </c>
      <c r="M52" s="8" t="n">
        <v>4</v>
      </c>
      <c r="N52" s="8" t="n">
        <v>7</v>
      </c>
      <c r="O52" s="8" t="n">
        <v>21</v>
      </c>
      <c r="P52" s="9" t="n">
        <v>68.0251484755541</v>
      </c>
      <c r="Q52" s="10" t="n">
        <v>0.0147004456794293</v>
      </c>
      <c r="R52" s="9" t="n">
        <v>41</v>
      </c>
      <c r="S52" s="11" t="n">
        <f aca="false">IF(AND(ISNUMBER(R52),R52&gt;1,P52&gt;0),R52/P52-1,"")</f>
        <v>-0.397281727143396</v>
      </c>
      <c r="T52" s="9" t="n">
        <f aca="false">IF(AND(ISNUMBER(P52),P52&gt;0),P52*EXP('Read me'!$B$22),"")</f>
        <v>83.0861039722969</v>
      </c>
    </row>
    <row r="53" customFormat="false" ht="15" hidden="false" customHeight="false" outlineLevel="0" collapsed="false">
      <c r="A53" s="14" t="s">
        <v>162</v>
      </c>
      <c r="B53" s="14" t="s">
        <v>42</v>
      </c>
      <c r="C53" s="14" t="s">
        <v>163</v>
      </c>
      <c r="D53" s="14" t="s">
        <v>366</v>
      </c>
      <c r="E53" s="15" t="n">
        <v>9</v>
      </c>
      <c r="F53" s="14" t="s">
        <v>367</v>
      </c>
      <c r="G53" s="8" t="n">
        <v>27</v>
      </c>
      <c r="H53" s="14" t="s">
        <v>736</v>
      </c>
      <c r="I53" s="14" t="s">
        <v>737</v>
      </c>
      <c r="J53" s="14" t="s">
        <v>428</v>
      </c>
      <c r="K53" s="8" t="n">
        <v>22</v>
      </c>
      <c r="L53" s="8" t="n">
        <v>99</v>
      </c>
      <c r="M53" s="8" t="n">
        <v>5</v>
      </c>
      <c r="N53" s="8" t="n">
        <v>22</v>
      </c>
      <c r="O53" s="8" t="n">
        <v>22</v>
      </c>
      <c r="P53" s="9" t="n">
        <v>106.654095217819</v>
      </c>
      <c r="Q53" s="10" t="n">
        <v>0.0093761050427337</v>
      </c>
      <c r="R53" s="9" t="n">
        <v>67</v>
      </c>
      <c r="S53" s="11" t="n">
        <f aca="false">IF(AND(ISNUMBER(R53),R53&gt;1,P53&gt;0),R53/P53-1,"")</f>
        <v>-0.371800962136837</v>
      </c>
      <c r="T53" s="9" t="n">
        <f aca="false">IF(AND(ISNUMBER(P53),P53&gt;0),P53*EXP('Read me'!$B$22),"")</f>
        <v>130.267606068121</v>
      </c>
    </row>
    <row r="54" customFormat="false" ht="15" hidden="false" customHeight="false" outlineLevel="0" collapsed="false">
      <c r="A54" s="14" t="s">
        <v>162</v>
      </c>
      <c r="B54" s="14" t="s">
        <v>42</v>
      </c>
      <c r="C54" s="14" t="s">
        <v>163</v>
      </c>
      <c r="D54" s="14" t="s">
        <v>366</v>
      </c>
      <c r="E54" s="15" t="n">
        <v>9</v>
      </c>
      <c r="F54" s="14" t="s">
        <v>367</v>
      </c>
      <c r="G54" s="8" t="n">
        <v>27</v>
      </c>
      <c r="H54" s="14" t="s">
        <v>738</v>
      </c>
      <c r="I54" s="14" t="s">
        <v>739</v>
      </c>
      <c r="J54" s="14" t="s">
        <v>740</v>
      </c>
      <c r="K54" s="8" t="n">
        <v>27</v>
      </c>
      <c r="L54" s="8" t="n">
        <v>83</v>
      </c>
      <c r="M54" s="8" t="n">
        <v>5</v>
      </c>
      <c r="N54" s="8" t="n">
        <v>19</v>
      </c>
      <c r="O54" s="8" t="n">
        <v>23</v>
      </c>
      <c r="P54" s="9" t="n">
        <v>112.972556504368</v>
      </c>
      <c r="Q54" s="10" t="n">
        <v>0.0088517072724766</v>
      </c>
      <c r="R54" s="9" t="n">
        <v>51</v>
      </c>
      <c r="S54" s="11" t="n">
        <f aca="false">IF(AND(ISNUMBER(R54),R54&gt;1,P54&gt;0),R54/P54-1,"")</f>
        <v>-0.548562929103689</v>
      </c>
      <c r="T54" s="9" t="n">
        <f aca="false">IF(AND(ISNUMBER(P54),P54&gt;0),P54*EXP('Read me'!$B$22),"")</f>
        <v>137.984992110841</v>
      </c>
    </row>
    <row r="55" customFormat="false" ht="15" hidden="false" customHeight="false" outlineLevel="0" collapsed="false">
      <c r="A55" s="14" t="s">
        <v>162</v>
      </c>
      <c r="B55" s="14" t="s">
        <v>42</v>
      </c>
      <c r="C55" s="14" t="s">
        <v>163</v>
      </c>
      <c r="D55" s="14" t="s">
        <v>366</v>
      </c>
      <c r="E55" s="15" t="n">
        <v>9</v>
      </c>
      <c r="F55" s="14" t="s">
        <v>367</v>
      </c>
      <c r="G55" s="8" t="n">
        <v>27</v>
      </c>
      <c r="H55" s="14" t="s">
        <v>741</v>
      </c>
      <c r="I55" s="14" t="s">
        <v>742</v>
      </c>
      <c r="J55" s="14" t="s">
        <v>665</v>
      </c>
      <c r="K55" s="8" t="n">
        <v>2</v>
      </c>
      <c r="L55" s="8" t="n">
        <v>82</v>
      </c>
      <c r="M55" s="8" t="n">
        <v>5</v>
      </c>
      <c r="N55" s="8" t="n">
        <v>7</v>
      </c>
      <c r="O55" s="8" t="n">
        <v>24</v>
      </c>
      <c r="P55" s="9" t="n">
        <v>153.446272492538</v>
      </c>
      <c r="Q55" s="10" t="n">
        <v>0.0065169390155673</v>
      </c>
      <c r="R55" s="9" t="n">
        <v>101</v>
      </c>
      <c r="S55" s="11" t="n">
        <f aca="false">IF(AND(ISNUMBER(R55),R55&gt;1,P55&gt;0),R55/P55-1,"")</f>
        <v>-0.341789159427698</v>
      </c>
      <c r="T55" s="9" t="n">
        <f aca="false">IF(AND(ISNUMBER(P55),P55&gt;0),P55*EXP('Read me'!$B$22),"")</f>
        <v>187.419700451783</v>
      </c>
    </row>
    <row r="56" customFormat="false" ht="15" hidden="false" customHeight="false" outlineLevel="0" collapsed="false">
      <c r="A56" s="14" t="s">
        <v>162</v>
      </c>
      <c r="B56" s="14" t="s">
        <v>42</v>
      </c>
      <c r="C56" s="14" t="s">
        <v>163</v>
      </c>
      <c r="D56" s="14" t="s">
        <v>366</v>
      </c>
      <c r="E56" s="15" t="n">
        <v>9</v>
      </c>
      <c r="F56" s="14" t="s">
        <v>367</v>
      </c>
      <c r="G56" s="8" t="n">
        <v>27</v>
      </c>
      <c r="H56" s="14" t="s">
        <v>743</v>
      </c>
      <c r="I56" s="14" t="s">
        <v>386</v>
      </c>
      <c r="J56" s="14" t="s">
        <v>744</v>
      </c>
      <c r="K56" s="8" t="n">
        <v>14</v>
      </c>
      <c r="L56" s="8" t="n">
        <v>83</v>
      </c>
      <c r="M56" s="8" t="n">
        <v>4</v>
      </c>
      <c r="N56" s="8" t="n">
        <v>20</v>
      </c>
      <c r="O56" s="8" t="n">
        <v>25</v>
      </c>
      <c r="P56" s="9" t="n">
        <v>216.386784066029</v>
      </c>
      <c r="Q56" s="10" t="n">
        <v>0.0046213543230757</v>
      </c>
      <c r="R56" s="9" t="n">
        <v>151</v>
      </c>
      <c r="S56" s="11" t="n">
        <f aca="false">IF(AND(ISNUMBER(R56),R56&gt;1,P56&gt;0),R56/P56-1,"")</f>
        <v>-0.302175497215564</v>
      </c>
      <c r="T56" s="9" t="n">
        <f aca="false">IF(AND(ISNUMBER(P56),P56&gt;0),P56*EXP('Read me'!$B$22),"")</f>
        <v>264.295414887657</v>
      </c>
    </row>
    <row r="57" customFormat="false" ht="15" hidden="false" customHeight="false" outlineLevel="0" collapsed="false">
      <c r="A57" s="14" t="s">
        <v>162</v>
      </c>
      <c r="B57" s="14" t="s">
        <v>42</v>
      </c>
      <c r="C57" s="14" t="s">
        <v>163</v>
      </c>
      <c r="D57" s="14" t="s">
        <v>366</v>
      </c>
      <c r="E57" s="15" t="n">
        <v>9</v>
      </c>
      <c r="F57" s="14" t="s">
        <v>367</v>
      </c>
      <c r="G57" s="8" t="n">
        <v>27</v>
      </c>
      <c r="H57" s="14" t="s">
        <v>745</v>
      </c>
      <c r="I57" s="14" t="s">
        <v>746</v>
      </c>
      <c r="J57" s="14" t="s">
        <v>665</v>
      </c>
      <c r="K57" s="8" t="n">
        <v>10</v>
      </c>
      <c r="L57" s="8" t="n">
        <v>85</v>
      </c>
      <c r="M57" s="8" t="n">
        <v>4</v>
      </c>
      <c r="N57" s="8" t="n">
        <v>9</v>
      </c>
      <c r="O57" s="8" t="n">
        <v>26</v>
      </c>
      <c r="P57" s="9" t="n">
        <v>230.738671680879</v>
      </c>
      <c r="Q57" s="10" t="n">
        <v>0.0043339072411019</v>
      </c>
      <c r="R57" s="9" t="n">
        <v>51</v>
      </c>
      <c r="S57" s="11" t="n">
        <f aca="false">IF(AND(ISNUMBER(R57),R57&gt;1,P57&gt;0),R57/P57-1,"")</f>
        <v>-0.778970730703802</v>
      </c>
      <c r="T57" s="9" t="n">
        <f aca="false">IF(AND(ISNUMBER(P57),P57&gt;0),P57*EXP('Read me'!$B$22),"")</f>
        <v>281.824850005239</v>
      </c>
    </row>
    <row r="58" customFormat="false" ht="15" hidden="false" customHeight="false" outlineLevel="0" collapsed="false">
      <c r="A58" s="14" t="s">
        <v>162</v>
      </c>
      <c r="B58" s="14" t="s">
        <v>42</v>
      </c>
      <c r="C58" s="14" t="s">
        <v>163</v>
      </c>
      <c r="D58" s="14" t="s">
        <v>366</v>
      </c>
      <c r="E58" s="15" t="n">
        <v>9</v>
      </c>
      <c r="F58" s="14" t="s">
        <v>367</v>
      </c>
      <c r="G58" s="8" t="n">
        <v>27</v>
      </c>
      <c r="H58" s="14" t="s">
        <v>747</v>
      </c>
      <c r="I58" s="14" t="s">
        <v>748</v>
      </c>
      <c r="J58" s="14" t="s">
        <v>703</v>
      </c>
      <c r="K58" s="8" t="n">
        <v>12</v>
      </c>
      <c r="L58" s="8" t="n">
        <v>89</v>
      </c>
      <c r="M58" s="8" t="n">
        <v>4</v>
      </c>
      <c r="N58" s="8" t="n">
        <v>10</v>
      </c>
      <c r="O58" s="8" t="n">
        <v>27</v>
      </c>
      <c r="P58" s="9" t="n">
        <v>231.822456019612</v>
      </c>
      <c r="Q58" s="10" t="n">
        <v>0.0043136459563494</v>
      </c>
      <c r="R58" s="9" t="n">
        <v>151</v>
      </c>
      <c r="S58" s="11" t="n">
        <f aca="false">IF(AND(ISNUMBER(R58),R58&gt;1,P58&gt;0),R58/P58-1,"")</f>
        <v>-0.348639460591233</v>
      </c>
      <c r="T58" s="9" t="n">
        <f aca="false">IF(AND(ISNUMBER(P58),P58&gt;0),P58*EXP('Read me'!$B$22),"")</f>
        <v>283.148587185819</v>
      </c>
    </row>
    <row r="59" customFormat="false" ht="15" hidden="false" customHeight="false" outlineLevel="0" collapsed="false">
      <c r="A59" s="14" t="s">
        <v>203</v>
      </c>
      <c r="B59" s="14" t="s">
        <v>42</v>
      </c>
      <c r="C59" s="14" t="s">
        <v>204</v>
      </c>
      <c r="D59" s="14" t="s">
        <v>366</v>
      </c>
      <c r="E59" s="15" t="n">
        <v>7</v>
      </c>
      <c r="F59" s="14" t="s">
        <v>367</v>
      </c>
      <c r="G59" s="8" t="n">
        <v>11</v>
      </c>
      <c r="H59" s="14" t="s">
        <v>205</v>
      </c>
      <c r="I59" s="14" t="s">
        <v>206</v>
      </c>
      <c r="J59" s="14" t="s">
        <v>207</v>
      </c>
      <c r="K59" s="8" t="n">
        <v>7</v>
      </c>
      <c r="L59" s="8" t="n">
        <v>0</v>
      </c>
      <c r="M59" s="8" t="n">
        <v>2</v>
      </c>
      <c r="N59" s="8" t="n">
        <v>65</v>
      </c>
      <c r="O59" s="8" t="n">
        <v>1</v>
      </c>
      <c r="P59" s="9" t="n">
        <v>4.71305867461102</v>
      </c>
      <c r="Q59" s="10" t="n">
        <v>0.212176437646945</v>
      </c>
      <c r="R59" s="9" t="n">
        <v>4</v>
      </c>
      <c r="S59" s="11" t="n">
        <f aca="false">IF(AND(ISNUMBER(R59),R59&gt;1,P59&gt;0),R59/P59-1,"")</f>
        <v>-0.151294249412219</v>
      </c>
      <c r="T59" s="9" t="n">
        <f aca="false">IF(AND(ISNUMBER(P59),P59&gt;0),P59*EXP('Read me'!$B$22),"")</f>
        <v>5.75654286454062</v>
      </c>
    </row>
    <row r="60" customFormat="false" ht="15" hidden="false" customHeight="false" outlineLevel="0" collapsed="false">
      <c r="A60" s="14" t="s">
        <v>203</v>
      </c>
      <c r="B60" s="14" t="s">
        <v>42</v>
      </c>
      <c r="C60" s="14" t="s">
        <v>204</v>
      </c>
      <c r="D60" s="14" t="s">
        <v>366</v>
      </c>
      <c r="E60" s="15" t="n">
        <v>7</v>
      </c>
      <c r="F60" s="14" t="s">
        <v>367</v>
      </c>
      <c r="G60" s="8" t="n">
        <v>11</v>
      </c>
      <c r="H60" s="14" t="s">
        <v>208</v>
      </c>
      <c r="I60" s="14" t="s">
        <v>165</v>
      </c>
      <c r="J60" s="14" t="s">
        <v>381</v>
      </c>
      <c r="K60" s="8" t="n">
        <v>4</v>
      </c>
      <c r="L60" s="8" t="n">
        <v>0</v>
      </c>
      <c r="M60" s="8" t="n">
        <v>2</v>
      </c>
      <c r="N60" s="8" t="n">
        <v>49</v>
      </c>
      <c r="O60" s="8" t="n">
        <v>2</v>
      </c>
      <c r="P60" s="9" t="n">
        <v>4.99392632525399</v>
      </c>
      <c r="Q60" s="10" t="n">
        <v>0.200243242464964</v>
      </c>
      <c r="R60" s="9" t="n">
        <v>17</v>
      </c>
      <c r="S60" s="11" t="n">
        <f aca="false">IF(AND(ISNUMBER(R60),R60&gt;1,P60&gt;0),R60/P60-1,"")</f>
        <v>2.40413512190438</v>
      </c>
      <c r="T60" s="9" t="n">
        <f aca="false">IF(AND(ISNUMBER(P60),P60&gt;0),P60*EXP('Read me'!$B$22),"")</f>
        <v>6.09959538771391</v>
      </c>
    </row>
    <row r="61" customFormat="false" ht="15" hidden="false" customHeight="false" outlineLevel="0" collapsed="false">
      <c r="A61" s="14" t="s">
        <v>203</v>
      </c>
      <c r="B61" s="14" t="s">
        <v>42</v>
      </c>
      <c r="C61" s="14" t="s">
        <v>204</v>
      </c>
      <c r="D61" s="14" t="s">
        <v>366</v>
      </c>
      <c r="E61" s="15" t="n">
        <v>7</v>
      </c>
      <c r="F61" s="14" t="s">
        <v>367</v>
      </c>
      <c r="G61" s="8" t="n">
        <v>11</v>
      </c>
      <c r="H61" s="14" t="s">
        <v>840</v>
      </c>
      <c r="I61" s="14" t="s">
        <v>369</v>
      </c>
      <c r="J61" s="14" t="s">
        <v>230</v>
      </c>
      <c r="K61" s="8" t="n">
        <v>10</v>
      </c>
      <c r="L61" s="8" t="n">
        <v>0</v>
      </c>
      <c r="M61" s="8" t="n">
        <v>2</v>
      </c>
      <c r="N61" s="8" t="n">
        <v>21</v>
      </c>
      <c r="O61" s="8" t="n">
        <v>3</v>
      </c>
      <c r="P61" s="9" t="n">
        <v>7.50016012215481</v>
      </c>
      <c r="Q61" s="10" t="n">
        <v>0.133330486778021</v>
      </c>
      <c r="R61" s="9" t="n">
        <v>4.33333333333333</v>
      </c>
      <c r="S61" s="11" t="n">
        <f aca="false">IF(AND(ISNUMBER(R61),R61&gt;1,P61&gt;0),R61/P61-1,"")</f>
        <v>-0.422234557295244</v>
      </c>
      <c r="T61" s="9" t="n">
        <f aca="false">IF(AND(ISNUMBER(P61),P61&gt;0),P61*EXP('Read me'!$B$22),"")</f>
        <v>9.1607162598428</v>
      </c>
    </row>
    <row r="62" customFormat="false" ht="15" hidden="false" customHeight="false" outlineLevel="0" collapsed="false">
      <c r="A62" s="14" t="s">
        <v>203</v>
      </c>
      <c r="B62" s="14" t="s">
        <v>42</v>
      </c>
      <c r="C62" s="14" t="s">
        <v>204</v>
      </c>
      <c r="D62" s="14" t="s">
        <v>366</v>
      </c>
      <c r="E62" s="15" t="n">
        <v>7</v>
      </c>
      <c r="F62" s="14" t="s">
        <v>367</v>
      </c>
      <c r="G62" s="8" t="n">
        <v>11</v>
      </c>
      <c r="H62" s="14" t="s">
        <v>841</v>
      </c>
      <c r="I62" s="14" t="s">
        <v>462</v>
      </c>
      <c r="J62" s="14" t="s">
        <v>114</v>
      </c>
      <c r="K62" s="8" t="n">
        <v>11</v>
      </c>
      <c r="L62" s="8" t="n">
        <v>0</v>
      </c>
      <c r="M62" s="8" t="n">
        <v>2</v>
      </c>
      <c r="N62" s="8"/>
      <c r="O62" s="8" t="n">
        <v>4</v>
      </c>
      <c r="P62" s="9" t="n">
        <v>7.97308994660716</v>
      </c>
      <c r="Q62" s="10" t="n">
        <v>0.125421888715245</v>
      </c>
      <c r="R62" s="9" t="n">
        <v>9.5</v>
      </c>
      <c r="S62" s="11" t="n">
        <f aca="false">IF(AND(ISNUMBER(R62),R62&gt;1,P62&gt;0),R62/P62-1,"")</f>
        <v>0.191507942794825</v>
      </c>
      <c r="T62" s="9" t="n">
        <f aca="false">IF(AND(ISNUMBER(P62),P62&gt;0),P62*EXP('Read me'!$B$22),"")</f>
        <v>9.73835405184511</v>
      </c>
    </row>
    <row r="63" customFormat="false" ht="15" hidden="false" customHeight="false" outlineLevel="0" collapsed="false">
      <c r="A63" s="14" t="s">
        <v>203</v>
      </c>
      <c r="B63" s="14" t="s">
        <v>42</v>
      </c>
      <c r="C63" s="14" t="s">
        <v>204</v>
      </c>
      <c r="D63" s="14" t="s">
        <v>366</v>
      </c>
      <c r="E63" s="15" t="n">
        <v>7</v>
      </c>
      <c r="F63" s="14" t="s">
        <v>367</v>
      </c>
      <c r="G63" s="8" t="n">
        <v>11</v>
      </c>
      <c r="H63" s="14" t="s">
        <v>842</v>
      </c>
      <c r="I63" s="14" t="s">
        <v>705</v>
      </c>
      <c r="J63" s="14" t="s">
        <v>114</v>
      </c>
      <c r="K63" s="8" t="n">
        <v>8</v>
      </c>
      <c r="L63" s="8" t="n">
        <v>0</v>
      </c>
      <c r="M63" s="8" t="n">
        <v>2</v>
      </c>
      <c r="N63" s="8"/>
      <c r="O63" s="8" t="n">
        <v>5</v>
      </c>
      <c r="P63" s="9" t="n">
        <v>9.87410067840718</v>
      </c>
      <c r="Q63" s="10" t="n">
        <v>0.10127504595804</v>
      </c>
      <c r="R63" s="9" t="n">
        <v>8</v>
      </c>
      <c r="S63" s="11" t="n">
        <f aca="false">IF(AND(ISNUMBER(R63),R63&gt;1,P63&gt;0),R63/P63-1,"")</f>
        <v>-0.189799632335681</v>
      </c>
      <c r="T63" s="9" t="n">
        <f aca="false">IF(AND(ISNUMBER(P63),P63&gt;0),P63*EXP('Read me'!$B$22),"")</f>
        <v>12.0602538029577</v>
      </c>
    </row>
    <row r="64" customFormat="false" ht="15" hidden="false" customHeight="false" outlineLevel="0" collapsed="false">
      <c r="A64" s="14" t="s">
        <v>203</v>
      </c>
      <c r="B64" s="14" t="s">
        <v>42</v>
      </c>
      <c r="C64" s="14" t="s">
        <v>204</v>
      </c>
      <c r="D64" s="14" t="s">
        <v>366</v>
      </c>
      <c r="E64" s="15" t="n">
        <v>7</v>
      </c>
      <c r="F64" s="14" t="s">
        <v>367</v>
      </c>
      <c r="G64" s="8" t="n">
        <v>11</v>
      </c>
      <c r="H64" s="14" t="s">
        <v>843</v>
      </c>
      <c r="I64" s="14" t="s">
        <v>45</v>
      </c>
      <c r="J64" s="14" t="s">
        <v>46</v>
      </c>
      <c r="K64" s="8" t="n">
        <v>5</v>
      </c>
      <c r="L64" s="8" t="n">
        <v>0</v>
      </c>
      <c r="M64" s="8" t="n">
        <v>2</v>
      </c>
      <c r="N64" s="8"/>
      <c r="O64" s="8" t="n">
        <v>6</v>
      </c>
      <c r="P64" s="9" t="n">
        <v>14.7160092462856</v>
      </c>
      <c r="Q64" s="10" t="n">
        <v>0.0679532054692343</v>
      </c>
      <c r="R64" s="9" t="n">
        <v>6</v>
      </c>
      <c r="S64" s="11" t="n">
        <f aca="false">IF(AND(ISNUMBER(R64),R64&gt;1,P64&gt;0),R64/P64-1,"")</f>
        <v>-0.592280767184594</v>
      </c>
      <c r="T64" s="9" t="n">
        <f aca="false">IF(AND(ISNUMBER(P64),P64&gt;0),P64*EXP('Read me'!$B$22),"")</f>
        <v>17.9741742825238</v>
      </c>
    </row>
    <row r="65" customFormat="false" ht="15" hidden="false" customHeight="false" outlineLevel="0" collapsed="false">
      <c r="A65" s="14" t="s">
        <v>203</v>
      </c>
      <c r="B65" s="14" t="s">
        <v>42</v>
      </c>
      <c r="C65" s="14" t="s">
        <v>204</v>
      </c>
      <c r="D65" s="14" t="s">
        <v>366</v>
      </c>
      <c r="E65" s="15" t="n">
        <v>7</v>
      </c>
      <c r="F65" s="14" t="s">
        <v>367</v>
      </c>
      <c r="G65" s="8" t="n">
        <v>11</v>
      </c>
      <c r="H65" s="14" t="s">
        <v>844</v>
      </c>
      <c r="I65" s="14" t="s">
        <v>717</v>
      </c>
      <c r="J65" s="14" t="s">
        <v>845</v>
      </c>
      <c r="K65" s="8" t="n">
        <v>3</v>
      </c>
      <c r="L65" s="8" t="n">
        <v>0</v>
      </c>
      <c r="M65" s="8" t="n">
        <v>2</v>
      </c>
      <c r="N65" s="8"/>
      <c r="O65" s="8" t="n">
        <v>7</v>
      </c>
      <c r="P65" s="9" t="n">
        <v>22.077978476931</v>
      </c>
      <c r="Q65" s="10" t="n">
        <v>0.0452940019415674</v>
      </c>
      <c r="R65" s="9" t="n">
        <v>10</v>
      </c>
      <c r="S65" s="11" t="n">
        <f aca="false">IF(AND(ISNUMBER(R65),R65&gt;1,P65&gt;0),R65/P65-1,"")</f>
        <v>-0.547059980584325</v>
      </c>
      <c r="T65" s="9" t="n">
        <f aca="false">IF(AND(ISNUMBER(P65),P65&gt;0),P65*EXP('Read me'!$B$22),"")</f>
        <v>26.9661038063244</v>
      </c>
    </row>
    <row r="66" customFormat="false" ht="15" hidden="false" customHeight="false" outlineLevel="0" collapsed="false">
      <c r="A66" s="14" t="s">
        <v>203</v>
      </c>
      <c r="B66" s="14" t="s">
        <v>42</v>
      </c>
      <c r="C66" s="14" t="s">
        <v>204</v>
      </c>
      <c r="D66" s="14" t="s">
        <v>366</v>
      </c>
      <c r="E66" s="15" t="n">
        <v>7</v>
      </c>
      <c r="F66" s="14" t="s">
        <v>367</v>
      </c>
      <c r="G66" s="8" t="n">
        <v>11</v>
      </c>
      <c r="H66" s="14" t="s">
        <v>846</v>
      </c>
      <c r="I66" s="14" t="s">
        <v>383</v>
      </c>
      <c r="J66" s="14" t="s">
        <v>847</v>
      </c>
      <c r="K66" s="8" t="n">
        <v>9</v>
      </c>
      <c r="L66" s="8" t="n">
        <v>0</v>
      </c>
      <c r="M66" s="8" t="n">
        <v>2</v>
      </c>
      <c r="N66" s="8" t="n">
        <v>45</v>
      </c>
      <c r="O66" s="8" t="n">
        <v>8</v>
      </c>
      <c r="P66" s="9" t="n">
        <v>23.4707913311246</v>
      </c>
      <c r="Q66" s="10" t="n">
        <v>0.0426061476109627</v>
      </c>
      <c r="R66" s="9" t="n">
        <v>23</v>
      </c>
      <c r="S66" s="11" t="n">
        <f aca="false">IF(AND(ISNUMBER(R66),R66&gt;1,P66&gt;0),R66/P66-1,"")</f>
        <v>-0.0200586049478559</v>
      </c>
      <c r="T66" s="9" t="n">
        <f aca="false">IF(AND(ISNUMBER(P66),P66&gt;0),P66*EXP('Read me'!$B$22),"")</f>
        <v>28.6672892680374</v>
      </c>
    </row>
    <row r="67" customFormat="false" ht="15" hidden="false" customHeight="false" outlineLevel="0" collapsed="false">
      <c r="A67" s="14" t="s">
        <v>203</v>
      </c>
      <c r="B67" s="14" t="s">
        <v>42</v>
      </c>
      <c r="C67" s="14" t="s">
        <v>204</v>
      </c>
      <c r="D67" s="14" t="s">
        <v>366</v>
      </c>
      <c r="E67" s="15" t="n">
        <v>7</v>
      </c>
      <c r="F67" s="14" t="s">
        <v>367</v>
      </c>
      <c r="G67" s="8" t="n">
        <v>11</v>
      </c>
      <c r="H67" s="14" t="s">
        <v>848</v>
      </c>
      <c r="I67" s="14" t="s">
        <v>378</v>
      </c>
      <c r="J67" s="14" t="s">
        <v>381</v>
      </c>
      <c r="K67" s="8" t="n">
        <v>2</v>
      </c>
      <c r="L67" s="8" t="n">
        <v>0</v>
      </c>
      <c r="M67" s="8" t="n">
        <v>2</v>
      </c>
      <c r="N67" s="8" t="n">
        <v>12</v>
      </c>
      <c r="O67" s="8" t="n">
        <v>9</v>
      </c>
      <c r="P67" s="9" t="n">
        <v>25.7341750417935</v>
      </c>
      <c r="Q67" s="10" t="n">
        <v>0.0388588325981289</v>
      </c>
      <c r="R67" s="9" t="n">
        <v>41</v>
      </c>
      <c r="S67" s="11" t="n">
        <f aca="false">IF(AND(ISNUMBER(R67),R67&gt;1,P67&gt;0),R67/P67-1,"")</f>
        <v>0.593212136523287</v>
      </c>
      <c r="T67" s="9" t="n">
        <f aca="false">IF(AND(ISNUMBER(P67),P67&gt;0),P67*EXP('Read me'!$B$22),"")</f>
        <v>31.4317923750231</v>
      </c>
    </row>
    <row r="68" customFormat="false" ht="15" hidden="false" customHeight="false" outlineLevel="0" collapsed="false">
      <c r="A68" s="14" t="s">
        <v>203</v>
      </c>
      <c r="B68" s="14" t="s">
        <v>42</v>
      </c>
      <c r="C68" s="14" t="s">
        <v>204</v>
      </c>
      <c r="D68" s="14" t="s">
        <v>366</v>
      </c>
      <c r="E68" s="15" t="n">
        <v>7</v>
      </c>
      <c r="F68" s="14" t="s">
        <v>367</v>
      </c>
      <c r="G68" s="8" t="n">
        <v>11</v>
      </c>
      <c r="H68" s="14" t="s">
        <v>849</v>
      </c>
      <c r="I68" s="14" t="s">
        <v>725</v>
      </c>
      <c r="J68" s="14" t="s">
        <v>188</v>
      </c>
      <c r="K68" s="8" t="n">
        <v>6</v>
      </c>
      <c r="L68" s="8" t="n">
        <v>0</v>
      </c>
      <c r="M68" s="8" t="n">
        <v>2</v>
      </c>
      <c r="N68" s="8"/>
      <c r="O68" s="8" t="n">
        <v>10</v>
      </c>
      <c r="P68" s="9" t="n">
        <v>40.7071712090676</v>
      </c>
      <c r="Q68" s="10" t="n">
        <v>0.0245656961733869</v>
      </c>
      <c r="R68" s="9" t="n">
        <v>12</v>
      </c>
      <c r="S68" s="11" t="n">
        <f aca="false">IF(AND(ISNUMBER(R68),R68&gt;1,P68&gt;0),R68/P68-1,"")</f>
        <v>-0.705211645919356</v>
      </c>
      <c r="T68" s="9" t="n">
        <f aca="false">IF(AND(ISNUMBER(P68),P68&gt;0),P68*EXP('Read me'!$B$22),"")</f>
        <v>49.7198511916534</v>
      </c>
    </row>
    <row r="69" customFormat="false" ht="15" hidden="false" customHeight="false" outlineLevel="0" collapsed="false">
      <c r="A69" s="14" t="s">
        <v>203</v>
      </c>
      <c r="B69" s="14" t="s">
        <v>42</v>
      </c>
      <c r="C69" s="14" t="s">
        <v>204</v>
      </c>
      <c r="D69" s="14" t="s">
        <v>366</v>
      </c>
      <c r="E69" s="15" t="n">
        <v>7</v>
      </c>
      <c r="F69" s="14" t="s">
        <v>367</v>
      </c>
      <c r="G69" s="8" t="n">
        <v>11</v>
      </c>
      <c r="H69" s="14" t="s">
        <v>850</v>
      </c>
      <c r="I69" s="14" t="s">
        <v>732</v>
      </c>
      <c r="J69" s="14" t="s">
        <v>733</v>
      </c>
      <c r="K69" s="8" t="n">
        <v>1</v>
      </c>
      <c r="L69" s="8" t="n">
        <v>0</v>
      </c>
      <c r="M69" s="8" t="n">
        <v>2</v>
      </c>
      <c r="N69" s="8" t="n">
        <v>23</v>
      </c>
      <c r="O69" s="8" t="n">
        <v>11</v>
      </c>
      <c r="P69" s="9" t="n">
        <v>120.845707600631</v>
      </c>
      <c r="Q69" s="10" t="n">
        <v>0.0082750146435054</v>
      </c>
      <c r="R69" s="9" t="n">
        <v>51</v>
      </c>
      <c r="S69" s="11" t="n">
        <f aca="false">IF(AND(ISNUMBER(R69),R69&gt;1,P69&gt;0),R69/P69-1,"")</f>
        <v>-0.577974253181222</v>
      </c>
      <c r="T69" s="9" t="n">
        <f aca="false">IF(AND(ISNUMBER(P69),P69&gt;0),P69*EXP('Read me'!$B$22),"")</f>
        <v>147.601280575228</v>
      </c>
    </row>
    <row r="70" customFormat="false" ht="15" hidden="false" customHeight="false" outlineLevel="0" collapsed="false">
      <c r="A70" s="14" t="s">
        <v>243</v>
      </c>
      <c r="B70" s="14" t="s">
        <v>42</v>
      </c>
      <c r="C70" s="14" t="s">
        <v>244</v>
      </c>
      <c r="D70" s="14" t="s">
        <v>366</v>
      </c>
      <c r="E70" s="15" t="n">
        <v>7</v>
      </c>
      <c r="F70" s="14" t="s">
        <v>367</v>
      </c>
      <c r="G70" s="8" t="n">
        <v>12</v>
      </c>
      <c r="H70" s="14" t="s">
        <v>245</v>
      </c>
      <c r="I70" s="14" t="s">
        <v>246</v>
      </c>
      <c r="J70" s="14" t="s">
        <v>247</v>
      </c>
      <c r="K70" s="8" t="n">
        <v>13</v>
      </c>
      <c r="L70" s="8" t="n">
        <v>97</v>
      </c>
      <c r="M70" s="8" t="n">
        <v>4</v>
      </c>
      <c r="N70" s="8" t="n">
        <v>21</v>
      </c>
      <c r="O70" s="8" t="n">
        <v>1</v>
      </c>
      <c r="P70" s="9" t="n">
        <v>5.13145321501293</v>
      </c>
      <c r="Q70" s="10" t="n">
        <v>0.194876569677052</v>
      </c>
      <c r="R70" s="9" t="n">
        <v>5</v>
      </c>
      <c r="S70" s="11" t="n">
        <f aca="false">IF(AND(ISNUMBER(R70),R70&gt;1,P70&gt;0),R70/P70-1,"")</f>
        <v>-0.0256171516147405</v>
      </c>
      <c r="T70" s="9" t="n">
        <f aca="false">IF(AND(ISNUMBER(P70),P70&gt;0),P70*EXP('Read me'!$B$22),"")</f>
        <v>6.26757111018667</v>
      </c>
    </row>
    <row r="71" customFormat="false" ht="15" hidden="false" customHeight="false" outlineLevel="0" collapsed="false">
      <c r="A71" s="14" t="s">
        <v>243</v>
      </c>
      <c r="B71" s="14" t="s">
        <v>42</v>
      </c>
      <c r="C71" s="14" t="s">
        <v>244</v>
      </c>
      <c r="D71" s="14" t="s">
        <v>366</v>
      </c>
      <c r="E71" s="15" t="n">
        <v>7</v>
      </c>
      <c r="F71" s="14" t="s">
        <v>367</v>
      </c>
      <c r="G71" s="8" t="n">
        <v>12</v>
      </c>
      <c r="H71" s="14" t="s">
        <v>248</v>
      </c>
      <c r="I71" s="14" t="s">
        <v>717</v>
      </c>
      <c r="J71" s="14" t="s">
        <v>338</v>
      </c>
      <c r="K71" s="8" t="n">
        <v>7</v>
      </c>
      <c r="L71" s="8" t="n">
        <v>92</v>
      </c>
      <c r="M71" s="8" t="n">
        <v>4</v>
      </c>
      <c r="N71" s="8" t="n">
        <v>7</v>
      </c>
      <c r="O71" s="8" t="n">
        <v>2</v>
      </c>
      <c r="P71" s="9" t="n">
        <v>6.78424055611339</v>
      </c>
      <c r="Q71" s="10" t="n">
        <v>0.147400433656334</v>
      </c>
      <c r="R71" s="9" t="n">
        <v>5.5</v>
      </c>
      <c r="S71" s="11" t="n">
        <f aca="false">IF(AND(ISNUMBER(R71),R71&gt;1,P71&gt;0),R71/P71-1,"")</f>
        <v>-0.189297614890164</v>
      </c>
      <c r="T71" s="9" t="n">
        <f aca="false">IF(AND(ISNUMBER(P71),P71&gt;0),P71*EXP('Read me'!$B$22),"")</f>
        <v>8.28629012725897</v>
      </c>
    </row>
    <row r="72" customFormat="false" ht="15" hidden="false" customHeight="false" outlineLevel="0" collapsed="false">
      <c r="A72" s="14" t="s">
        <v>243</v>
      </c>
      <c r="B72" s="14" t="s">
        <v>42</v>
      </c>
      <c r="C72" s="14" t="s">
        <v>244</v>
      </c>
      <c r="D72" s="14" t="s">
        <v>366</v>
      </c>
      <c r="E72" s="15" t="n">
        <v>7</v>
      </c>
      <c r="F72" s="14" t="s">
        <v>367</v>
      </c>
      <c r="G72" s="8" t="n">
        <v>12</v>
      </c>
      <c r="H72" s="14" t="s">
        <v>969</v>
      </c>
      <c r="I72" s="14" t="s">
        <v>45</v>
      </c>
      <c r="J72" s="14" t="s">
        <v>970</v>
      </c>
      <c r="K72" s="8" t="n">
        <v>10</v>
      </c>
      <c r="L72" s="8" t="n">
        <v>102</v>
      </c>
      <c r="M72" s="8" t="n">
        <v>5</v>
      </c>
      <c r="N72" s="8" t="n">
        <v>37</v>
      </c>
      <c r="O72" s="8" t="n">
        <v>3</v>
      </c>
      <c r="P72" s="9" t="n">
        <v>7.16717812228162</v>
      </c>
      <c r="Q72" s="10" t="n">
        <v>0.139524926399019</v>
      </c>
      <c r="R72" s="9" t="n">
        <v>6</v>
      </c>
      <c r="S72" s="11" t="n">
        <f aca="false">IF(AND(ISNUMBER(R72),R72&gt;1,P72&gt;0),R72/P72-1,"")</f>
        <v>-0.162850441605888</v>
      </c>
      <c r="T72" s="9" t="n">
        <f aca="false">IF(AND(ISNUMBER(P72),P72&gt;0),P72*EXP('Read me'!$B$22),"")</f>
        <v>8.75401112678</v>
      </c>
    </row>
    <row r="73" customFormat="false" ht="15" hidden="false" customHeight="false" outlineLevel="0" collapsed="false">
      <c r="A73" s="14" t="s">
        <v>243</v>
      </c>
      <c r="B73" s="14" t="s">
        <v>42</v>
      </c>
      <c r="C73" s="14" t="s">
        <v>244</v>
      </c>
      <c r="D73" s="14" t="s">
        <v>366</v>
      </c>
      <c r="E73" s="15" t="n">
        <v>7</v>
      </c>
      <c r="F73" s="14" t="s">
        <v>367</v>
      </c>
      <c r="G73" s="8" t="n">
        <v>12</v>
      </c>
      <c r="H73" s="14" t="s">
        <v>971</v>
      </c>
      <c r="I73" s="14" t="s">
        <v>378</v>
      </c>
      <c r="J73" s="14" t="s">
        <v>674</v>
      </c>
      <c r="K73" s="8" t="n">
        <v>5</v>
      </c>
      <c r="L73" s="8" t="n">
        <v>88</v>
      </c>
      <c r="M73" s="8" t="n">
        <v>4</v>
      </c>
      <c r="N73" s="8" t="n">
        <v>15</v>
      </c>
      <c r="O73" s="8" t="n">
        <v>4</v>
      </c>
      <c r="P73" s="9" t="n">
        <v>9.20461144706109</v>
      </c>
      <c r="Q73" s="10" t="n">
        <v>0.108641196399364</v>
      </c>
      <c r="R73" s="9" t="n">
        <v>8</v>
      </c>
      <c r="S73" s="11" t="n">
        <f aca="false">IF(AND(ISNUMBER(R73),R73&gt;1,P73&gt;0),R73/P73-1,"")</f>
        <v>-0.130870428805086</v>
      </c>
      <c r="T73" s="9" t="n">
        <f aca="false">IF(AND(ISNUMBER(P73),P73&gt;0),P73*EXP('Read me'!$B$22),"")</f>
        <v>11.2425378092331</v>
      </c>
    </row>
    <row r="74" customFormat="false" ht="15" hidden="false" customHeight="false" outlineLevel="0" collapsed="false">
      <c r="A74" s="14" t="s">
        <v>243</v>
      </c>
      <c r="B74" s="14" t="s">
        <v>42</v>
      </c>
      <c r="C74" s="14" t="s">
        <v>244</v>
      </c>
      <c r="D74" s="14" t="s">
        <v>366</v>
      </c>
      <c r="E74" s="15" t="n">
        <v>7</v>
      </c>
      <c r="F74" s="14" t="s">
        <v>367</v>
      </c>
      <c r="G74" s="8" t="n">
        <v>12</v>
      </c>
      <c r="H74" s="14" t="s">
        <v>972</v>
      </c>
      <c r="I74" s="14" t="s">
        <v>369</v>
      </c>
      <c r="J74" s="14" t="s">
        <v>973</v>
      </c>
      <c r="K74" s="8" t="n">
        <v>8</v>
      </c>
      <c r="L74" s="8" t="n">
        <v>96</v>
      </c>
      <c r="M74" s="8" t="n">
        <v>3</v>
      </c>
      <c r="N74" s="8" t="n">
        <v>359</v>
      </c>
      <c r="O74" s="8" t="n">
        <v>5</v>
      </c>
      <c r="P74" s="9" t="n">
        <v>9.28031025204958</v>
      </c>
      <c r="Q74" s="10" t="n">
        <v>0.107755018188012</v>
      </c>
      <c r="R74" s="9" t="n">
        <v>4.5</v>
      </c>
      <c r="S74" s="11" t="n">
        <f aca="false">IF(AND(ISNUMBER(R74),R74&gt;1,P74&gt;0),R74/P74-1,"")</f>
        <v>-0.515102418153944</v>
      </c>
      <c r="T74" s="9" t="n">
        <f aca="false">IF(AND(ISNUMBER(P74),P74&gt;0),P74*EXP('Read me'!$B$22),"")</f>
        <v>11.3349965384355</v>
      </c>
    </row>
    <row r="75" customFormat="false" ht="15" hidden="false" customHeight="false" outlineLevel="0" collapsed="false">
      <c r="A75" s="14" t="s">
        <v>243</v>
      </c>
      <c r="B75" s="14" t="s">
        <v>42</v>
      </c>
      <c r="C75" s="14" t="s">
        <v>244</v>
      </c>
      <c r="D75" s="14" t="s">
        <v>366</v>
      </c>
      <c r="E75" s="15" t="n">
        <v>7</v>
      </c>
      <c r="F75" s="14" t="s">
        <v>367</v>
      </c>
      <c r="G75" s="8" t="n">
        <v>12</v>
      </c>
      <c r="H75" s="14" t="s">
        <v>974</v>
      </c>
      <c r="I75" s="14" t="s">
        <v>705</v>
      </c>
      <c r="J75" s="14" t="s">
        <v>114</v>
      </c>
      <c r="K75" s="8" t="n">
        <v>3</v>
      </c>
      <c r="L75" s="8" t="n">
        <v>94</v>
      </c>
      <c r="M75" s="8" t="n">
        <v>3</v>
      </c>
      <c r="N75" s="8" t="n">
        <v>35</v>
      </c>
      <c r="O75" s="8" t="n">
        <v>6</v>
      </c>
      <c r="P75" s="9" t="n">
        <v>16.6207582023254</v>
      </c>
      <c r="Q75" s="10" t="n">
        <v>0.0601657269678642</v>
      </c>
      <c r="R75" s="9" t="n">
        <v>29</v>
      </c>
      <c r="S75" s="11" t="n">
        <f aca="false">IF(AND(ISNUMBER(R75),R75&gt;1,P75&gt;0),R75/P75-1,"")</f>
        <v>0.744806082068063</v>
      </c>
      <c r="T75" s="9" t="n">
        <f aca="false">IF(AND(ISNUMBER(P75),P75&gt;0),P75*EXP('Read me'!$B$22),"")</f>
        <v>20.3006399110335</v>
      </c>
    </row>
    <row r="76" customFormat="false" ht="15" hidden="false" customHeight="false" outlineLevel="0" collapsed="false">
      <c r="A76" s="14" t="s">
        <v>243</v>
      </c>
      <c r="B76" s="14" t="s">
        <v>42</v>
      </c>
      <c r="C76" s="14" t="s">
        <v>244</v>
      </c>
      <c r="D76" s="14" t="s">
        <v>366</v>
      </c>
      <c r="E76" s="15" t="n">
        <v>7</v>
      </c>
      <c r="F76" s="14" t="s">
        <v>367</v>
      </c>
      <c r="G76" s="8" t="n">
        <v>12</v>
      </c>
      <c r="H76" s="14" t="s">
        <v>975</v>
      </c>
      <c r="I76" s="14" t="s">
        <v>976</v>
      </c>
      <c r="J76" s="14" t="s">
        <v>379</v>
      </c>
      <c r="K76" s="8" t="n">
        <v>2</v>
      </c>
      <c r="L76" s="8" t="n">
        <v>86</v>
      </c>
      <c r="M76" s="8" t="n">
        <v>5</v>
      </c>
      <c r="N76" s="8" t="n">
        <v>21</v>
      </c>
      <c r="O76" s="8" t="n">
        <v>7</v>
      </c>
      <c r="P76" s="9" t="n">
        <v>17.2548656719418</v>
      </c>
      <c r="Q76" s="10" t="n">
        <v>0.0579546673392017</v>
      </c>
      <c r="R76" s="9" t="n">
        <v>17</v>
      </c>
      <c r="S76" s="11" t="n">
        <f aca="false">IF(AND(ISNUMBER(R76),R76&gt;1,P76&gt;0),R76/P76-1,"")</f>
        <v>-0.0147706552335708</v>
      </c>
      <c r="T76" s="9" t="n">
        <f aca="false">IF(AND(ISNUMBER(P76),P76&gt;0),P76*EXP('Read me'!$B$22),"")</f>
        <v>21.075140523393</v>
      </c>
    </row>
    <row r="77" customFormat="false" ht="15" hidden="false" customHeight="false" outlineLevel="0" collapsed="false">
      <c r="A77" s="14" t="s">
        <v>243</v>
      </c>
      <c r="B77" s="14" t="s">
        <v>42</v>
      </c>
      <c r="C77" s="14" t="s">
        <v>244</v>
      </c>
      <c r="D77" s="14" t="s">
        <v>366</v>
      </c>
      <c r="E77" s="15" t="n">
        <v>7</v>
      </c>
      <c r="F77" s="14" t="s">
        <v>367</v>
      </c>
      <c r="G77" s="8" t="n">
        <v>12</v>
      </c>
      <c r="H77" s="14" t="s">
        <v>977</v>
      </c>
      <c r="I77" s="14" t="s">
        <v>978</v>
      </c>
      <c r="J77" s="14" t="s">
        <v>230</v>
      </c>
      <c r="K77" s="8" t="n">
        <v>11</v>
      </c>
      <c r="L77" s="8" t="n">
        <v>104</v>
      </c>
      <c r="M77" s="8" t="n">
        <v>3</v>
      </c>
      <c r="N77" s="8" t="n">
        <v>35</v>
      </c>
      <c r="O77" s="8" t="n">
        <v>8</v>
      </c>
      <c r="P77" s="9" t="n">
        <v>18.1365888646213</v>
      </c>
      <c r="Q77" s="10" t="n">
        <v>0.0551371598851579</v>
      </c>
      <c r="R77" s="9" t="n">
        <v>11</v>
      </c>
      <c r="S77" s="11" t="n">
        <f aca="false">IF(AND(ISNUMBER(R77),R77&gt;1,P77&gt;0),R77/P77-1,"")</f>
        <v>-0.393491241263263</v>
      </c>
      <c r="T77" s="9" t="n">
        <f aca="false">IF(AND(ISNUMBER(P77),P77&gt;0),P77*EXP('Read me'!$B$22),"")</f>
        <v>22.1520796628655</v>
      </c>
    </row>
    <row r="78" customFormat="false" ht="15" hidden="false" customHeight="false" outlineLevel="0" collapsed="false">
      <c r="A78" s="14" t="s">
        <v>243</v>
      </c>
      <c r="B78" s="14" t="s">
        <v>42</v>
      </c>
      <c r="C78" s="14" t="s">
        <v>244</v>
      </c>
      <c r="D78" s="14" t="s">
        <v>366</v>
      </c>
      <c r="E78" s="15" t="n">
        <v>7</v>
      </c>
      <c r="F78" s="14" t="s">
        <v>367</v>
      </c>
      <c r="G78" s="8" t="n">
        <v>12</v>
      </c>
      <c r="H78" s="14" t="s">
        <v>979</v>
      </c>
      <c r="I78" s="14" t="s">
        <v>462</v>
      </c>
      <c r="J78" s="14" t="s">
        <v>980</v>
      </c>
      <c r="K78" s="8" t="n">
        <v>9</v>
      </c>
      <c r="L78" s="8" t="n">
        <v>99</v>
      </c>
      <c r="M78" s="8" t="n">
        <v>5</v>
      </c>
      <c r="N78" s="8" t="n">
        <v>349</v>
      </c>
      <c r="O78" s="8" t="n">
        <v>9</v>
      </c>
      <c r="P78" s="9" t="n">
        <v>21.6693300405853</v>
      </c>
      <c r="Q78" s="10" t="n">
        <v>0.0461481733919351</v>
      </c>
      <c r="R78" s="9" t="n">
        <v>13</v>
      </c>
      <c r="S78" s="11" t="n">
        <f aca="false">IF(AND(ISNUMBER(R78),R78&gt;1,P78&gt;0),R78/P78-1,"")</f>
        <v>-0.400073745904843</v>
      </c>
      <c r="T78" s="9" t="n">
        <f aca="false">IF(AND(ISNUMBER(P78),P78&gt;0),P78*EXP('Read me'!$B$22),"")</f>
        <v>26.4669794790539</v>
      </c>
    </row>
    <row r="79" customFormat="false" ht="15" hidden="false" customHeight="false" outlineLevel="0" collapsed="false">
      <c r="A79" s="14" t="s">
        <v>243</v>
      </c>
      <c r="B79" s="14" t="s">
        <v>42</v>
      </c>
      <c r="C79" s="14" t="s">
        <v>244</v>
      </c>
      <c r="D79" s="14" t="s">
        <v>366</v>
      </c>
      <c r="E79" s="15" t="n">
        <v>7</v>
      </c>
      <c r="F79" s="14" t="s">
        <v>367</v>
      </c>
      <c r="G79" s="8" t="n">
        <v>12</v>
      </c>
      <c r="H79" s="14" t="s">
        <v>981</v>
      </c>
      <c r="I79" s="14" t="s">
        <v>729</v>
      </c>
      <c r="J79" s="14" t="s">
        <v>982</v>
      </c>
      <c r="K79" s="8" t="n">
        <v>6</v>
      </c>
      <c r="L79" s="8" t="n">
        <v>86</v>
      </c>
      <c r="M79" s="8" t="n">
        <v>4</v>
      </c>
      <c r="N79" s="8" t="n">
        <v>16</v>
      </c>
      <c r="O79" s="8" t="n">
        <v>10</v>
      </c>
      <c r="P79" s="9" t="n">
        <v>24.0382197402477</v>
      </c>
      <c r="Q79" s="10" t="n">
        <v>0.041600418450526</v>
      </c>
      <c r="R79" s="9" t="n">
        <v>17</v>
      </c>
      <c r="S79" s="11" t="n">
        <f aca="false">IF(AND(ISNUMBER(R79),R79&gt;1,P79&gt;0),R79/P79-1,"")</f>
        <v>-0.292792886341057</v>
      </c>
      <c r="T79" s="9" t="n">
        <f aca="false">IF(AND(ISNUMBER(P79),P79&gt;0),P79*EXP('Read me'!$B$22),"")</f>
        <v>29.3603478919988</v>
      </c>
    </row>
    <row r="80" customFormat="false" ht="15" hidden="false" customHeight="false" outlineLevel="0" collapsed="false">
      <c r="A80" s="14" t="s">
        <v>243</v>
      </c>
      <c r="B80" s="14" t="s">
        <v>42</v>
      </c>
      <c r="C80" s="14" t="s">
        <v>244</v>
      </c>
      <c r="D80" s="14" t="s">
        <v>366</v>
      </c>
      <c r="E80" s="15" t="n">
        <v>7</v>
      </c>
      <c r="F80" s="14" t="s">
        <v>367</v>
      </c>
      <c r="G80" s="8" t="n">
        <v>12</v>
      </c>
      <c r="H80" s="14" t="s">
        <v>983</v>
      </c>
      <c r="I80" s="14" t="s">
        <v>383</v>
      </c>
      <c r="J80" s="14" t="s">
        <v>984</v>
      </c>
      <c r="K80" s="8" t="n">
        <v>12</v>
      </c>
      <c r="L80" s="8" t="n">
        <v>86</v>
      </c>
      <c r="M80" s="8" t="n">
        <v>6</v>
      </c>
      <c r="N80" s="8" t="n">
        <v>7</v>
      </c>
      <c r="O80" s="8" t="n">
        <v>11</v>
      </c>
      <c r="P80" s="9" t="n">
        <v>29.993479472822</v>
      </c>
      <c r="Q80" s="10" t="n">
        <v>0.0333405799385873</v>
      </c>
      <c r="R80" s="9" t="n">
        <v>17</v>
      </c>
      <c r="S80" s="11" t="n">
        <f aca="false">IF(AND(ISNUMBER(R80),R80&gt;1,P80&gt;0),R80/P80-1,"")</f>
        <v>-0.433210141044016</v>
      </c>
      <c r="T80" s="9" t="n">
        <f aca="false">IF(AND(ISNUMBER(P80),P80&gt;0),P80*EXP('Read me'!$B$22),"")</f>
        <v>36.6341185549253</v>
      </c>
    </row>
    <row r="81" customFormat="false" ht="15" hidden="false" customHeight="false" outlineLevel="0" collapsed="false">
      <c r="A81" s="14" t="s">
        <v>243</v>
      </c>
      <c r="B81" s="14" t="s">
        <v>42</v>
      </c>
      <c r="C81" s="14" t="s">
        <v>244</v>
      </c>
      <c r="D81" s="14" t="s">
        <v>366</v>
      </c>
      <c r="E81" s="15" t="n">
        <v>7</v>
      </c>
      <c r="F81" s="14" t="s">
        <v>367</v>
      </c>
      <c r="G81" s="8" t="n">
        <v>12</v>
      </c>
      <c r="H81" s="14" t="s">
        <v>985</v>
      </c>
      <c r="I81" s="14" t="s">
        <v>986</v>
      </c>
      <c r="J81" s="14" t="s">
        <v>379</v>
      </c>
      <c r="K81" s="8" t="n">
        <v>1</v>
      </c>
      <c r="L81" s="8" t="n">
        <v>90</v>
      </c>
      <c r="M81" s="8" t="n">
        <v>3</v>
      </c>
      <c r="N81" s="8" t="n">
        <v>20</v>
      </c>
      <c r="O81" s="8" t="n">
        <v>12</v>
      </c>
      <c r="P81" s="9" t="n">
        <v>134.135828524648</v>
      </c>
      <c r="Q81" s="10" t="n">
        <v>0.0074551297069466</v>
      </c>
      <c r="R81" s="9" t="n">
        <v>67</v>
      </c>
      <c r="S81" s="11" t="n">
        <f aca="false">IF(AND(ISNUMBER(R81),R81&gt;1,P81&gt;0),R81/P81-1,"")</f>
        <v>-0.500506309634575</v>
      </c>
      <c r="T81" s="9" t="n">
        <f aca="false">IF(AND(ISNUMBER(P81),P81&gt;0),P81*EXP('Read me'!$B$22),"")</f>
        <v>163.833870928104</v>
      </c>
    </row>
  </sheetData>
  <autoFilter ref="A1:T81"/>
  <conditionalFormatting sqref="A2:T81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358</v>
      </c>
      <c r="E1" s="6" t="s">
        <v>359</v>
      </c>
      <c r="F1" s="6" t="s">
        <v>360</v>
      </c>
      <c r="G1" s="6" t="s">
        <v>1</v>
      </c>
      <c r="H1" s="6" t="s">
        <v>361</v>
      </c>
      <c r="I1" s="6" t="s">
        <v>35</v>
      </c>
      <c r="J1" s="6" t="s">
        <v>36</v>
      </c>
      <c r="K1" s="6" t="s">
        <v>362</v>
      </c>
      <c r="L1" s="6" t="s">
        <v>363</v>
      </c>
      <c r="M1" s="6" t="s">
        <v>364</v>
      </c>
      <c r="N1" s="6" t="s">
        <v>365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4" t="s">
        <v>48</v>
      </c>
      <c r="B2" s="14" t="s">
        <v>49</v>
      </c>
      <c r="C2" s="14" t="s">
        <v>50</v>
      </c>
      <c r="D2" s="14"/>
      <c r="E2" s="15" t="n">
        <v>6</v>
      </c>
      <c r="F2" s="14" t="s">
        <v>388</v>
      </c>
      <c r="G2" s="8" t="n">
        <v>13</v>
      </c>
      <c r="H2" s="14" t="s">
        <v>51</v>
      </c>
      <c r="I2" s="14" t="s">
        <v>52</v>
      </c>
      <c r="J2" s="14" t="s">
        <v>53</v>
      </c>
      <c r="K2" s="8" t="n">
        <v>14</v>
      </c>
      <c r="L2" s="8" t="n">
        <v>0</v>
      </c>
      <c r="M2" s="8" t="n">
        <v>2</v>
      </c>
      <c r="N2" s="8" t="n">
        <v>48</v>
      </c>
      <c r="O2" s="8" t="n">
        <v>1</v>
      </c>
      <c r="P2" s="9" t="n">
        <v>1.90226073730023</v>
      </c>
      <c r="Q2" s="10" t="n">
        <v>0.525690290711273</v>
      </c>
      <c r="R2" s="9" t="n">
        <v>1.72727272727273</v>
      </c>
      <c r="S2" s="11" t="n">
        <f aca="false">IF(AND(ISNUMBER(R2),R2&gt;1,P2&gt;0),R2/P2-1,"")</f>
        <v>-0.0919894978623472</v>
      </c>
      <c r="T2" s="9" t="n">
        <f aca="false">IF(AND(ISNUMBER(P2),P2&gt;0),P2*EXP('Read me'!$B$22),"")</f>
        <v>2.3234265112783</v>
      </c>
    </row>
    <row r="3" customFormat="false" ht="15" hidden="false" customHeight="false" outlineLevel="0" collapsed="false">
      <c r="A3" s="14" t="s">
        <v>48</v>
      </c>
      <c r="B3" s="14" t="s">
        <v>49</v>
      </c>
      <c r="C3" s="14" t="s">
        <v>50</v>
      </c>
      <c r="D3" s="14"/>
      <c r="E3" s="15" t="n">
        <v>6</v>
      </c>
      <c r="F3" s="14" t="s">
        <v>388</v>
      </c>
      <c r="G3" s="8" t="n">
        <v>13</v>
      </c>
      <c r="H3" s="14" t="s">
        <v>54</v>
      </c>
      <c r="I3" s="14" t="s">
        <v>171</v>
      </c>
      <c r="J3" s="14" t="s">
        <v>389</v>
      </c>
      <c r="K3" s="8" t="n">
        <v>12</v>
      </c>
      <c r="L3" s="8" t="n">
        <v>0</v>
      </c>
      <c r="M3" s="8" t="n">
        <v>2</v>
      </c>
      <c r="N3" s="8" t="n">
        <v>35</v>
      </c>
      <c r="O3" s="8" t="n">
        <v>2</v>
      </c>
      <c r="P3" s="9" t="n">
        <v>5.32346888083586</v>
      </c>
      <c r="Q3" s="10" t="n">
        <v>0.187847439777461</v>
      </c>
      <c r="R3" s="9" t="n">
        <v>5.5</v>
      </c>
      <c r="S3" s="11" t="n">
        <f aca="false">IF(AND(ISNUMBER(R3),R3&gt;1,P3&gt;0),R3/P3-1,"")</f>
        <v>0.0331609187760336</v>
      </c>
      <c r="T3" s="9" t="n">
        <f aca="false">IF(AND(ISNUMBER(P3),P3&gt;0),P3*EXP('Read me'!$B$22),"")</f>
        <v>6.50209957403275</v>
      </c>
    </row>
    <row r="4" customFormat="false" ht="15" hidden="false" customHeight="false" outlineLevel="0" collapsed="false">
      <c r="A4" s="14" t="s">
        <v>48</v>
      </c>
      <c r="B4" s="14" t="s">
        <v>49</v>
      </c>
      <c r="C4" s="14" t="s">
        <v>50</v>
      </c>
      <c r="D4" s="14"/>
      <c r="E4" s="15" t="n">
        <v>6</v>
      </c>
      <c r="F4" s="14" t="s">
        <v>388</v>
      </c>
      <c r="G4" s="8" t="n">
        <v>13</v>
      </c>
      <c r="H4" s="14" t="s">
        <v>390</v>
      </c>
      <c r="I4" s="14" t="s">
        <v>391</v>
      </c>
      <c r="J4" s="14" t="s">
        <v>392</v>
      </c>
      <c r="K4" s="8" t="n">
        <v>11</v>
      </c>
      <c r="L4" s="8" t="n">
        <v>96</v>
      </c>
      <c r="M4" s="8" t="n">
        <v>2</v>
      </c>
      <c r="N4" s="8" t="n">
        <v>13</v>
      </c>
      <c r="O4" s="8" t="n">
        <v>3</v>
      </c>
      <c r="P4" s="9" t="n">
        <v>8.46728937539705</v>
      </c>
      <c r="Q4" s="10" t="n">
        <v>0.118101550055163</v>
      </c>
      <c r="R4" s="9" t="n">
        <v>3.25</v>
      </c>
      <c r="S4" s="11" t="n">
        <f aca="false">IF(AND(ISNUMBER(R4),R4&gt;1,P4&gt;0),R4/P4-1,"")</f>
        <v>-0.616169962320722</v>
      </c>
      <c r="T4" s="9" t="n">
        <f aca="false">IF(AND(ISNUMBER(P4),P4&gt;0),P4*EXP('Read me'!$B$22),"")</f>
        <v>10.3419705972503</v>
      </c>
    </row>
    <row r="5" customFormat="false" ht="15" hidden="false" customHeight="false" outlineLevel="0" collapsed="false">
      <c r="A5" s="14" t="s">
        <v>48</v>
      </c>
      <c r="B5" s="14" t="s">
        <v>49</v>
      </c>
      <c r="C5" s="14" t="s">
        <v>50</v>
      </c>
      <c r="D5" s="14"/>
      <c r="E5" s="15" t="n">
        <v>6</v>
      </c>
      <c r="F5" s="14" t="s">
        <v>388</v>
      </c>
      <c r="G5" s="8" t="n">
        <v>13</v>
      </c>
      <c r="H5" s="14" t="s">
        <v>393</v>
      </c>
      <c r="I5" s="14" t="s">
        <v>394</v>
      </c>
      <c r="J5" s="14" t="s">
        <v>395</v>
      </c>
      <c r="K5" s="8" t="n">
        <v>8</v>
      </c>
      <c r="L5" s="8" t="n">
        <v>0</v>
      </c>
      <c r="M5" s="8" t="n">
        <v>2</v>
      </c>
      <c r="N5" s="8" t="n">
        <v>17</v>
      </c>
      <c r="O5" s="8" t="n">
        <v>4</v>
      </c>
      <c r="P5" s="9" t="n">
        <v>11.6925259881804</v>
      </c>
      <c r="Q5" s="10" t="n">
        <v>0.0855247190393992</v>
      </c>
      <c r="R5" s="9" t="n">
        <v>11</v>
      </c>
      <c r="S5" s="11" t="n">
        <f aca="false">IF(AND(ISNUMBER(R5),R5&gt;1,P5&gt;0),R5/P5-1,"")</f>
        <v>-0.0592280905666084</v>
      </c>
      <c r="T5" s="9" t="n">
        <f aca="false">IF(AND(ISNUMBER(P5),P5&gt;0),P5*EXP('Read me'!$B$22),"")</f>
        <v>14.281283491823</v>
      </c>
    </row>
    <row r="6" customFormat="false" ht="15" hidden="false" customHeight="false" outlineLevel="0" collapsed="false">
      <c r="A6" s="14" t="s">
        <v>48</v>
      </c>
      <c r="B6" s="14" t="s">
        <v>49</v>
      </c>
      <c r="C6" s="14" t="s">
        <v>50</v>
      </c>
      <c r="D6" s="14"/>
      <c r="E6" s="15" t="n">
        <v>6</v>
      </c>
      <c r="F6" s="14" t="s">
        <v>388</v>
      </c>
      <c r="G6" s="8" t="n">
        <v>13</v>
      </c>
      <c r="H6" s="14" t="s">
        <v>396</v>
      </c>
      <c r="I6" s="14" t="s">
        <v>397</v>
      </c>
      <c r="J6" s="14" t="s">
        <v>398</v>
      </c>
      <c r="K6" s="8" t="n">
        <v>10</v>
      </c>
      <c r="L6" s="8" t="n">
        <v>0</v>
      </c>
      <c r="M6" s="8" t="n">
        <v>2</v>
      </c>
      <c r="N6" s="8"/>
      <c r="O6" s="8" t="n">
        <v>5</v>
      </c>
      <c r="P6" s="9" t="n">
        <v>53.3385615410121</v>
      </c>
      <c r="Q6" s="10" t="n">
        <v>0.0187481621384014</v>
      </c>
      <c r="R6" s="9" t="n">
        <v>51</v>
      </c>
      <c r="S6" s="11" t="n">
        <f aca="false">IF(AND(ISNUMBER(R6),R6&gt;1,P6&gt;0),R6/P6-1,"")</f>
        <v>-0.0438437309415242</v>
      </c>
      <c r="T6" s="9" t="n">
        <f aca="false">IF(AND(ISNUMBER(P6),P6&gt;0),P6*EXP('Read me'!$B$22),"")</f>
        <v>65.1478661824881</v>
      </c>
    </row>
    <row r="7" customFormat="false" ht="15" hidden="false" customHeight="false" outlineLevel="0" collapsed="false">
      <c r="A7" s="14" t="s">
        <v>48</v>
      </c>
      <c r="B7" s="14" t="s">
        <v>49</v>
      </c>
      <c r="C7" s="14" t="s">
        <v>50</v>
      </c>
      <c r="D7" s="14"/>
      <c r="E7" s="15" t="n">
        <v>6</v>
      </c>
      <c r="F7" s="14" t="s">
        <v>388</v>
      </c>
      <c r="G7" s="8" t="n">
        <v>13</v>
      </c>
      <c r="H7" s="14" t="s">
        <v>399</v>
      </c>
      <c r="I7" s="14" t="s">
        <v>400</v>
      </c>
      <c r="J7" s="14" t="s">
        <v>401</v>
      </c>
      <c r="K7" s="8" t="n">
        <v>9</v>
      </c>
      <c r="L7" s="8" t="n">
        <v>0</v>
      </c>
      <c r="M7" s="8" t="n">
        <v>2</v>
      </c>
      <c r="N7" s="8"/>
      <c r="O7" s="8" t="n">
        <v>6</v>
      </c>
      <c r="P7" s="9" t="n">
        <v>59.5752754127823</v>
      </c>
      <c r="Q7" s="10" t="n">
        <v>0.0167854868159861</v>
      </c>
      <c r="R7" s="9" t="n">
        <v>201</v>
      </c>
      <c r="S7" s="11" t="n">
        <f aca="false">IF(AND(ISNUMBER(R7),R7&gt;1,P7&gt;0),R7/P7-1,"")</f>
        <v>2.37388285001321</v>
      </c>
      <c r="T7" s="9" t="n">
        <f aca="false">IF(AND(ISNUMBER(P7),P7&gt;0),P7*EXP('Read me'!$B$22),"")</f>
        <v>72.7654057073241</v>
      </c>
    </row>
    <row r="8" customFormat="false" ht="15" hidden="false" customHeight="false" outlineLevel="0" collapsed="false">
      <c r="A8" s="14" t="s">
        <v>48</v>
      </c>
      <c r="B8" s="14" t="s">
        <v>49</v>
      </c>
      <c r="C8" s="14" t="s">
        <v>50</v>
      </c>
      <c r="D8" s="14"/>
      <c r="E8" s="15" t="n">
        <v>6</v>
      </c>
      <c r="F8" s="14" t="s">
        <v>388</v>
      </c>
      <c r="G8" s="8" t="n">
        <v>13</v>
      </c>
      <c r="H8" s="14" t="s">
        <v>402</v>
      </c>
      <c r="I8" s="14" t="s">
        <v>403</v>
      </c>
      <c r="J8" s="14" t="s">
        <v>404</v>
      </c>
      <c r="K8" s="8" t="n">
        <v>5</v>
      </c>
      <c r="L8" s="8" t="n">
        <v>0</v>
      </c>
      <c r="M8" s="8" t="n">
        <v>2</v>
      </c>
      <c r="N8" s="8" t="n">
        <v>37</v>
      </c>
      <c r="O8" s="8" t="n">
        <v>7</v>
      </c>
      <c r="P8" s="9" t="n">
        <v>62.0593969197191</v>
      </c>
      <c r="Q8" s="10" t="n">
        <v>0.0161135951948359</v>
      </c>
      <c r="R8" s="9" t="n">
        <v>29</v>
      </c>
      <c r="S8" s="11" t="n">
        <f aca="false">IF(AND(ISNUMBER(R8),R8&gt;1,P8&gt;0),R8/P8-1,"")</f>
        <v>-0.532705739349759</v>
      </c>
      <c r="T8" s="9" t="n">
        <f aca="false">IF(AND(ISNUMBER(P8),P8&gt;0),P8*EXP('Read me'!$B$22),"")</f>
        <v>75.7995185675017</v>
      </c>
    </row>
    <row r="9" customFormat="false" ht="15" hidden="false" customHeight="false" outlineLevel="0" collapsed="false">
      <c r="A9" s="14" t="s">
        <v>48</v>
      </c>
      <c r="B9" s="14" t="s">
        <v>49</v>
      </c>
      <c r="C9" s="14" t="s">
        <v>50</v>
      </c>
      <c r="D9" s="14"/>
      <c r="E9" s="15" t="n">
        <v>6</v>
      </c>
      <c r="F9" s="14" t="s">
        <v>388</v>
      </c>
      <c r="G9" s="8" t="n">
        <v>13</v>
      </c>
      <c r="H9" s="14" t="s">
        <v>405</v>
      </c>
      <c r="I9" s="14" t="s">
        <v>406</v>
      </c>
      <c r="J9" s="14" t="s">
        <v>407</v>
      </c>
      <c r="K9" s="8" t="n">
        <v>3</v>
      </c>
      <c r="L9" s="8" t="n">
        <v>0</v>
      </c>
      <c r="M9" s="8" t="n">
        <v>2</v>
      </c>
      <c r="N9" s="8"/>
      <c r="O9" s="8" t="n">
        <v>8</v>
      </c>
      <c r="P9" s="9" t="n">
        <v>91.5388234623154</v>
      </c>
      <c r="Q9" s="10" t="n">
        <v>0.010924326555406</v>
      </c>
      <c r="R9" s="9" t="n">
        <v>51</v>
      </c>
      <c r="S9" s="11" t="n">
        <f aca="false">IF(AND(ISNUMBER(R9),R9&gt;1,P9&gt;0),R9/P9-1,"")</f>
        <v>-0.442859345674291</v>
      </c>
      <c r="T9" s="9" t="n">
        <f aca="false">IF(AND(ISNUMBER(P9),P9&gt;0),P9*EXP('Read me'!$B$22),"")</f>
        <v>111.805771455609</v>
      </c>
    </row>
    <row r="10" customFormat="false" ht="15" hidden="false" customHeight="false" outlineLevel="0" collapsed="false">
      <c r="A10" s="14" t="s">
        <v>48</v>
      </c>
      <c r="B10" s="14" t="s">
        <v>49</v>
      </c>
      <c r="C10" s="14" t="s">
        <v>50</v>
      </c>
      <c r="D10" s="14"/>
      <c r="E10" s="15" t="n">
        <v>6</v>
      </c>
      <c r="F10" s="14" t="s">
        <v>388</v>
      </c>
      <c r="G10" s="8" t="n">
        <v>13</v>
      </c>
      <c r="H10" s="14" t="s">
        <v>408</v>
      </c>
      <c r="I10" s="14" t="s">
        <v>78</v>
      </c>
      <c r="J10" s="14" t="s">
        <v>79</v>
      </c>
      <c r="K10" s="8" t="n">
        <v>7</v>
      </c>
      <c r="L10" s="8" t="n">
        <v>0</v>
      </c>
      <c r="M10" s="8" t="n">
        <v>2</v>
      </c>
      <c r="N10" s="8" t="n">
        <v>42</v>
      </c>
      <c r="O10" s="8" t="n">
        <v>9</v>
      </c>
      <c r="P10" s="9" t="n">
        <v>105.08302539025</v>
      </c>
      <c r="Q10" s="10" t="n">
        <v>0.0095162848260817</v>
      </c>
      <c r="R10" s="9" t="n">
        <v>26</v>
      </c>
      <c r="S10" s="11" t="n">
        <f aca="false">IF(AND(ISNUMBER(R10),R10&gt;1,P10&gt;0),R10/P10-1,"")</f>
        <v>-0.752576594521875</v>
      </c>
      <c r="T10" s="9" t="n">
        <f aca="false">IF(AND(ISNUMBER(P10),P10&gt;0),P10*EXP('Read me'!$B$22),"")</f>
        <v>128.348697047467</v>
      </c>
    </row>
    <row r="11" customFormat="false" ht="15" hidden="false" customHeight="false" outlineLevel="0" collapsed="false">
      <c r="A11" s="14" t="s">
        <v>48</v>
      </c>
      <c r="B11" s="14" t="s">
        <v>49</v>
      </c>
      <c r="C11" s="14" t="s">
        <v>50</v>
      </c>
      <c r="D11" s="14"/>
      <c r="E11" s="15" t="n">
        <v>6</v>
      </c>
      <c r="F11" s="14" t="s">
        <v>388</v>
      </c>
      <c r="G11" s="8" t="n">
        <v>13</v>
      </c>
      <c r="H11" s="14" t="s">
        <v>409</v>
      </c>
      <c r="I11" s="14" t="s">
        <v>252</v>
      </c>
      <c r="J11" s="14" t="s">
        <v>410</v>
      </c>
      <c r="K11" s="8" t="n">
        <v>2</v>
      </c>
      <c r="L11" s="8" t="n">
        <v>0</v>
      </c>
      <c r="M11" s="8" t="n">
        <v>2</v>
      </c>
      <c r="N11" s="8" t="n">
        <v>9</v>
      </c>
      <c r="O11" s="8" t="n">
        <v>10</v>
      </c>
      <c r="P11" s="9" t="n">
        <v>213.7724536141</v>
      </c>
      <c r="Q11" s="10" t="n">
        <v>0.0046778711807518</v>
      </c>
      <c r="R11" s="9" t="n">
        <v>67</v>
      </c>
      <c r="S11" s="11" t="n">
        <f aca="false">IF(AND(ISNUMBER(R11),R11&gt;1,P11&gt;0),R11/P11-1,"")</f>
        <v>-0.686582630889629</v>
      </c>
      <c r="T11" s="9" t="n">
        <f aca="false">IF(AND(ISNUMBER(P11),P11&gt;0),P11*EXP('Read me'!$B$22),"")</f>
        <v>261.102264462929</v>
      </c>
    </row>
    <row r="12" customFormat="false" ht="15" hidden="false" customHeight="false" outlineLevel="0" collapsed="false">
      <c r="A12" s="14" t="s">
        <v>48</v>
      </c>
      <c r="B12" s="14" t="s">
        <v>49</v>
      </c>
      <c r="C12" s="14" t="s">
        <v>50</v>
      </c>
      <c r="D12" s="14"/>
      <c r="E12" s="15" t="n">
        <v>6</v>
      </c>
      <c r="F12" s="14" t="s">
        <v>388</v>
      </c>
      <c r="G12" s="8" t="n">
        <v>13</v>
      </c>
      <c r="H12" s="14" t="s">
        <v>411</v>
      </c>
      <c r="I12" s="14" t="s">
        <v>412</v>
      </c>
      <c r="J12" s="14" t="s">
        <v>413</v>
      </c>
      <c r="K12" s="8" t="n">
        <v>4</v>
      </c>
      <c r="L12" s="8" t="n">
        <v>0</v>
      </c>
      <c r="M12" s="8" t="n">
        <v>2</v>
      </c>
      <c r="N12" s="8"/>
      <c r="O12" s="8" t="n">
        <v>11</v>
      </c>
      <c r="P12" s="9" t="n">
        <v>393.518749102188</v>
      </c>
      <c r="Q12" s="10" t="n">
        <v>0.0025411749815771</v>
      </c>
      <c r="R12" s="9" t="n">
        <v>126</v>
      </c>
      <c r="S12" s="11" t="n">
        <f aca="false">IF(AND(ISNUMBER(R12),R12&gt;1,P12&gt;0),R12/P12-1,"")</f>
        <v>-0.679811952321284</v>
      </c>
      <c r="T12" s="9" t="n">
        <f aca="false">IF(AND(ISNUMBER(P12),P12&gt;0),P12*EXP('Read me'!$B$22),"")</f>
        <v>480.644885541153</v>
      </c>
    </row>
    <row r="13" customFormat="false" ht="15" hidden="false" customHeight="false" outlineLevel="0" collapsed="false">
      <c r="A13" s="14" t="s">
        <v>48</v>
      </c>
      <c r="B13" s="14" t="s">
        <v>49</v>
      </c>
      <c r="C13" s="14" t="s">
        <v>50</v>
      </c>
      <c r="D13" s="14"/>
      <c r="E13" s="15" t="n">
        <v>6</v>
      </c>
      <c r="F13" s="14" t="s">
        <v>388</v>
      </c>
      <c r="G13" s="8" t="n">
        <v>13</v>
      </c>
      <c r="H13" s="14" t="s">
        <v>414</v>
      </c>
      <c r="I13" s="14" t="s">
        <v>415</v>
      </c>
      <c r="J13" s="14" t="s">
        <v>53</v>
      </c>
      <c r="K13" s="8" t="n">
        <v>13</v>
      </c>
      <c r="L13" s="8" t="n">
        <v>0</v>
      </c>
      <c r="M13" s="8" t="n">
        <v>2</v>
      </c>
      <c r="N13" s="8" t="n">
        <v>17</v>
      </c>
      <c r="O13" s="8" t="n">
        <v>12</v>
      </c>
      <c r="P13" s="9" t="n">
        <v>402.272019758345</v>
      </c>
      <c r="Q13" s="10" t="n">
        <v>0.0024858800783627</v>
      </c>
      <c r="R13" s="9" t="n">
        <v>101</v>
      </c>
      <c r="S13" s="11" t="n">
        <f aca="false">IF(AND(ISNUMBER(R13),R13&gt;1,P13&gt;0),R13/P13-1,"")</f>
        <v>-0.748926112085366</v>
      </c>
      <c r="T13" s="9" t="n">
        <f aca="false">IF(AND(ISNUMBER(P13),P13&gt;0),P13*EXP('Read me'!$B$22),"")</f>
        <v>491.336154463505</v>
      </c>
    </row>
    <row r="14" customFormat="false" ht="15" hidden="false" customHeight="false" outlineLevel="0" collapsed="false">
      <c r="A14" s="14" t="s">
        <v>48</v>
      </c>
      <c r="B14" s="14" t="s">
        <v>49</v>
      </c>
      <c r="C14" s="14" t="s">
        <v>50</v>
      </c>
      <c r="D14" s="14"/>
      <c r="E14" s="15" t="n">
        <v>6</v>
      </c>
      <c r="F14" s="14" t="s">
        <v>388</v>
      </c>
      <c r="G14" s="8" t="n">
        <v>13</v>
      </c>
      <c r="H14" s="14" t="s">
        <v>416</v>
      </c>
      <c r="I14" s="14" t="s">
        <v>417</v>
      </c>
      <c r="J14" s="14" t="s">
        <v>418</v>
      </c>
      <c r="K14" s="8" t="n">
        <v>1</v>
      </c>
      <c r="L14" s="8" t="n">
        <v>0</v>
      </c>
      <c r="M14" s="8" t="n">
        <v>2</v>
      </c>
      <c r="N14" s="8" t="n">
        <v>9</v>
      </c>
      <c r="O14" s="8" t="n">
        <v>13</v>
      </c>
      <c r="P14" s="9" t="n">
        <v>958.57182432789</v>
      </c>
      <c r="Q14" s="10" t="n">
        <v>0.0010432186453019</v>
      </c>
      <c r="R14" s="9" t="n">
        <v>201</v>
      </c>
      <c r="S14" s="11" t="n">
        <f aca="false">IF(AND(ISNUMBER(R14),R14&gt;1,P14&gt;0),R14/P14-1,"")</f>
        <v>-0.7903130522943</v>
      </c>
      <c r="T14" s="9" t="n">
        <f aca="false">IF(AND(ISNUMBER(P14),P14&gt;0),P14*EXP('Read me'!$B$22),"")</f>
        <v>1170.80227012871</v>
      </c>
    </row>
    <row r="15" customFormat="false" ht="15" hidden="false" customHeight="false" outlineLevel="0" collapsed="false">
      <c r="A15" s="14" t="s">
        <v>75</v>
      </c>
      <c r="B15" s="14" t="s">
        <v>49</v>
      </c>
      <c r="C15" s="14" t="s">
        <v>76</v>
      </c>
      <c r="D15" s="14"/>
      <c r="E15" s="15" t="n">
        <v>7</v>
      </c>
      <c r="F15" s="14" t="s">
        <v>388</v>
      </c>
      <c r="G15" s="8" t="n">
        <v>9</v>
      </c>
      <c r="H15" s="14" t="s">
        <v>77</v>
      </c>
      <c r="I15" s="14" t="s">
        <v>78</v>
      </c>
      <c r="J15" s="14" t="s">
        <v>79</v>
      </c>
      <c r="K15" s="8" t="n">
        <v>7</v>
      </c>
      <c r="L15" s="8" t="n">
        <v>84</v>
      </c>
      <c r="M15" s="8" t="n">
        <v>3</v>
      </c>
      <c r="N15" s="8" t="n">
        <v>14</v>
      </c>
      <c r="O15" s="8" t="n">
        <v>1</v>
      </c>
      <c r="P15" s="9" t="n">
        <v>4.43374591799746</v>
      </c>
      <c r="Q15" s="10" t="n">
        <v>0.225542919800794</v>
      </c>
      <c r="R15" s="9" t="n">
        <v>3.75</v>
      </c>
      <c r="S15" s="11" t="n">
        <f aca="false">IF(AND(ISNUMBER(R15),R15&gt;1,P15&gt;0),R15/P15-1,"")</f>
        <v>-0.154214050747022</v>
      </c>
      <c r="T15" s="9" t="n">
        <f aca="false">IF(AND(ISNUMBER(P15),P15&gt;0),P15*EXP('Read me'!$B$22),"")</f>
        <v>5.4153894932235</v>
      </c>
    </row>
    <row r="16" customFormat="false" ht="15" hidden="false" customHeight="false" outlineLevel="0" collapsed="false">
      <c r="A16" s="14" t="s">
        <v>75</v>
      </c>
      <c r="B16" s="14" t="s">
        <v>49</v>
      </c>
      <c r="C16" s="14" t="s">
        <v>76</v>
      </c>
      <c r="D16" s="14"/>
      <c r="E16" s="15" t="n">
        <v>7</v>
      </c>
      <c r="F16" s="14" t="s">
        <v>388</v>
      </c>
      <c r="G16" s="8" t="n">
        <v>9</v>
      </c>
      <c r="H16" s="14" t="s">
        <v>80</v>
      </c>
      <c r="I16" s="14" t="s">
        <v>252</v>
      </c>
      <c r="J16" s="14" t="s">
        <v>464</v>
      </c>
      <c r="K16" s="8" t="n">
        <v>8</v>
      </c>
      <c r="L16" s="8" t="n">
        <v>91</v>
      </c>
      <c r="M16" s="8" t="n">
        <v>3</v>
      </c>
      <c r="N16" s="8" t="n">
        <v>14</v>
      </c>
      <c r="O16" s="8" t="n">
        <v>2</v>
      </c>
      <c r="P16" s="9" t="n">
        <v>5.05615037095291</v>
      </c>
      <c r="Q16" s="10" t="n">
        <v>0.197778927965613</v>
      </c>
      <c r="R16" s="9" t="n">
        <v>6</v>
      </c>
      <c r="S16" s="11" t="n">
        <f aca="false">IF(AND(ISNUMBER(R16),R16&gt;1,P16&gt;0),R16/P16-1,"")</f>
        <v>0.186673567793676</v>
      </c>
      <c r="T16" s="9" t="n">
        <f aca="false">IF(AND(ISNUMBER(P16),P16&gt;0),P16*EXP('Read me'!$B$22),"")</f>
        <v>6.17559600875445</v>
      </c>
    </row>
    <row r="17" customFormat="false" ht="15" hidden="false" customHeight="false" outlineLevel="0" collapsed="false">
      <c r="A17" s="14" t="s">
        <v>75</v>
      </c>
      <c r="B17" s="14" t="s">
        <v>49</v>
      </c>
      <c r="C17" s="14" t="s">
        <v>76</v>
      </c>
      <c r="D17" s="14"/>
      <c r="E17" s="15" t="n">
        <v>7</v>
      </c>
      <c r="F17" s="14" t="s">
        <v>388</v>
      </c>
      <c r="G17" s="8" t="n">
        <v>9</v>
      </c>
      <c r="H17" s="14" t="s">
        <v>354</v>
      </c>
      <c r="I17" s="14" t="s">
        <v>144</v>
      </c>
      <c r="J17" s="14" t="s">
        <v>73</v>
      </c>
      <c r="K17" s="8" t="n">
        <v>3</v>
      </c>
      <c r="L17" s="8" t="n">
        <v>87</v>
      </c>
      <c r="M17" s="8" t="n">
        <v>3</v>
      </c>
      <c r="N17" s="8" t="n">
        <v>182</v>
      </c>
      <c r="O17" s="8" t="n">
        <v>3</v>
      </c>
      <c r="P17" s="9" t="n">
        <v>5.8560055768411</v>
      </c>
      <c r="Q17" s="10" t="n">
        <v>0.170764864697999</v>
      </c>
      <c r="R17" s="9" t="n">
        <v>5.5</v>
      </c>
      <c r="S17" s="11" t="n">
        <f aca="false">IF(AND(ISNUMBER(R17),R17&gt;1,P17&gt;0),R17/P17-1,"")</f>
        <v>-0.0607932441610031</v>
      </c>
      <c r="T17" s="9" t="n">
        <f aca="false">IF(AND(ISNUMBER(P17),P17&gt;0),P17*EXP('Read me'!$B$22),"")</f>
        <v>7.15254136335505</v>
      </c>
    </row>
    <row r="18" customFormat="false" ht="15" hidden="false" customHeight="false" outlineLevel="0" collapsed="false">
      <c r="A18" s="14" t="s">
        <v>75</v>
      </c>
      <c r="B18" s="14" t="s">
        <v>49</v>
      </c>
      <c r="C18" s="14" t="s">
        <v>76</v>
      </c>
      <c r="D18" s="14"/>
      <c r="E18" s="15" t="n">
        <v>7</v>
      </c>
      <c r="F18" s="14" t="s">
        <v>388</v>
      </c>
      <c r="G18" s="8" t="n">
        <v>9</v>
      </c>
      <c r="H18" s="14" t="s">
        <v>465</v>
      </c>
      <c r="I18" s="14" t="s">
        <v>466</v>
      </c>
      <c r="J18" s="14" t="s">
        <v>467</v>
      </c>
      <c r="K18" s="8" t="n">
        <v>5</v>
      </c>
      <c r="L18" s="8" t="n">
        <v>87</v>
      </c>
      <c r="M18" s="8" t="n">
        <v>3</v>
      </c>
      <c r="N18" s="8" t="n">
        <v>13</v>
      </c>
      <c r="O18" s="8" t="n">
        <v>4</v>
      </c>
      <c r="P18" s="9" t="n">
        <v>6.68138510735888</v>
      </c>
      <c r="Q18" s="10" t="n">
        <v>0.149669564608482</v>
      </c>
      <c r="R18" s="9" t="n">
        <v>4.33333333333333</v>
      </c>
      <c r="S18" s="11" t="n">
        <f aca="false">IF(AND(ISNUMBER(R18),R18&gt;1,P18&gt;0),R18/P18-1,"")</f>
        <v>-0.351431886696577</v>
      </c>
      <c r="T18" s="9" t="n">
        <f aca="false">IF(AND(ISNUMBER(P18),P18&gt;0),P18*EXP('Read me'!$B$22),"")</f>
        <v>8.16066219845841</v>
      </c>
    </row>
    <row r="19" customFormat="false" ht="15" hidden="false" customHeight="false" outlineLevel="0" collapsed="false">
      <c r="A19" s="14" t="s">
        <v>75</v>
      </c>
      <c r="B19" s="14" t="s">
        <v>49</v>
      </c>
      <c r="C19" s="14" t="s">
        <v>76</v>
      </c>
      <c r="D19" s="14"/>
      <c r="E19" s="15" t="n">
        <v>7</v>
      </c>
      <c r="F19" s="14" t="s">
        <v>388</v>
      </c>
      <c r="G19" s="8" t="n">
        <v>9</v>
      </c>
      <c r="H19" s="14" t="s">
        <v>468</v>
      </c>
      <c r="I19" s="14" t="s">
        <v>212</v>
      </c>
      <c r="J19" s="14" t="s">
        <v>469</v>
      </c>
      <c r="K19" s="8" t="n">
        <v>6</v>
      </c>
      <c r="L19" s="8" t="n">
        <v>81</v>
      </c>
      <c r="M19" s="8" t="n">
        <v>3</v>
      </c>
      <c r="N19" s="8" t="n">
        <v>24</v>
      </c>
      <c r="O19" s="8" t="n">
        <v>5</v>
      </c>
      <c r="P19" s="9" t="n">
        <v>8.52804756220017</v>
      </c>
      <c r="Q19" s="10" t="n">
        <v>0.117260134011496</v>
      </c>
      <c r="R19" s="9" t="n">
        <v>8</v>
      </c>
      <c r="S19" s="11" t="n">
        <f aca="false">IF(AND(ISNUMBER(R19),R19&gt;1,P19&gt;0),R19/P19-1,"")</f>
        <v>-0.0619189279080349</v>
      </c>
      <c r="T19" s="9" t="n">
        <f aca="false">IF(AND(ISNUMBER(P19),P19&gt;0),P19*EXP('Read me'!$B$22),"")</f>
        <v>10.4161808141924</v>
      </c>
    </row>
    <row r="20" customFormat="false" ht="15" hidden="false" customHeight="false" outlineLevel="0" collapsed="false">
      <c r="A20" s="14" t="s">
        <v>75</v>
      </c>
      <c r="B20" s="14" t="s">
        <v>49</v>
      </c>
      <c r="C20" s="14" t="s">
        <v>76</v>
      </c>
      <c r="D20" s="14"/>
      <c r="E20" s="15" t="n">
        <v>7</v>
      </c>
      <c r="F20" s="14" t="s">
        <v>388</v>
      </c>
      <c r="G20" s="8" t="n">
        <v>9</v>
      </c>
      <c r="H20" s="14" t="s">
        <v>470</v>
      </c>
      <c r="I20" s="14" t="s">
        <v>415</v>
      </c>
      <c r="J20" s="14" t="s">
        <v>471</v>
      </c>
      <c r="K20" s="8" t="n">
        <v>4</v>
      </c>
      <c r="L20" s="8" t="n">
        <v>86</v>
      </c>
      <c r="M20" s="8" t="n">
        <v>3</v>
      </c>
      <c r="N20" s="8" t="n">
        <v>7</v>
      </c>
      <c r="O20" s="8" t="n">
        <v>6</v>
      </c>
      <c r="P20" s="9" t="n">
        <v>22.2095428025546</v>
      </c>
      <c r="Q20" s="10" t="n">
        <v>0.0450256904831457</v>
      </c>
      <c r="R20" s="9" t="n">
        <v>11</v>
      </c>
      <c r="S20" s="11" t="n">
        <f aca="false">IF(AND(ISNUMBER(R20),R20&gt;1,P20&gt;0),R20/P20-1,"")</f>
        <v>-0.504717404685397</v>
      </c>
      <c r="T20" s="9" t="n">
        <f aca="false">IF(AND(ISNUMBER(P20),P20&gt;0),P20*EXP('Read me'!$B$22),"")</f>
        <v>27.1267968365165</v>
      </c>
    </row>
    <row r="21" customFormat="false" ht="15" hidden="false" customHeight="false" outlineLevel="0" collapsed="false">
      <c r="A21" s="14" t="s">
        <v>75</v>
      </c>
      <c r="B21" s="14" t="s">
        <v>49</v>
      </c>
      <c r="C21" s="14" t="s">
        <v>76</v>
      </c>
      <c r="D21" s="14"/>
      <c r="E21" s="15" t="n">
        <v>7</v>
      </c>
      <c r="F21" s="14" t="s">
        <v>388</v>
      </c>
      <c r="G21" s="8" t="n">
        <v>9</v>
      </c>
      <c r="H21" s="14" t="s">
        <v>472</v>
      </c>
      <c r="I21" s="14" t="s">
        <v>107</v>
      </c>
      <c r="J21" s="14" t="s">
        <v>473</v>
      </c>
      <c r="K21" s="8" t="n">
        <v>1</v>
      </c>
      <c r="L21" s="8" t="n">
        <v>83</v>
      </c>
      <c r="M21" s="8" t="n">
        <v>3</v>
      </c>
      <c r="N21" s="8" t="n">
        <v>91</v>
      </c>
      <c r="O21" s="8" t="n">
        <v>7</v>
      </c>
      <c r="P21" s="9" t="n">
        <v>26.1770005460553</v>
      </c>
      <c r="Q21" s="10" t="n">
        <v>0.0382014737800314</v>
      </c>
      <c r="R21" s="9" t="n">
        <v>21</v>
      </c>
      <c r="S21" s="11" t="n">
        <f aca="false">IF(AND(ISNUMBER(R21),R21&gt;1,P21&gt;0),R21/P21-1,"")</f>
        <v>-0.197769050619341</v>
      </c>
      <c r="T21" s="9" t="n">
        <f aca="false">IF(AND(ISNUMBER(P21),P21&gt;0),P21*EXP('Read me'!$B$22),"")</f>
        <v>31.9726606673122</v>
      </c>
    </row>
    <row r="22" customFormat="false" ht="15" hidden="false" customHeight="false" outlineLevel="0" collapsed="false">
      <c r="A22" s="14" t="s">
        <v>75</v>
      </c>
      <c r="B22" s="14" t="s">
        <v>49</v>
      </c>
      <c r="C22" s="14" t="s">
        <v>76</v>
      </c>
      <c r="D22" s="14"/>
      <c r="E22" s="15" t="n">
        <v>7</v>
      </c>
      <c r="F22" s="14" t="s">
        <v>388</v>
      </c>
      <c r="G22" s="8" t="n">
        <v>9</v>
      </c>
      <c r="H22" s="14" t="s">
        <v>474</v>
      </c>
      <c r="I22" s="14" t="s">
        <v>475</v>
      </c>
      <c r="J22" s="14" t="s">
        <v>79</v>
      </c>
      <c r="K22" s="8" t="n">
        <v>2</v>
      </c>
      <c r="L22" s="8" t="n">
        <v>87</v>
      </c>
      <c r="M22" s="8" t="n">
        <v>3</v>
      </c>
      <c r="N22" s="8" t="n">
        <v>113</v>
      </c>
      <c r="O22" s="8" t="n">
        <v>8</v>
      </c>
      <c r="P22" s="9" t="n">
        <v>31.761111615598</v>
      </c>
      <c r="Q22" s="10" t="n">
        <v>0.0314850441037112</v>
      </c>
      <c r="R22" s="9" t="n">
        <v>26</v>
      </c>
      <c r="S22" s="11" t="n">
        <f aca="false">IF(AND(ISNUMBER(R22),R22&gt;1,P22&gt;0),R22/P22-1,"")</f>
        <v>-0.181388853303508</v>
      </c>
      <c r="T22" s="9" t="n">
        <f aca="false">IF(AND(ISNUMBER(P22),P22&gt;0),P22*EXP('Read me'!$B$22),"")</f>
        <v>38.7931093295245</v>
      </c>
    </row>
    <row r="23" customFormat="false" ht="15" hidden="false" customHeight="false" outlineLevel="0" collapsed="false">
      <c r="A23" s="14" t="s">
        <v>75</v>
      </c>
      <c r="B23" s="14" t="s">
        <v>49</v>
      </c>
      <c r="C23" s="14" t="s">
        <v>76</v>
      </c>
      <c r="D23" s="14"/>
      <c r="E23" s="15" t="n">
        <v>7</v>
      </c>
      <c r="F23" s="14" t="s">
        <v>388</v>
      </c>
      <c r="G23" s="8" t="n">
        <v>9</v>
      </c>
      <c r="H23" s="14" t="s">
        <v>476</v>
      </c>
      <c r="I23" s="14" t="s">
        <v>477</v>
      </c>
      <c r="J23" s="14" t="s">
        <v>478</v>
      </c>
      <c r="K23" s="8" t="n">
        <v>9</v>
      </c>
      <c r="L23" s="8" t="n">
        <v>78</v>
      </c>
      <c r="M23" s="8" t="n">
        <v>3</v>
      </c>
      <c r="N23" s="8" t="n">
        <v>13</v>
      </c>
      <c r="O23" s="8" t="n">
        <v>9</v>
      </c>
      <c r="P23" s="9" t="n">
        <v>41.2007878164319</v>
      </c>
      <c r="Q23" s="10" t="n">
        <v>0.0242713805487276</v>
      </c>
      <c r="R23" s="9" t="n">
        <v>29</v>
      </c>
      <c r="S23" s="11" t="n">
        <f aca="false">IF(AND(ISNUMBER(R23),R23&gt;1,P23&gt;0),R23/P23-1,"")</f>
        <v>-0.296129964086899</v>
      </c>
      <c r="T23" s="9" t="n">
        <f aca="false">IF(AND(ISNUMBER(P23),P23&gt;0),P23*EXP('Read me'!$B$22),"")</f>
        <v>50.3227558773619</v>
      </c>
    </row>
    <row r="24" customFormat="false" ht="15" hidden="false" customHeight="false" outlineLevel="0" collapsed="false">
      <c r="A24" s="14" t="s">
        <v>104</v>
      </c>
      <c r="B24" s="14" t="s">
        <v>49</v>
      </c>
      <c r="C24" s="14" t="s">
        <v>105</v>
      </c>
      <c r="D24" s="14"/>
      <c r="E24" s="15" t="n">
        <v>5</v>
      </c>
      <c r="F24" s="14" t="s">
        <v>388</v>
      </c>
      <c r="G24" s="8" t="n">
        <v>20</v>
      </c>
      <c r="H24" s="14" t="s">
        <v>106</v>
      </c>
      <c r="I24" s="14" t="s">
        <v>107</v>
      </c>
      <c r="J24" s="14" t="s">
        <v>108</v>
      </c>
      <c r="K24" s="8" t="n">
        <v>20</v>
      </c>
      <c r="L24" s="8" t="n">
        <v>85</v>
      </c>
      <c r="M24" s="8" t="n">
        <v>4</v>
      </c>
      <c r="N24" s="8" t="n">
        <v>13</v>
      </c>
      <c r="O24" s="8" t="n">
        <v>1</v>
      </c>
      <c r="P24" s="9" t="n">
        <v>6.60039018203497</v>
      </c>
      <c r="Q24" s="10" t="n">
        <v>0.151506194697673</v>
      </c>
      <c r="R24" s="9" t="n">
        <v>5.5</v>
      </c>
      <c r="S24" s="11" t="n">
        <f aca="false">IF(AND(ISNUMBER(R24),R24&gt;1,P24&gt;0),R24/P24-1,"")</f>
        <v>-0.166715929162798</v>
      </c>
      <c r="T24" s="9" t="n">
        <f aca="false">IF(AND(ISNUMBER(P24),P24&gt;0),P24*EXP('Read me'!$B$22),"")</f>
        <v>8.06173477327082</v>
      </c>
    </row>
    <row r="25" customFormat="false" ht="15" hidden="false" customHeight="false" outlineLevel="0" collapsed="false">
      <c r="A25" s="14" t="s">
        <v>104</v>
      </c>
      <c r="B25" s="14" t="s">
        <v>49</v>
      </c>
      <c r="C25" s="14" t="s">
        <v>105</v>
      </c>
      <c r="D25" s="14"/>
      <c r="E25" s="15" t="n">
        <v>5</v>
      </c>
      <c r="F25" s="14" t="s">
        <v>388</v>
      </c>
      <c r="G25" s="8" t="n">
        <v>20</v>
      </c>
      <c r="H25" s="14" t="s">
        <v>109</v>
      </c>
      <c r="I25" s="14" t="s">
        <v>531</v>
      </c>
      <c r="J25" s="14" t="s">
        <v>532</v>
      </c>
      <c r="K25" s="8" t="n">
        <v>1</v>
      </c>
      <c r="L25" s="8" t="n">
        <v>88</v>
      </c>
      <c r="M25" s="8" t="n">
        <v>4</v>
      </c>
      <c r="N25" s="8" t="n">
        <v>13</v>
      </c>
      <c r="O25" s="8" t="n">
        <v>2</v>
      </c>
      <c r="P25" s="9" t="n">
        <v>8.73666412473841</v>
      </c>
      <c r="Q25" s="10" t="n">
        <v>0.114460163023601</v>
      </c>
      <c r="R25" s="9" t="n">
        <v>5.5</v>
      </c>
      <c r="S25" s="11" t="n">
        <f aca="false">IF(AND(ISNUMBER(R25),R25&gt;1,P25&gt;0),R25/P25-1,"")</f>
        <v>-0.370469103370197</v>
      </c>
      <c r="T25" s="9" t="n">
        <f aca="false">IF(AND(ISNUMBER(P25),P25&gt;0),P25*EXP('Read me'!$B$22),"")</f>
        <v>10.6709856590745</v>
      </c>
    </row>
    <row r="26" customFormat="false" ht="15" hidden="false" customHeight="false" outlineLevel="0" collapsed="false">
      <c r="A26" s="14" t="s">
        <v>104</v>
      </c>
      <c r="B26" s="14" t="s">
        <v>49</v>
      </c>
      <c r="C26" s="14" t="s">
        <v>105</v>
      </c>
      <c r="D26" s="14"/>
      <c r="E26" s="15" t="n">
        <v>5</v>
      </c>
      <c r="F26" s="14" t="s">
        <v>388</v>
      </c>
      <c r="G26" s="8" t="n">
        <v>20</v>
      </c>
      <c r="H26" s="14" t="s">
        <v>533</v>
      </c>
      <c r="I26" s="14" t="s">
        <v>415</v>
      </c>
      <c r="J26" s="14" t="s">
        <v>534</v>
      </c>
      <c r="K26" s="8" t="n">
        <v>11</v>
      </c>
      <c r="L26" s="8" t="n">
        <v>84</v>
      </c>
      <c r="M26" s="8" t="n">
        <v>5</v>
      </c>
      <c r="N26" s="8" t="n">
        <v>21</v>
      </c>
      <c r="O26" s="8" t="n">
        <v>3</v>
      </c>
      <c r="P26" s="9" t="n">
        <v>10.5660712768089</v>
      </c>
      <c r="Q26" s="10" t="n">
        <v>0.0946425567083642</v>
      </c>
      <c r="R26" s="9" t="n">
        <v>9</v>
      </c>
      <c r="S26" s="11" t="n">
        <f aca="false">IF(AND(ISNUMBER(R26),R26&gt;1,P26&gt;0),R26/P26-1,"")</f>
        <v>-0.148216989624722</v>
      </c>
      <c r="T26" s="9" t="n">
        <f aca="false">IF(AND(ISNUMBER(P26),P26&gt;0),P26*EXP('Read me'!$B$22),"")</f>
        <v>12.9054286004113</v>
      </c>
    </row>
    <row r="27" customFormat="false" ht="15" hidden="false" customHeight="false" outlineLevel="0" collapsed="false">
      <c r="A27" s="14" t="s">
        <v>104</v>
      </c>
      <c r="B27" s="14" t="s">
        <v>49</v>
      </c>
      <c r="C27" s="14" t="s">
        <v>105</v>
      </c>
      <c r="D27" s="14"/>
      <c r="E27" s="15" t="n">
        <v>5</v>
      </c>
      <c r="F27" s="14" t="s">
        <v>388</v>
      </c>
      <c r="G27" s="8" t="n">
        <v>20</v>
      </c>
      <c r="H27" s="14" t="s">
        <v>535</v>
      </c>
      <c r="I27" s="14" t="s">
        <v>394</v>
      </c>
      <c r="J27" s="14" t="s">
        <v>536</v>
      </c>
      <c r="K27" s="8" t="n">
        <v>10</v>
      </c>
      <c r="L27" s="8" t="n">
        <v>85</v>
      </c>
      <c r="M27" s="8" t="n">
        <v>3</v>
      </c>
      <c r="N27" s="8" t="n">
        <v>21</v>
      </c>
      <c r="O27" s="8" t="n">
        <v>4</v>
      </c>
      <c r="P27" s="9" t="n">
        <v>11.3189484734168</v>
      </c>
      <c r="Q27" s="10" t="n">
        <v>0.0883474292995113</v>
      </c>
      <c r="R27" s="9" t="n">
        <v>8</v>
      </c>
      <c r="S27" s="11" t="n">
        <f aca="false">IF(AND(ISNUMBER(R27),R27&gt;1,P27&gt;0),R27/P27-1,"")</f>
        <v>-0.293220565603909</v>
      </c>
      <c r="T27" s="9" t="n">
        <f aca="false">IF(AND(ISNUMBER(P27),P27&gt;0),P27*EXP('Read me'!$B$22),"")</f>
        <v>13.8249948849041</v>
      </c>
    </row>
    <row r="28" customFormat="false" ht="15" hidden="false" customHeight="false" outlineLevel="0" collapsed="false">
      <c r="A28" s="14" t="s">
        <v>104</v>
      </c>
      <c r="B28" s="14" t="s">
        <v>49</v>
      </c>
      <c r="C28" s="14" t="s">
        <v>105</v>
      </c>
      <c r="D28" s="14"/>
      <c r="E28" s="15" t="n">
        <v>5</v>
      </c>
      <c r="F28" s="14" t="s">
        <v>388</v>
      </c>
      <c r="G28" s="8" t="n">
        <v>20</v>
      </c>
      <c r="H28" s="14" t="s">
        <v>537</v>
      </c>
      <c r="I28" s="14" t="s">
        <v>171</v>
      </c>
      <c r="J28" s="14" t="s">
        <v>538</v>
      </c>
      <c r="K28" s="8" t="n">
        <v>9</v>
      </c>
      <c r="L28" s="8" t="n">
        <v>94</v>
      </c>
      <c r="M28" s="8" t="n">
        <v>6</v>
      </c>
      <c r="N28" s="8" t="n">
        <v>13</v>
      </c>
      <c r="O28" s="8" t="n">
        <v>5</v>
      </c>
      <c r="P28" s="9" t="n">
        <v>11.7346833013274</v>
      </c>
      <c r="Q28" s="10" t="n">
        <v>0.085217468108993</v>
      </c>
      <c r="R28" s="9" t="n">
        <v>8</v>
      </c>
      <c r="S28" s="11" t="n">
        <f aca="false">IF(AND(ISNUMBER(R28),R28&gt;1,P28&gt;0),R28/P28-1,"")</f>
        <v>-0.318260255128056</v>
      </c>
      <c r="T28" s="9" t="n">
        <f aca="false">IF(AND(ISNUMBER(P28),P28&gt;0),P28*EXP('Read me'!$B$22),"")</f>
        <v>14.3327745503774</v>
      </c>
    </row>
    <row r="29" customFormat="false" ht="15" hidden="false" customHeight="false" outlineLevel="0" collapsed="false">
      <c r="A29" s="14" t="s">
        <v>104</v>
      </c>
      <c r="B29" s="14" t="s">
        <v>49</v>
      </c>
      <c r="C29" s="14" t="s">
        <v>105</v>
      </c>
      <c r="D29" s="14"/>
      <c r="E29" s="15" t="n">
        <v>5</v>
      </c>
      <c r="F29" s="14" t="s">
        <v>388</v>
      </c>
      <c r="G29" s="8" t="n">
        <v>20</v>
      </c>
      <c r="H29" s="14" t="s">
        <v>539</v>
      </c>
      <c r="I29" s="14" t="s">
        <v>540</v>
      </c>
      <c r="J29" s="14" t="s">
        <v>541</v>
      </c>
      <c r="K29" s="8" t="n">
        <v>5</v>
      </c>
      <c r="L29" s="8" t="n">
        <v>82</v>
      </c>
      <c r="M29" s="8" t="n">
        <v>3</v>
      </c>
      <c r="N29" s="8" t="n">
        <v>24</v>
      </c>
      <c r="O29" s="8" t="n">
        <v>6</v>
      </c>
      <c r="P29" s="9" t="n">
        <v>13.6083502370257</v>
      </c>
      <c r="Q29" s="10" t="n">
        <v>0.0734842932892183</v>
      </c>
      <c r="R29" s="9" t="n">
        <v>17</v>
      </c>
      <c r="S29" s="11" t="n">
        <f aca="false">IF(AND(ISNUMBER(R29),R29&gt;1,P29&gt;0),R29/P29-1,"")</f>
        <v>0.249232985916711</v>
      </c>
      <c r="T29" s="9" t="n">
        <f aca="false">IF(AND(ISNUMBER(P29),P29&gt;0),P29*EXP('Read me'!$B$22),"")</f>
        <v>16.6212765135128</v>
      </c>
    </row>
    <row r="30" customFormat="false" ht="15" hidden="false" customHeight="false" outlineLevel="0" collapsed="false">
      <c r="A30" s="14" t="s">
        <v>104</v>
      </c>
      <c r="B30" s="14" t="s">
        <v>49</v>
      </c>
      <c r="C30" s="14" t="s">
        <v>105</v>
      </c>
      <c r="D30" s="14"/>
      <c r="E30" s="15" t="n">
        <v>5</v>
      </c>
      <c r="F30" s="14" t="s">
        <v>388</v>
      </c>
      <c r="G30" s="8" t="n">
        <v>20</v>
      </c>
      <c r="H30" s="14" t="s">
        <v>542</v>
      </c>
      <c r="I30" s="14" t="s">
        <v>144</v>
      </c>
      <c r="J30" s="14" t="s">
        <v>478</v>
      </c>
      <c r="K30" s="8" t="n">
        <v>3</v>
      </c>
      <c r="L30" s="8" t="n">
        <v>92</v>
      </c>
      <c r="M30" s="8" t="n">
        <v>4</v>
      </c>
      <c r="N30" s="8" t="n">
        <v>13</v>
      </c>
      <c r="O30" s="8" t="n">
        <v>7</v>
      </c>
      <c r="P30" s="9" t="n">
        <v>15.4928307074899</v>
      </c>
      <c r="Q30" s="10" t="n">
        <v>0.0645459838089212</v>
      </c>
      <c r="R30" s="9" t="n">
        <v>17</v>
      </c>
      <c r="S30" s="11" t="n">
        <f aca="false">IF(AND(ISNUMBER(R30),R30&gt;1,P30&gt;0),R30/P30-1,"")</f>
        <v>0.0972817247516602</v>
      </c>
      <c r="T30" s="9" t="n">
        <f aca="false">IF(AND(ISNUMBER(P30),P30&gt;0),P30*EXP('Read me'!$B$22),"")</f>
        <v>18.9229861578367</v>
      </c>
    </row>
    <row r="31" customFormat="false" ht="15" hidden="false" customHeight="false" outlineLevel="0" collapsed="false">
      <c r="A31" s="14" t="s">
        <v>104</v>
      </c>
      <c r="B31" s="14" t="s">
        <v>49</v>
      </c>
      <c r="C31" s="14" t="s">
        <v>105</v>
      </c>
      <c r="D31" s="14"/>
      <c r="E31" s="15" t="n">
        <v>5</v>
      </c>
      <c r="F31" s="14" t="s">
        <v>388</v>
      </c>
      <c r="G31" s="8" t="n">
        <v>20</v>
      </c>
      <c r="H31" s="14" t="s">
        <v>543</v>
      </c>
      <c r="I31" s="14" t="s">
        <v>466</v>
      </c>
      <c r="J31" s="14" t="s">
        <v>395</v>
      </c>
      <c r="K31" s="8" t="n">
        <v>7</v>
      </c>
      <c r="L31" s="8" t="n">
        <v>97</v>
      </c>
      <c r="M31" s="8" t="n">
        <v>8</v>
      </c>
      <c r="N31" s="8" t="n">
        <v>21</v>
      </c>
      <c r="O31" s="8" t="n">
        <v>8</v>
      </c>
      <c r="P31" s="9" t="n">
        <v>24.3789790377302</v>
      </c>
      <c r="Q31" s="10" t="n">
        <v>0.0410189449874971</v>
      </c>
      <c r="R31" s="9" t="n">
        <v>29</v>
      </c>
      <c r="S31" s="11" t="n">
        <f aca="false">IF(AND(ISNUMBER(R31),R31&gt;1,P31&gt;0),R31/P31-1,"")</f>
        <v>0.189549404637417</v>
      </c>
      <c r="T31" s="9" t="n">
        <f aca="false">IF(AND(ISNUMBER(P31),P31&gt;0),P31*EXP('Read me'!$B$22),"")</f>
        <v>29.7765522378126</v>
      </c>
    </row>
    <row r="32" customFormat="false" ht="15" hidden="false" customHeight="false" outlineLevel="0" collapsed="false">
      <c r="A32" s="14" t="s">
        <v>104</v>
      </c>
      <c r="B32" s="14" t="s">
        <v>49</v>
      </c>
      <c r="C32" s="14" t="s">
        <v>105</v>
      </c>
      <c r="D32" s="14"/>
      <c r="E32" s="15" t="n">
        <v>5</v>
      </c>
      <c r="F32" s="14" t="s">
        <v>388</v>
      </c>
      <c r="G32" s="8" t="n">
        <v>20</v>
      </c>
      <c r="H32" s="14" t="s">
        <v>544</v>
      </c>
      <c r="I32" s="14" t="s">
        <v>252</v>
      </c>
      <c r="J32" s="14" t="s">
        <v>545</v>
      </c>
      <c r="K32" s="8" t="n">
        <v>6</v>
      </c>
      <c r="L32" s="8" t="n">
        <v>99</v>
      </c>
      <c r="M32" s="8" t="n">
        <v>5</v>
      </c>
      <c r="N32" s="8" t="n">
        <v>27</v>
      </c>
      <c r="O32" s="8" t="n">
        <v>9</v>
      </c>
      <c r="P32" s="9" t="n">
        <v>24.6413440321342</v>
      </c>
      <c r="Q32" s="10" t="n">
        <v>0.0405822019568382</v>
      </c>
      <c r="R32" s="9" t="n">
        <v>21</v>
      </c>
      <c r="S32" s="11" t="n">
        <f aca="false">IF(AND(ISNUMBER(R32),R32&gt;1,P32&gt;0),R32/P32-1,"")</f>
        <v>-0.147773758906397</v>
      </c>
      <c r="T32" s="9" t="n">
        <f aca="false">IF(AND(ISNUMBER(P32),P32&gt;0),P32*EXP('Read me'!$B$22),"")</f>
        <v>30.0970055656223</v>
      </c>
    </row>
    <row r="33" customFormat="false" ht="15" hidden="false" customHeight="false" outlineLevel="0" collapsed="false">
      <c r="A33" s="14" t="s">
        <v>104</v>
      </c>
      <c r="B33" s="14" t="s">
        <v>49</v>
      </c>
      <c r="C33" s="14" t="s">
        <v>105</v>
      </c>
      <c r="D33" s="14"/>
      <c r="E33" s="15" t="n">
        <v>5</v>
      </c>
      <c r="F33" s="14" t="s">
        <v>388</v>
      </c>
      <c r="G33" s="8" t="n">
        <v>20</v>
      </c>
      <c r="H33" s="14" t="s">
        <v>546</v>
      </c>
      <c r="I33" s="14" t="s">
        <v>212</v>
      </c>
      <c r="J33" s="14" t="s">
        <v>469</v>
      </c>
      <c r="K33" s="8" t="n">
        <v>2</v>
      </c>
      <c r="L33" s="8" t="n">
        <v>90</v>
      </c>
      <c r="M33" s="8" t="n">
        <v>8</v>
      </c>
      <c r="N33" s="8" t="n">
        <v>90</v>
      </c>
      <c r="O33" s="8" t="n">
        <v>10</v>
      </c>
      <c r="P33" s="9" t="n">
        <v>25.5586112167192</v>
      </c>
      <c r="Q33" s="10" t="n">
        <v>0.0391257565413354</v>
      </c>
      <c r="R33" s="9" t="n">
        <v>11</v>
      </c>
      <c r="S33" s="11" t="n">
        <f aca="false">IF(AND(ISNUMBER(R33),R33&gt;1,P33&gt;0),R33/P33-1,"")</f>
        <v>-0.56961667804531</v>
      </c>
      <c r="T33" s="9" t="n">
        <f aca="false">IF(AND(ISNUMBER(P33),P33&gt;0),P33*EXP('Read me'!$B$22),"")</f>
        <v>31.2173582348443</v>
      </c>
    </row>
    <row r="34" customFormat="false" ht="15" hidden="false" customHeight="false" outlineLevel="0" collapsed="false">
      <c r="A34" s="14" t="s">
        <v>104</v>
      </c>
      <c r="B34" s="14" t="s">
        <v>49</v>
      </c>
      <c r="C34" s="14" t="s">
        <v>105</v>
      </c>
      <c r="D34" s="14"/>
      <c r="E34" s="15" t="n">
        <v>5</v>
      </c>
      <c r="F34" s="14" t="s">
        <v>388</v>
      </c>
      <c r="G34" s="8" t="n">
        <v>20</v>
      </c>
      <c r="H34" s="14" t="s">
        <v>547</v>
      </c>
      <c r="I34" s="14" t="s">
        <v>400</v>
      </c>
      <c r="J34" s="14" t="s">
        <v>548</v>
      </c>
      <c r="K34" s="8" t="n">
        <v>12</v>
      </c>
      <c r="L34" s="8" t="n">
        <v>75</v>
      </c>
      <c r="M34" s="8" t="n">
        <v>6</v>
      </c>
      <c r="N34" s="8" t="n">
        <v>24</v>
      </c>
      <c r="O34" s="8" t="n">
        <v>11</v>
      </c>
      <c r="P34" s="9" t="n">
        <v>27.0743332900649</v>
      </c>
      <c r="Q34" s="10" t="n">
        <v>0.0369353508833015</v>
      </c>
      <c r="R34" s="9" t="n">
        <v>19</v>
      </c>
      <c r="S34" s="11" t="n">
        <f aca="false">IF(AND(ISNUMBER(R34),R34&gt;1,P34&gt;0),R34/P34-1,"")</f>
        <v>-0.29822833321727</v>
      </c>
      <c r="T34" s="9" t="n">
        <f aca="false">IF(AND(ISNUMBER(P34),P34&gt;0),P34*EXP('Read me'!$B$22),"")</f>
        <v>33.068665355833</v>
      </c>
    </row>
    <row r="35" customFormat="false" ht="15" hidden="false" customHeight="false" outlineLevel="0" collapsed="false">
      <c r="A35" s="14" t="s">
        <v>104</v>
      </c>
      <c r="B35" s="14" t="s">
        <v>49</v>
      </c>
      <c r="C35" s="14" t="s">
        <v>105</v>
      </c>
      <c r="D35" s="14"/>
      <c r="E35" s="15" t="n">
        <v>5</v>
      </c>
      <c r="F35" s="14" t="s">
        <v>388</v>
      </c>
      <c r="G35" s="8" t="n">
        <v>20</v>
      </c>
      <c r="H35" s="14" t="s">
        <v>549</v>
      </c>
      <c r="I35" s="14" t="s">
        <v>52</v>
      </c>
      <c r="J35" s="14" t="s">
        <v>550</v>
      </c>
      <c r="K35" s="8" t="n">
        <v>17</v>
      </c>
      <c r="L35" s="8" t="n">
        <v>93</v>
      </c>
      <c r="M35" s="8" t="n">
        <v>8</v>
      </c>
      <c r="N35" s="8" t="n">
        <v>13</v>
      </c>
      <c r="O35" s="8" t="n">
        <v>12</v>
      </c>
      <c r="P35" s="9" t="n">
        <v>35.2406843146264</v>
      </c>
      <c r="Q35" s="10" t="n">
        <v>0.0283762934644534</v>
      </c>
      <c r="R35" s="9" t="n">
        <v>21</v>
      </c>
      <c r="S35" s="11" t="n">
        <f aca="false">IF(AND(ISNUMBER(R35),R35&gt;1,P35&gt;0),R35/P35-1,"")</f>
        <v>-0.404097837246478</v>
      </c>
      <c r="T35" s="9" t="n">
        <f aca="false">IF(AND(ISNUMBER(P35),P35&gt;0),P35*EXP('Read me'!$B$22),"")</f>
        <v>43.0430690213365</v>
      </c>
    </row>
    <row r="36" customFormat="false" ht="15" hidden="false" customHeight="false" outlineLevel="0" collapsed="false">
      <c r="A36" s="14" t="s">
        <v>104</v>
      </c>
      <c r="B36" s="14" t="s">
        <v>49</v>
      </c>
      <c r="C36" s="14" t="s">
        <v>105</v>
      </c>
      <c r="D36" s="14"/>
      <c r="E36" s="15" t="n">
        <v>5</v>
      </c>
      <c r="F36" s="14" t="s">
        <v>388</v>
      </c>
      <c r="G36" s="8" t="n">
        <v>20</v>
      </c>
      <c r="H36" s="14" t="s">
        <v>551</v>
      </c>
      <c r="I36" s="14" t="s">
        <v>412</v>
      </c>
      <c r="J36" s="14" t="s">
        <v>552</v>
      </c>
      <c r="K36" s="8" t="n">
        <v>8</v>
      </c>
      <c r="L36" s="8" t="n">
        <v>69</v>
      </c>
      <c r="M36" s="8" t="n">
        <v>5</v>
      </c>
      <c r="N36" s="8" t="n">
        <v>24</v>
      </c>
      <c r="O36" s="8" t="n">
        <v>13</v>
      </c>
      <c r="P36" s="9" t="n">
        <v>36.4251792933592</v>
      </c>
      <c r="Q36" s="10" t="n">
        <v>0.0274535367951452</v>
      </c>
      <c r="R36" s="9" t="n">
        <v>41</v>
      </c>
      <c r="S36" s="11" t="n">
        <f aca="false">IF(AND(ISNUMBER(R36),R36&gt;1,P36&gt;0),R36/P36-1,"")</f>
        <v>0.125595008600955</v>
      </c>
      <c r="T36" s="9" t="n">
        <f aca="false">IF(AND(ISNUMBER(P36),P36&gt;0),P36*EXP('Read me'!$B$22),"")</f>
        <v>44.4898144553876</v>
      </c>
    </row>
    <row r="37" customFormat="false" ht="15" hidden="false" customHeight="false" outlineLevel="0" collapsed="false">
      <c r="A37" s="14" t="s">
        <v>104</v>
      </c>
      <c r="B37" s="14" t="s">
        <v>49</v>
      </c>
      <c r="C37" s="14" t="s">
        <v>105</v>
      </c>
      <c r="D37" s="14"/>
      <c r="E37" s="15" t="n">
        <v>5</v>
      </c>
      <c r="F37" s="14" t="s">
        <v>388</v>
      </c>
      <c r="G37" s="8" t="n">
        <v>20</v>
      </c>
      <c r="H37" s="14" t="s">
        <v>553</v>
      </c>
      <c r="I37" s="14" t="s">
        <v>554</v>
      </c>
      <c r="J37" s="14" t="s">
        <v>555</v>
      </c>
      <c r="K37" s="8" t="n">
        <v>19</v>
      </c>
      <c r="L37" s="8" t="n">
        <v>83</v>
      </c>
      <c r="M37" s="8" t="n">
        <v>3</v>
      </c>
      <c r="N37" s="8" t="n">
        <v>27</v>
      </c>
      <c r="O37" s="8" t="n">
        <v>14</v>
      </c>
      <c r="P37" s="9" t="n">
        <v>36.6752486815428</v>
      </c>
      <c r="Q37" s="10" t="n">
        <v>0.0272663454495745</v>
      </c>
      <c r="R37" s="9" t="n">
        <v>21</v>
      </c>
      <c r="S37" s="11" t="n">
        <f aca="false">IF(AND(ISNUMBER(R37),R37&gt;1,P37&gt;0),R37/P37-1,"")</f>
        <v>-0.427406745558934</v>
      </c>
      <c r="T37" s="9" t="n">
        <f aca="false">IF(AND(ISNUMBER(P37),P37&gt;0),P37*EXP('Read me'!$B$22),"")</f>
        <v>44.7952498958465</v>
      </c>
    </row>
    <row r="38" customFormat="false" ht="15" hidden="false" customHeight="false" outlineLevel="0" collapsed="false">
      <c r="A38" s="14" t="s">
        <v>104</v>
      </c>
      <c r="B38" s="14" t="s">
        <v>49</v>
      </c>
      <c r="C38" s="14" t="s">
        <v>105</v>
      </c>
      <c r="D38" s="14"/>
      <c r="E38" s="15" t="n">
        <v>5</v>
      </c>
      <c r="F38" s="14" t="s">
        <v>388</v>
      </c>
      <c r="G38" s="8" t="n">
        <v>20</v>
      </c>
      <c r="H38" s="14" t="s">
        <v>556</v>
      </c>
      <c r="I38" s="14" t="s">
        <v>557</v>
      </c>
      <c r="J38" s="14" t="s">
        <v>558</v>
      </c>
      <c r="K38" s="8" t="n">
        <v>18</v>
      </c>
      <c r="L38" s="8" t="n">
        <v>93</v>
      </c>
      <c r="M38" s="8" t="n">
        <v>3</v>
      </c>
      <c r="N38" s="8" t="n">
        <v>13</v>
      </c>
      <c r="O38" s="8" t="n">
        <v>15</v>
      </c>
      <c r="P38" s="9" t="n">
        <v>41.3308538553706</v>
      </c>
      <c r="Q38" s="10" t="n">
        <v>0.0241949997815024</v>
      </c>
      <c r="R38" s="9" t="n">
        <v>15</v>
      </c>
      <c r="S38" s="11" t="n">
        <f aca="false">IF(AND(ISNUMBER(R38),R38&gt;1,P38&gt;0),R38/P38-1,"")</f>
        <v>-0.637075003277464</v>
      </c>
      <c r="T38" s="9" t="n">
        <f aca="false">IF(AND(ISNUMBER(P38),P38&gt;0),P38*EXP('Read me'!$B$22),"")</f>
        <v>50.4816188960645</v>
      </c>
    </row>
    <row r="39" customFormat="false" ht="15" hidden="false" customHeight="false" outlineLevel="0" collapsed="false">
      <c r="A39" s="14" t="s">
        <v>104</v>
      </c>
      <c r="B39" s="14" t="s">
        <v>49</v>
      </c>
      <c r="C39" s="14" t="s">
        <v>105</v>
      </c>
      <c r="D39" s="14"/>
      <c r="E39" s="15" t="n">
        <v>5</v>
      </c>
      <c r="F39" s="14" t="s">
        <v>388</v>
      </c>
      <c r="G39" s="8" t="n">
        <v>20</v>
      </c>
      <c r="H39" s="14" t="s">
        <v>559</v>
      </c>
      <c r="I39" s="14" t="s">
        <v>560</v>
      </c>
      <c r="J39" s="14" t="s">
        <v>561</v>
      </c>
      <c r="K39" s="8" t="n">
        <v>14</v>
      </c>
      <c r="L39" s="8" t="n">
        <v>69</v>
      </c>
      <c r="M39" s="8" t="n">
        <v>8</v>
      </c>
      <c r="N39" s="8" t="n">
        <v>41</v>
      </c>
      <c r="O39" s="8" t="n">
        <v>16</v>
      </c>
      <c r="P39" s="9" t="n">
        <v>46.4515155736862</v>
      </c>
      <c r="Q39" s="10" t="n">
        <v>0.0215278228847818</v>
      </c>
      <c r="R39" s="9" t="n">
        <v>34</v>
      </c>
      <c r="S39" s="11" t="n">
        <f aca="false">IF(AND(ISNUMBER(R39),R39&gt;1,P39&gt;0),R39/P39-1,"")</f>
        <v>-0.268054021917418</v>
      </c>
      <c r="T39" s="9" t="n">
        <f aca="false">IF(AND(ISNUMBER(P39),P39&gt;0),P39*EXP('Read me'!$B$22),"")</f>
        <v>56.7360092424204</v>
      </c>
    </row>
    <row r="40" customFormat="false" ht="15" hidden="false" customHeight="false" outlineLevel="0" collapsed="false">
      <c r="A40" s="14" t="s">
        <v>104</v>
      </c>
      <c r="B40" s="14" t="s">
        <v>49</v>
      </c>
      <c r="C40" s="14" t="s">
        <v>105</v>
      </c>
      <c r="D40" s="14"/>
      <c r="E40" s="15" t="n">
        <v>5</v>
      </c>
      <c r="F40" s="14" t="s">
        <v>388</v>
      </c>
      <c r="G40" s="8" t="n">
        <v>20</v>
      </c>
      <c r="H40" s="14" t="s">
        <v>562</v>
      </c>
      <c r="I40" s="14" t="s">
        <v>563</v>
      </c>
      <c r="J40" s="14" t="s">
        <v>398</v>
      </c>
      <c r="K40" s="8" t="n">
        <v>16</v>
      </c>
      <c r="L40" s="8" t="n">
        <v>75</v>
      </c>
      <c r="M40" s="8" t="n">
        <v>5</v>
      </c>
      <c r="N40" s="8" t="n">
        <v>13</v>
      </c>
      <c r="O40" s="8" t="n">
        <v>17</v>
      </c>
      <c r="P40" s="9" t="n">
        <v>70.0583982091047</v>
      </c>
      <c r="Q40" s="10" t="n">
        <v>0.014273806218282</v>
      </c>
      <c r="R40" s="9" t="n">
        <v>41</v>
      </c>
      <c r="S40" s="11" t="n">
        <f aca="false">IF(AND(ISNUMBER(R40),R40&gt;1,P40&gt;0),R40/P40-1,"")</f>
        <v>-0.414773945050435</v>
      </c>
      <c r="T40" s="9" t="n">
        <f aca="false">IF(AND(ISNUMBER(P40),P40&gt;0),P40*EXP('Read me'!$B$22),"")</f>
        <v>85.569520804884</v>
      </c>
    </row>
    <row r="41" customFormat="false" ht="15" hidden="false" customHeight="false" outlineLevel="0" collapsed="false">
      <c r="A41" s="14" t="s">
        <v>104</v>
      </c>
      <c r="B41" s="14" t="s">
        <v>49</v>
      </c>
      <c r="C41" s="14" t="s">
        <v>105</v>
      </c>
      <c r="D41" s="14"/>
      <c r="E41" s="15" t="n">
        <v>5</v>
      </c>
      <c r="F41" s="14" t="s">
        <v>388</v>
      </c>
      <c r="G41" s="8" t="n">
        <v>20</v>
      </c>
      <c r="H41" s="14" t="s">
        <v>564</v>
      </c>
      <c r="I41" s="14" t="s">
        <v>565</v>
      </c>
      <c r="J41" s="14" t="s">
        <v>538</v>
      </c>
      <c r="K41" s="8" t="n">
        <v>13</v>
      </c>
      <c r="L41" s="8" t="n">
        <v>89</v>
      </c>
      <c r="M41" s="8" t="n">
        <v>4</v>
      </c>
      <c r="N41" s="8" t="n">
        <v>350</v>
      </c>
      <c r="O41" s="8" t="n">
        <v>18</v>
      </c>
      <c r="P41" s="9" t="n">
        <v>74.0391280591111</v>
      </c>
      <c r="Q41" s="10" t="n">
        <v>0.013506371917314</v>
      </c>
      <c r="R41" s="9" t="n">
        <v>21</v>
      </c>
      <c r="S41" s="11" t="n">
        <f aca="false">IF(AND(ISNUMBER(R41),R41&gt;1,P41&gt;0),R41/P41-1,"")</f>
        <v>-0.716366189736404</v>
      </c>
      <c r="T41" s="9" t="n">
        <f aca="false">IF(AND(ISNUMBER(P41),P41&gt;0),P41*EXP('Read me'!$B$22),"")</f>
        <v>90.4315952231724</v>
      </c>
    </row>
    <row r="42" customFormat="false" ht="15" hidden="false" customHeight="false" outlineLevel="0" collapsed="false">
      <c r="A42" s="14" t="s">
        <v>104</v>
      </c>
      <c r="B42" s="14" t="s">
        <v>49</v>
      </c>
      <c r="C42" s="14" t="s">
        <v>105</v>
      </c>
      <c r="D42" s="14"/>
      <c r="E42" s="15" t="n">
        <v>5</v>
      </c>
      <c r="F42" s="14" t="s">
        <v>388</v>
      </c>
      <c r="G42" s="8" t="n">
        <v>20</v>
      </c>
      <c r="H42" s="14" t="s">
        <v>566</v>
      </c>
      <c r="I42" s="14" t="s">
        <v>567</v>
      </c>
      <c r="J42" s="14" t="s">
        <v>395</v>
      </c>
      <c r="K42" s="8" t="n">
        <v>4</v>
      </c>
      <c r="L42" s="8" t="n">
        <v>91</v>
      </c>
      <c r="M42" s="8" t="n">
        <v>3</v>
      </c>
      <c r="N42" s="8" t="n">
        <v>84</v>
      </c>
      <c r="O42" s="8" t="n">
        <v>19</v>
      </c>
      <c r="P42" s="9" t="n">
        <v>139.399120423722</v>
      </c>
      <c r="Q42" s="10" t="n">
        <v>0.0071736464115438</v>
      </c>
      <c r="R42" s="9" t="n">
        <v>41</v>
      </c>
      <c r="S42" s="11" t="n">
        <f aca="false">IF(AND(ISNUMBER(R42),R42&gt;1,P42&gt;0),R42/P42-1,"")</f>
        <v>-0.705880497126702</v>
      </c>
      <c r="T42" s="9" t="n">
        <f aca="false">IF(AND(ISNUMBER(P42),P42&gt;0),P42*EXP('Read me'!$B$22),"")</f>
        <v>170.262470170635</v>
      </c>
    </row>
    <row r="43" customFormat="false" ht="15" hidden="false" customHeight="false" outlineLevel="0" collapsed="false">
      <c r="A43" s="14" t="s">
        <v>104</v>
      </c>
      <c r="B43" s="14" t="s">
        <v>49</v>
      </c>
      <c r="C43" s="14" t="s">
        <v>105</v>
      </c>
      <c r="D43" s="14"/>
      <c r="E43" s="15" t="n">
        <v>5</v>
      </c>
      <c r="F43" s="14" t="s">
        <v>388</v>
      </c>
      <c r="G43" s="8" t="n">
        <v>20</v>
      </c>
      <c r="H43" s="14" t="s">
        <v>568</v>
      </c>
      <c r="I43" s="14" t="s">
        <v>406</v>
      </c>
      <c r="J43" s="14" t="s">
        <v>569</v>
      </c>
      <c r="K43" s="8" t="n">
        <v>15</v>
      </c>
      <c r="L43" s="8" t="n">
        <v>76</v>
      </c>
      <c r="M43" s="8" t="n">
        <v>3</v>
      </c>
      <c r="N43" s="8" t="n">
        <v>100</v>
      </c>
      <c r="O43" s="8" t="n">
        <v>20</v>
      </c>
      <c r="P43" s="9" t="n">
        <v>157.212094486516</v>
      </c>
      <c r="Q43" s="10" t="n">
        <v>0.0063608337721483</v>
      </c>
      <c r="R43" s="9" t="n">
        <v>51</v>
      </c>
      <c r="S43" s="11" t="n">
        <f aca="false">IF(AND(ISNUMBER(R43),R43&gt;1,P43&gt;0),R43/P43-1,"")</f>
        <v>-0.675597477620437</v>
      </c>
      <c r="T43" s="9" t="n">
        <f aca="false">IF(AND(ISNUMBER(P43),P43&gt;0),P43*EXP('Read me'!$B$22),"")</f>
        <v>192.019285821968</v>
      </c>
    </row>
    <row r="44" customFormat="false" ht="15" hidden="false" customHeight="false" outlineLevel="0" collapsed="false">
      <c r="A44" s="14" t="s">
        <v>141</v>
      </c>
      <c r="B44" s="14" t="s">
        <v>49</v>
      </c>
      <c r="C44" s="14" t="s">
        <v>142</v>
      </c>
      <c r="D44" s="14"/>
      <c r="E44" s="15" t="n">
        <v>8</v>
      </c>
      <c r="F44" s="14" t="s">
        <v>388</v>
      </c>
      <c r="G44" s="8" t="n">
        <v>6</v>
      </c>
      <c r="H44" s="14" t="s">
        <v>143</v>
      </c>
      <c r="I44" s="14" t="s">
        <v>144</v>
      </c>
      <c r="J44" s="14" t="s">
        <v>73</v>
      </c>
      <c r="K44" s="8" t="n">
        <v>5</v>
      </c>
      <c r="L44" s="8" t="n">
        <v>0</v>
      </c>
      <c r="M44" s="8" t="n">
        <v>2</v>
      </c>
      <c r="N44" s="8" t="n">
        <v>11</v>
      </c>
      <c r="O44" s="8" t="n">
        <v>1</v>
      </c>
      <c r="P44" s="9" t="n">
        <v>2.43164762533301</v>
      </c>
      <c r="Q44" s="10" t="n">
        <v>0.411243796009733</v>
      </c>
      <c r="R44" s="9" t="n">
        <v>1.83333333333333</v>
      </c>
      <c r="S44" s="11" t="n">
        <f aca="false">IF(AND(ISNUMBER(R44),R44&gt;1,P44&gt;0),R44/P44-1,"")</f>
        <v>-0.246053040648824</v>
      </c>
      <c r="T44" s="9" t="n">
        <f aca="false">IF(AND(ISNUMBER(P44),P44&gt;0),P44*EXP('Read me'!$B$22),"")</f>
        <v>2.97002111645537</v>
      </c>
    </row>
    <row r="45" customFormat="false" ht="15" hidden="false" customHeight="false" outlineLevel="0" collapsed="false">
      <c r="A45" s="14" t="s">
        <v>141</v>
      </c>
      <c r="B45" s="14" t="s">
        <v>49</v>
      </c>
      <c r="C45" s="14" t="s">
        <v>142</v>
      </c>
      <c r="D45" s="14"/>
      <c r="E45" s="15" t="n">
        <v>8</v>
      </c>
      <c r="F45" s="14" t="s">
        <v>388</v>
      </c>
      <c r="G45" s="8" t="n">
        <v>6</v>
      </c>
      <c r="H45" s="14" t="s">
        <v>145</v>
      </c>
      <c r="I45" s="14" t="s">
        <v>171</v>
      </c>
      <c r="J45" s="14" t="s">
        <v>73</v>
      </c>
      <c r="K45" s="8" t="n">
        <v>3</v>
      </c>
      <c r="L45" s="8" t="n">
        <v>101</v>
      </c>
      <c r="M45" s="8" t="n">
        <v>2</v>
      </c>
      <c r="N45" s="8" t="n">
        <v>14</v>
      </c>
      <c r="O45" s="8" t="n">
        <v>2</v>
      </c>
      <c r="P45" s="9" t="n">
        <v>4.51984941589422</v>
      </c>
      <c r="Q45" s="10" t="n">
        <v>0.221246308888845</v>
      </c>
      <c r="R45" s="9" t="n">
        <v>5</v>
      </c>
      <c r="S45" s="11" t="n">
        <f aca="false">IF(AND(ISNUMBER(R45),R45&gt;1,P45&gt;0),R45/P45-1,"")</f>
        <v>0.106231544444226</v>
      </c>
      <c r="T45" s="9" t="n">
        <f aca="false">IF(AND(ISNUMBER(P45),P45&gt;0),P45*EXP('Read me'!$B$22),"")</f>
        <v>5.52055654304184</v>
      </c>
    </row>
    <row r="46" customFormat="false" ht="15" hidden="false" customHeight="false" outlineLevel="0" collapsed="false">
      <c r="A46" s="14" t="s">
        <v>141</v>
      </c>
      <c r="B46" s="14" t="s">
        <v>49</v>
      </c>
      <c r="C46" s="14" t="s">
        <v>142</v>
      </c>
      <c r="D46" s="14"/>
      <c r="E46" s="15" t="n">
        <v>8</v>
      </c>
      <c r="F46" s="14" t="s">
        <v>388</v>
      </c>
      <c r="G46" s="8" t="n">
        <v>6</v>
      </c>
      <c r="H46" s="14" t="s">
        <v>657</v>
      </c>
      <c r="I46" s="14" t="s">
        <v>212</v>
      </c>
      <c r="J46" s="14" t="s">
        <v>213</v>
      </c>
      <c r="K46" s="8" t="n">
        <v>2</v>
      </c>
      <c r="L46" s="8" t="n">
        <v>98</v>
      </c>
      <c r="M46" s="8" t="n">
        <v>2</v>
      </c>
      <c r="N46" s="8" t="n">
        <v>35</v>
      </c>
      <c r="O46" s="8" t="n">
        <v>3</v>
      </c>
      <c r="P46" s="9" t="n">
        <v>5.48449772800948</v>
      </c>
      <c r="Q46" s="10" t="n">
        <v>0.182332102152759</v>
      </c>
      <c r="R46" s="9" t="n">
        <v>5</v>
      </c>
      <c r="S46" s="11" t="n">
        <f aca="false">IF(AND(ISNUMBER(R46),R46&gt;1,P46&gt;0),R46/P46-1,"")</f>
        <v>-0.0883394892362041</v>
      </c>
      <c r="T46" s="9" t="n">
        <f aca="false">IF(AND(ISNUMBER(P46),P46&gt;0),P46*EXP('Read me'!$B$22),"")</f>
        <v>6.69878065211396</v>
      </c>
    </row>
    <row r="47" customFormat="false" ht="15" hidden="false" customHeight="false" outlineLevel="0" collapsed="false">
      <c r="A47" s="14" t="s">
        <v>141</v>
      </c>
      <c r="B47" s="14" t="s">
        <v>49</v>
      </c>
      <c r="C47" s="14" t="s">
        <v>142</v>
      </c>
      <c r="D47" s="14"/>
      <c r="E47" s="15" t="n">
        <v>8</v>
      </c>
      <c r="F47" s="14" t="s">
        <v>388</v>
      </c>
      <c r="G47" s="8" t="n">
        <v>6</v>
      </c>
      <c r="H47" s="14" t="s">
        <v>658</v>
      </c>
      <c r="I47" s="14" t="s">
        <v>397</v>
      </c>
      <c r="J47" s="14" t="s">
        <v>73</v>
      </c>
      <c r="K47" s="8" t="n">
        <v>1</v>
      </c>
      <c r="L47" s="8" t="n">
        <v>90</v>
      </c>
      <c r="M47" s="8" t="n">
        <v>2</v>
      </c>
      <c r="N47" s="8" t="n">
        <v>25</v>
      </c>
      <c r="O47" s="8" t="n">
        <v>4</v>
      </c>
      <c r="P47" s="9" t="n">
        <v>9.63977691358029</v>
      </c>
      <c r="Q47" s="10" t="n">
        <v>0.103736840485512</v>
      </c>
      <c r="R47" s="9" t="n">
        <v>17</v>
      </c>
      <c r="S47" s="11" t="n">
        <f aca="false">IF(AND(ISNUMBER(R47),R47&gt;1,P47&gt;0),R47/P47-1,"")</f>
        <v>0.763526288253705</v>
      </c>
      <c r="T47" s="9" t="n">
        <f aca="false">IF(AND(ISNUMBER(P47),P47&gt;0),P47*EXP('Read me'!$B$22),"")</f>
        <v>11.7740501102957</v>
      </c>
    </row>
    <row r="48" customFormat="false" ht="15" hidden="false" customHeight="false" outlineLevel="0" collapsed="false">
      <c r="A48" s="14" t="s">
        <v>141</v>
      </c>
      <c r="B48" s="14" t="s">
        <v>49</v>
      </c>
      <c r="C48" s="14" t="s">
        <v>142</v>
      </c>
      <c r="D48" s="14"/>
      <c r="E48" s="15" t="n">
        <v>8</v>
      </c>
      <c r="F48" s="14" t="s">
        <v>388</v>
      </c>
      <c r="G48" s="8" t="n">
        <v>6</v>
      </c>
      <c r="H48" s="14" t="s">
        <v>659</v>
      </c>
      <c r="I48" s="14" t="s">
        <v>415</v>
      </c>
      <c r="J48" s="14" t="s">
        <v>53</v>
      </c>
      <c r="K48" s="8" t="n">
        <v>6</v>
      </c>
      <c r="L48" s="8" t="n">
        <v>0</v>
      </c>
      <c r="M48" s="8" t="n">
        <v>2</v>
      </c>
      <c r="N48" s="8" t="n">
        <v>50</v>
      </c>
      <c r="O48" s="8" t="n">
        <v>5</v>
      </c>
      <c r="P48" s="9" t="n">
        <v>18.3593218703962</v>
      </c>
      <c r="Q48" s="10" t="n">
        <v>0.0544682427302756</v>
      </c>
      <c r="R48" s="9" t="n">
        <v>15</v>
      </c>
      <c r="S48" s="11" t="n">
        <f aca="false">IF(AND(ISNUMBER(R48),R48&gt;1,P48&gt;0),R48/P48-1,"")</f>
        <v>-0.182976359045866</v>
      </c>
      <c r="T48" s="9" t="n">
        <f aca="false">IF(AND(ISNUMBER(P48),P48&gt;0),P48*EXP('Read me'!$B$22),"")</f>
        <v>22.4241263704523</v>
      </c>
    </row>
    <row r="49" customFormat="false" ht="15" hidden="false" customHeight="false" outlineLevel="0" collapsed="false">
      <c r="A49" s="14" t="s">
        <v>141</v>
      </c>
      <c r="B49" s="14" t="s">
        <v>49</v>
      </c>
      <c r="C49" s="14" t="s">
        <v>142</v>
      </c>
      <c r="D49" s="14"/>
      <c r="E49" s="15" t="n">
        <v>8</v>
      </c>
      <c r="F49" s="14" t="s">
        <v>388</v>
      </c>
      <c r="G49" s="8" t="n">
        <v>6</v>
      </c>
      <c r="H49" s="14" t="s">
        <v>660</v>
      </c>
      <c r="I49" s="14" t="s">
        <v>52</v>
      </c>
      <c r="J49" s="14" t="s">
        <v>53</v>
      </c>
      <c r="K49" s="8" t="n">
        <v>4</v>
      </c>
      <c r="L49" s="8" t="n">
        <v>0</v>
      </c>
      <c r="M49" s="8" t="n">
        <v>2</v>
      </c>
      <c r="N49" s="8" t="n">
        <v>41</v>
      </c>
      <c r="O49" s="8" t="n">
        <v>6</v>
      </c>
      <c r="P49" s="9" t="n">
        <v>37.0745101216569</v>
      </c>
      <c r="Q49" s="10" t="n">
        <v>0.0269727097328753</v>
      </c>
      <c r="R49" s="9" t="n">
        <v>15</v>
      </c>
      <c r="S49" s="11" t="n">
        <f aca="false">IF(AND(ISNUMBER(R49),R49&gt;1,P49&gt;0),R49/P49-1,"")</f>
        <v>-0.59540935400687</v>
      </c>
      <c r="T49" s="9" t="n">
        <f aca="false">IF(AND(ISNUMBER(P49),P49&gt;0),P49*EXP('Read me'!$B$22),"")</f>
        <v>45.2829089200289</v>
      </c>
    </row>
    <row r="50" customFormat="false" ht="15" hidden="false" customHeight="false" outlineLevel="0" collapsed="false">
      <c r="A50" s="14" t="s">
        <v>168</v>
      </c>
      <c r="B50" s="14" t="s">
        <v>49</v>
      </c>
      <c r="C50" s="14" t="s">
        <v>169</v>
      </c>
      <c r="D50" s="14"/>
      <c r="E50" s="15" t="n">
        <v>7</v>
      </c>
      <c r="F50" s="14" t="s">
        <v>388</v>
      </c>
      <c r="G50" s="8" t="n">
        <v>11</v>
      </c>
      <c r="H50" s="14" t="s">
        <v>170</v>
      </c>
      <c r="I50" s="14" t="s">
        <v>171</v>
      </c>
      <c r="J50" s="14" t="s">
        <v>172</v>
      </c>
      <c r="K50" s="8" t="n">
        <v>8</v>
      </c>
      <c r="L50" s="8" t="n">
        <v>99</v>
      </c>
      <c r="M50" s="8" t="n">
        <v>4</v>
      </c>
      <c r="N50" s="8" t="n">
        <v>14</v>
      </c>
      <c r="O50" s="8" t="n">
        <v>1</v>
      </c>
      <c r="P50" s="9" t="n">
        <v>4.16719240541826</v>
      </c>
      <c r="Q50" s="10" t="n">
        <v>0.239969721268397</v>
      </c>
      <c r="R50" s="9" t="n">
        <v>4.5</v>
      </c>
      <c r="S50" s="11" t="n">
        <f aca="false">IF(AND(ISNUMBER(R50),R50&gt;1,P50&gt;0),R50/P50-1,"")</f>
        <v>0.0798637457077869</v>
      </c>
      <c r="T50" s="9" t="n">
        <f aca="false">IF(AND(ISNUMBER(P50),P50&gt;0),P50*EXP('Read me'!$B$22),"")</f>
        <v>5.08982029776197</v>
      </c>
    </row>
    <row r="51" customFormat="false" ht="15" hidden="false" customHeight="false" outlineLevel="0" collapsed="false">
      <c r="A51" s="14" t="s">
        <v>168</v>
      </c>
      <c r="B51" s="14" t="s">
        <v>49</v>
      </c>
      <c r="C51" s="14" t="s">
        <v>169</v>
      </c>
      <c r="D51" s="14"/>
      <c r="E51" s="15" t="n">
        <v>7</v>
      </c>
      <c r="F51" s="14" t="s">
        <v>388</v>
      </c>
      <c r="G51" s="8" t="n">
        <v>11</v>
      </c>
      <c r="H51" s="14" t="s">
        <v>173</v>
      </c>
      <c r="I51" s="14" t="s">
        <v>394</v>
      </c>
      <c r="J51" s="14" t="s">
        <v>395</v>
      </c>
      <c r="K51" s="8" t="n">
        <v>2</v>
      </c>
      <c r="L51" s="8" t="n">
        <v>95</v>
      </c>
      <c r="M51" s="8" t="n">
        <v>4</v>
      </c>
      <c r="N51" s="8" t="n">
        <v>13</v>
      </c>
      <c r="O51" s="8" t="n">
        <v>2</v>
      </c>
      <c r="P51" s="9" t="n">
        <v>8.88438838013731</v>
      </c>
      <c r="Q51" s="10" t="n">
        <v>0.112556988417535</v>
      </c>
      <c r="R51" s="9" t="n">
        <v>6</v>
      </c>
      <c r="S51" s="11" t="n">
        <f aca="false">IF(AND(ISNUMBER(R51),R51&gt;1,P51&gt;0),R51/P51-1,"")</f>
        <v>-0.324658069494789</v>
      </c>
      <c r="T51" s="9" t="n">
        <f aca="false">IF(AND(ISNUMBER(P51),P51&gt;0),P51*EXP('Read me'!$B$22),"")</f>
        <v>10.8514164720659</v>
      </c>
    </row>
    <row r="52" customFormat="false" ht="15" hidden="false" customHeight="false" outlineLevel="0" collapsed="false">
      <c r="A52" s="14" t="s">
        <v>168</v>
      </c>
      <c r="B52" s="14" t="s">
        <v>49</v>
      </c>
      <c r="C52" s="14" t="s">
        <v>169</v>
      </c>
      <c r="D52" s="14"/>
      <c r="E52" s="15" t="n">
        <v>7</v>
      </c>
      <c r="F52" s="14" t="s">
        <v>388</v>
      </c>
      <c r="G52" s="8" t="n">
        <v>11</v>
      </c>
      <c r="H52" s="14" t="s">
        <v>749</v>
      </c>
      <c r="I52" s="14" t="s">
        <v>78</v>
      </c>
      <c r="J52" s="14" t="s">
        <v>79</v>
      </c>
      <c r="K52" s="8" t="n">
        <v>11</v>
      </c>
      <c r="L52" s="8" t="n">
        <v>74</v>
      </c>
      <c r="M52" s="8" t="n">
        <v>3</v>
      </c>
      <c r="N52" s="8" t="n">
        <v>26</v>
      </c>
      <c r="O52" s="8" t="n">
        <v>3</v>
      </c>
      <c r="P52" s="9" t="n">
        <v>9.18345359307714</v>
      </c>
      <c r="Q52" s="10" t="n">
        <v>0.108891495978576</v>
      </c>
      <c r="R52" s="9" t="n">
        <v>13</v>
      </c>
      <c r="S52" s="11" t="n">
        <f aca="false">IF(AND(ISNUMBER(R52),R52&gt;1,P52&gt;0),R52/P52-1,"")</f>
        <v>0.415589447721491</v>
      </c>
      <c r="T52" s="9" t="n">
        <f aca="false">IF(AND(ISNUMBER(P52),P52&gt;0),P52*EXP('Read me'!$B$22),"")</f>
        <v>11.2166955480203</v>
      </c>
    </row>
    <row r="53" customFormat="false" ht="15" hidden="false" customHeight="false" outlineLevel="0" collapsed="false">
      <c r="A53" s="14" t="s">
        <v>168</v>
      </c>
      <c r="B53" s="14" t="s">
        <v>49</v>
      </c>
      <c r="C53" s="14" t="s">
        <v>169</v>
      </c>
      <c r="D53" s="14"/>
      <c r="E53" s="15" t="n">
        <v>7</v>
      </c>
      <c r="F53" s="14" t="s">
        <v>388</v>
      </c>
      <c r="G53" s="8" t="n">
        <v>11</v>
      </c>
      <c r="H53" s="14" t="s">
        <v>750</v>
      </c>
      <c r="I53" s="14" t="s">
        <v>400</v>
      </c>
      <c r="J53" s="14" t="s">
        <v>536</v>
      </c>
      <c r="K53" s="8" t="n">
        <v>1</v>
      </c>
      <c r="L53" s="8" t="n">
        <v>90</v>
      </c>
      <c r="M53" s="8" t="n">
        <v>7</v>
      </c>
      <c r="N53" s="8" t="n">
        <v>14</v>
      </c>
      <c r="O53" s="8" t="n">
        <v>4</v>
      </c>
      <c r="P53" s="9" t="n">
        <v>10.3644781658091</v>
      </c>
      <c r="Q53" s="10" t="n">
        <v>0.0964833910595573</v>
      </c>
      <c r="R53" s="9" t="n">
        <v>6.5</v>
      </c>
      <c r="S53" s="11" t="n">
        <f aca="false">IF(AND(ISNUMBER(R53),R53&gt;1,P53&gt;0),R53/P53-1,"")</f>
        <v>-0.372857958112877</v>
      </c>
      <c r="T53" s="9" t="n">
        <f aca="false">IF(AND(ISNUMBER(P53),P53&gt;0),P53*EXP('Read me'!$B$22),"")</f>
        <v>12.6592022186101</v>
      </c>
    </row>
    <row r="54" customFormat="false" ht="15" hidden="false" customHeight="false" outlineLevel="0" collapsed="false">
      <c r="A54" s="14" t="s">
        <v>168</v>
      </c>
      <c r="B54" s="14" t="s">
        <v>49</v>
      </c>
      <c r="C54" s="14" t="s">
        <v>169</v>
      </c>
      <c r="D54" s="14"/>
      <c r="E54" s="15" t="n">
        <v>7</v>
      </c>
      <c r="F54" s="14" t="s">
        <v>388</v>
      </c>
      <c r="G54" s="8" t="n">
        <v>11</v>
      </c>
      <c r="H54" s="14" t="s">
        <v>751</v>
      </c>
      <c r="I54" s="14" t="s">
        <v>107</v>
      </c>
      <c r="J54" s="14" t="s">
        <v>538</v>
      </c>
      <c r="K54" s="8" t="n">
        <v>9</v>
      </c>
      <c r="L54" s="8" t="n">
        <v>87</v>
      </c>
      <c r="M54" s="8" t="n">
        <v>4</v>
      </c>
      <c r="N54" s="8" t="n">
        <v>13</v>
      </c>
      <c r="O54" s="8" t="n">
        <v>5</v>
      </c>
      <c r="P54" s="9" t="n">
        <v>10.6079267034909</v>
      </c>
      <c r="Q54" s="10" t="n">
        <v>0.0942691279786949</v>
      </c>
      <c r="R54" s="9" t="n">
        <v>6</v>
      </c>
      <c r="S54" s="11" t="n">
        <f aca="false">IF(AND(ISNUMBER(R54),R54&gt;1,P54&gt;0),R54/P54-1,"")</f>
        <v>-0.43438523212783</v>
      </c>
      <c r="T54" s="9" t="n">
        <f aca="false">IF(AND(ISNUMBER(P54),P54&gt;0),P54*EXP('Read me'!$B$22),"")</f>
        <v>12.9565509340047</v>
      </c>
    </row>
    <row r="55" customFormat="false" ht="15" hidden="false" customHeight="false" outlineLevel="0" collapsed="false">
      <c r="A55" s="14" t="s">
        <v>168</v>
      </c>
      <c r="B55" s="14" t="s">
        <v>49</v>
      </c>
      <c r="C55" s="14" t="s">
        <v>169</v>
      </c>
      <c r="D55" s="14"/>
      <c r="E55" s="15" t="n">
        <v>7</v>
      </c>
      <c r="F55" s="14" t="s">
        <v>388</v>
      </c>
      <c r="G55" s="8" t="n">
        <v>11</v>
      </c>
      <c r="H55" s="14" t="s">
        <v>752</v>
      </c>
      <c r="I55" s="14" t="s">
        <v>531</v>
      </c>
      <c r="J55" s="14" t="s">
        <v>532</v>
      </c>
      <c r="K55" s="8" t="n">
        <v>6</v>
      </c>
      <c r="L55" s="8" t="n">
        <v>88</v>
      </c>
      <c r="M55" s="8" t="n">
        <v>5</v>
      </c>
      <c r="N55" s="8" t="n">
        <v>7</v>
      </c>
      <c r="O55" s="8" t="n">
        <v>6</v>
      </c>
      <c r="P55" s="9" t="n">
        <v>12.827323376938</v>
      </c>
      <c r="Q55" s="10" t="n">
        <v>0.0779585865744898</v>
      </c>
      <c r="R55" s="9" t="n">
        <v>12</v>
      </c>
      <c r="S55" s="11" t="n">
        <f aca="false">IF(AND(ISNUMBER(R55),R55&gt;1,P55&gt;0),R55/P55-1,"")</f>
        <v>-0.0644969611061227</v>
      </c>
      <c r="T55" s="9" t="n">
        <f aca="false">IF(AND(ISNUMBER(P55),P55&gt;0),P55*EXP('Read me'!$B$22),"")</f>
        <v>15.6673281524045</v>
      </c>
    </row>
    <row r="56" customFormat="false" ht="15" hidden="false" customHeight="false" outlineLevel="0" collapsed="false">
      <c r="A56" s="14" t="s">
        <v>168</v>
      </c>
      <c r="B56" s="14" t="s">
        <v>49</v>
      </c>
      <c r="C56" s="14" t="s">
        <v>169</v>
      </c>
      <c r="D56" s="14"/>
      <c r="E56" s="15" t="n">
        <v>7</v>
      </c>
      <c r="F56" s="14" t="s">
        <v>388</v>
      </c>
      <c r="G56" s="8" t="n">
        <v>11</v>
      </c>
      <c r="H56" s="14" t="s">
        <v>753</v>
      </c>
      <c r="I56" s="14" t="s">
        <v>412</v>
      </c>
      <c r="J56" s="14" t="s">
        <v>754</v>
      </c>
      <c r="K56" s="8" t="n">
        <v>3</v>
      </c>
      <c r="L56" s="8" t="n">
        <v>79</v>
      </c>
      <c r="M56" s="8" t="n">
        <v>3</v>
      </c>
      <c r="N56" s="8" t="n">
        <v>37</v>
      </c>
      <c r="O56" s="8" t="n">
        <v>7</v>
      </c>
      <c r="P56" s="9" t="n">
        <v>12.9022157383496</v>
      </c>
      <c r="Q56" s="10" t="n">
        <v>0.0775060671964792</v>
      </c>
      <c r="R56" s="9" t="n">
        <v>13</v>
      </c>
      <c r="S56" s="11" t="n">
        <f aca="false">IF(AND(ISNUMBER(R56),R56&gt;1,P56&gt;0),R56/P56-1,"")</f>
        <v>0.00757887355423104</v>
      </c>
      <c r="T56" s="9" t="n">
        <f aca="false">IF(AND(ISNUMBER(P56),P56&gt;0),P56*EXP('Read me'!$B$22),"")</f>
        <v>15.7588018891978</v>
      </c>
    </row>
    <row r="57" customFormat="false" ht="15" hidden="false" customHeight="false" outlineLevel="0" collapsed="false">
      <c r="A57" s="14" t="s">
        <v>168</v>
      </c>
      <c r="B57" s="14" t="s">
        <v>49</v>
      </c>
      <c r="C57" s="14" t="s">
        <v>169</v>
      </c>
      <c r="D57" s="14"/>
      <c r="E57" s="15" t="n">
        <v>7</v>
      </c>
      <c r="F57" s="14" t="s">
        <v>388</v>
      </c>
      <c r="G57" s="8" t="n">
        <v>11</v>
      </c>
      <c r="H57" s="14" t="s">
        <v>755</v>
      </c>
      <c r="I57" s="14" t="s">
        <v>212</v>
      </c>
      <c r="J57" s="14" t="s">
        <v>561</v>
      </c>
      <c r="K57" s="8" t="n">
        <v>5</v>
      </c>
      <c r="L57" s="8" t="n">
        <v>87</v>
      </c>
      <c r="M57" s="8" t="n">
        <v>4</v>
      </c>
      <c r="N57" s="8" t="n">
        <v>13</v>
      </c>
      <c r="O57" s="8" t="n">
        <v>8</v>
      </c>
      <c r="P57" s="9" t="n">
        <v>13.761690943084</v>
      </c>
      <c r="Q57" s="10" t="n">
        <v>0.0726654888658542</v>
      </c>
      <c r="R57" s="9" t="n">
        <v>8.5</v>
      </c>
      <c r="S57" s="11" t="n">
        <f aca="false">IF(AND(ISNUMBER(R57),R57&gt;1,P57&gt;0),R57/P57-1,"")</f>
        <v>-0.382343344640239</v>
      </c>
      <c r="T57" s="9" t="n">
        <f aca="false">IF(AND(ISNUMBER(P57),P57&gt;0),P57*EXP('Read me'!$B$22),"")</f>
        <v>16.8085672748307</v>
      </c>
    </row>
    <row r="58" customFormat="false" ht="15" hidden="false" customHeight="false" outlineLevel="0" collapsed="false">
      <c r="A58" s="14" t="s">
        <v>168</v>
      </c>
      <c r="B58" s="14" t="s">
        <v>49</v>
      </c>
      <c r="C58" s="14" t="s">
        <v>169</v>
      </c>
      <c r="D58" s="14"/>
      <c r="E58" s="15" t="n">
        <v>7</v>
      </c>
      <c r="F58" s="14" t="s">
        <v>388</v>
      </c>
      <c r="G58" s="8" t="n">
        <v>11</v>
      </c>
      <c r="H58" s="14" t="s">
        <v>756</v>
      </c>
      <c r="I58" s="14" t="s">
        <v>415</v>
      </c>
      <c r="J58" s="14" t="s">
        <v>532</v>
      </c>
      <c r="K58" s="8" t="n">
        <v>10</v>
      </c>
      <c r="L58" s="8" t="n">
        <v>79</v>
      </c>
      <c r="M58" s="8" t="n">
        <v>5</v>
      </c>
      <c r="N58" s="8" t="n">
        <v>4</v>
      </c>
      <c r="O58" s="8" t="n">
        <v>9</v>
      </c>
      <c r="P58" s="9" t="n">
        <v>14.3995225817761</v>
      </c>
      <c r="Q58" s="10" t="n">
        <v>0.0694467468848997</v>
      </c>
      <c r="R58" s="9" t="n">
        <v>12</v>
      </c>
      <c r="S58" s="11" t="n">
        <f aca="false">IF(AND(ISNUMBER(R58),R58&gt;1,P58&gt;0),R58/P58-1,"")</f>
        <v>-0.166639037381203</v>
      </c>
      <c r="T58" s="9" t="n">
        <f aca="false">IF(AND(ISNUMBER(P58),P58&gt;0),P58*EXP('Read me'!$B$22),"")</f>
        <v>17.5876165975709</v>
      </c>
    </row>
    <row r="59" customFormat="false" ht="15" hidden="false" customHeight="false" outlineLevel="0" collapsed="false">
      <c r="A59" s="14" t="s">
        <v>168</v>
      </c>
      <c r="B59" s="14" t="s">
        <v>49</v>
      </c>
      <c r="C59" s="14" t="s">
        <v>169</v>
      </c>
      <c r="D59" s="14"/>
      <c r="E59" s="15" t="n">
        <v>7</v>
      </c>
      <c r="F59" s="14" t="s">
        <v>388</v>
      </c>
      <c r="G59" s="8" t="n">
        <v>11</v>
      </c>
      <c r="H59" s="14" t="s">
        <v>757</v>
      </c>
      <c r="I59" s="14" t="s">
        <v>252</v>
      </c>
      <c r="J59" s="14" t="s">
        <v>545</v>
      </c>
      <c r="K59" s="8" t="n">
        <v>7</v>
      </c>
      <c r="L59" s="8" t="n">
        <v>80</v>
      </c>
      <c r="M59" s="8" t="n">
        <v>4</v>
      </c>
      <c r="N59" s="8" t="n">
        <v>5</v>
      </c>
      <c r="O59" s="8" t="n">
        <v>10</v>
      </c>
      <c r="P59" s="9" t="n">
        <v>31.9477165759997</v>
      </c>
      <c r="Q59" s="10" t="n">
        <v>0.031301141589294</v>
      </c>
      <c r="R59" s="9" t="n">
        <v>26</v>
      </c>
      <c r="S59" s="11" t="n">
        <f aca="false">IF(AND(ISNUMBER(R59),R59&gt;1,P59&gt;0),R59/P59-1,"")</f>
        <v>-0.186170318678356</v>
      </c>
      <c r="T59" s="9" t="n">
        <f aca="false">IF(AND(ISNUMBER(P59),P59&gt;0),P59*EXP('Read me'!$B$22),"")</f>
        <v>39.0210291428454</v>
      </c>
    </row>
    <row r="60" customFormat="false" ht="15" hidden="false" customHeight="false" outlineLevel="0" collapsed="false">
      <c r="A60" s="14" t="s">
        <v>168</v>
      </c>
      <c r="B60" s="14" t="s">
        <v>49</v>
      </c>
      <c r="C60" s="14" t="s">
        <v>169</v>
      </c>
      <c r="D60" s="14"/>
      <c r="E60" s="15" t="n">
        <v>7</v>
      </c>
      <c r="F60" s="14" t="s">
        <v>388</v>
      </c>
      <c r="G60" s="8" t="n">
        <v>11</v>
      </c>
      <c r="H60" s="14" t="s">
        <v>758</v>
      </c>
      <c r="I60" s="14" t="s">
        <v>466</v>
      </c>
      <c r="J60" s="14" t="s">
        <v>759</v>
      </c>
      <c r="K60" s="8" t="n">
        <v>4</v>
      </c>
      <c r="L60" s="8" t="n">
        <v>86</v>
      </c>
      <c r="M60" s="8" t="n">
        <v>5</v>
      </c>
      <c r="N60" s="8" t="n">
        <v>106</v>
      </c>
      <c r="O60" s="8" t="n">
        <v>11</v>
      </c>
      <c r="P60" s="9" t="n">
        <v>52.7669840657226</v>
      </c>
      <c r="Q60" s="10" t="n">
        <v>0.018951244186222</v>
      </c>
      <c r="R60" s="9" t="n">
        <v>17</v>
      </c>
      <c r="S60" s="11" t="n">
        <f aca="false">IF(AND(ISNUMBER(R60),R60&gt;1,P60&gt;0),R60/P60-1,"")</f>
        <v>-0.677828848834224</v>
      </c>
      <c r="T60" s="9" t="n">
        <f aca="false">IF(AND(ISNUMBER(P60),P60&gt;0),P60*EXP('Read me'!$B$22),"")</f>
        <v>64.4497398776674</v>
      </c>
    </row>
    <row r="61" customFormat="false" ht="15" hidden="false" customHeight="false" outlineLevel="0" collapsed="false">
      <c r="A61" s="14" t="s">
        <v>209</v>
      </c>
      <c r="B61" s="14" t="s">
        <v>49</v>
      </c>
      <c r="C61" s="14" t="s">
        <v>210</v>
      </c>
      <c r="D61" s="14"/>
      <c r="E61" s="15" t="n">
        <v>7</v>
      </c>
      <c r="F61" s="14" t="s">
        <v>388</v>
      </c>
      <c r="G61" s="8" t="n">
        <v>19</v>
      </c>
      <c r="H61" s="14" t="s">
        <v>211</v>
      </c>
      <c r="I61" s="14" t="s">
        <v>212</v>
      </c>
      <c r="J61" s="14" t="s">
        <v>213</v>
      </c>
      <c r="K61" s="8" t="n">
        <v>18</v>
      </c>
      <c r="L61" s="8" t="n">
        <v>104</v>
      </c>
      <c r="M61" s="8" t="n">
        <v>2</v>
      </c>
      <c r="N61" s="8" t="n">
        <v>13</v>
      </c>
      <c r="O61" s="8" t="n">
        <v>1</v>
      </c>
      <c r="P61" s="9" t="n">
        <v>4.71070076423076</v>
      </c>
      <c r="Q61" s="10" t="n">
        <v>0.212282641171604</v>
      </c>
      <c r="R61" s="9" t="n">
        <v>3.75</v>
      </c>
      <c r="S61" s="11" t="n">
        <f aca="false">IF(AND(ISNUMBER(R61),R61&gt;1,P61&gt;0),R61/P61-1,"")</f>
        <v>-0.203940095606484</v>
      </c>
      <c r="T61" s="9" t="n">
        <f aca="false">IF(AND(ISNUMBER(P61),P61&gt;0),P61*EXP('Read me'!$B$22),"")</f>
        <v>5.75366290629867</v>
      </c>
    </row>
    <row r="62" customFormat="false" ht="15" hidden="false" customHeight="false" outlineLevel="0" collapsed="false">
      <c r="A62" s="14" t="s">
        <v>209</v>
      </c>
      <c r="B62" s="14" t="s">
        <v>49</v>
      </c>
      <c r="C62" s="14" t="s">
        <v>210</v>
      </c>
      <c r="D62" s="14"/>
      <c r="E62" s="15" t="n">
        <v>7</v>
      </c>
      <c r="F62" s="14" t="s">
        <v>388</v>
      </c>
      <c r="G62" s="8" t="n">
        <v>19</v>
      </c>
      <c r="H62" s="14" t="s">
        <v>214</v>
      </c>
      <c r="I62" s="14" t="s">
        <v>415</v>
      </c>
      <c r="J62" s="14" t="s">
        <v>53</v>
      </c>
      <c r="K62" s="8" t="n">
        <v>6</v>
      </c>
      <c r="L62" s="8" t="n">
        <v>103</v>
      </c>
      <c r="M62" s="8" t="n">
        <v>2</v>
      </c>
      <c r="N62" s="8" t="n">
        <v>14</v>
      </c>
      <c r="O62" s="8" t="n">
        <v>2</v>
      </c>
      <c r="P62" s="9" t="n">
        <v>7.79278267838183</v>
      </c>
      <c r="Q62" s="10" t="n">
        <v>0.128323865975902</v>
      </c>
      <c r="R62" s="9" t="n">
        <v>5.5</v>
      </c>
      <c r="S62" s="11" t="n">
        <f aca="false">IF(AND(ISNUMBER(R62),R62&gt;1,P62&gt;0),R62/P62-1,"")</f>
        <v>-0.294218737132539</v>
      </c>
      <c r="T62" s="9" t="n">
        <f aca="false">IF(AND(ISNUMBER(P62),P62&gt;0),P62*EXP('Read me'!$B$22),"")</f>
        <v>9.51812625711836</v>
      </c>
    </row>
    <row r="63" customFormat="false" ht="15" hidden="false" customHeight="false" outlineLevel="0" collapsed="false">
      <c r="A63" s="14" t="s">
        <v>209</v>
      </c>
      <c r="B63" s="14" t="s">
        <v>49</v>
      </c>
      <c r="C63" s="14" t="s">
        <v>210</v>
      </c>
      <c r="D63" s="14"/>
      <c r="E63" s="15" t="n">
        <v>7</v>
      </c>
      <c r="F63" s="14" t="s">
        <v>388</v>
      </c>
      <c r="G63" s="8" t="n">
        <v>19</v>
      </c>
      <c r="H63" s="14" t="s">
        <v>851</v>
      </c>
      <c r="I63" s="14" t="s">
        <v>852</v>
      </c>
      <c r="J63" s="14" t="s">
        <v>501</v>
      </c>
      <c r="K63" s="8" t="n">
        <v>9</v>
      </c>
      <c r="L63" s="8" t="n">
        <v>95</v>
      </c>
      <c r="M63" s="8" t="n">
        <v>2</v>
      </c>
      <c r="N63" s="8" t="n">
        <v>16</v>
      </c>
      <c r="O63" s="8" t="n">
        <v>3</v>
      </c>
      <c r="P63" s="9" t="n">
        <v>9.99993829625168</v>
      </c>
      <c r="Q63" s="10" t="n">
        <v>0.100000617041291</v>
      </c>
      <c r="R63" s="9" t="n">
        <v>12</v>
      </c>
      <c r="S63" s="11" t="n">
        <f aca="false">IF(AND(ISNUMBER(R63),R63&gt;1,P63&gt;0),R63/P63-1,"")</f>
        <v>0.200007404495487</v>
      </c>
      <c r="T63" s="9" t="n">
        <f aca="false">IF(AND(ISNUMBER(P63),P63&gt;0),P63*EXP('Read me'!$B$22),"")</f>
        <v>12.2139522164733</v>
      </c>
    </row>
    <row r="64" customFormat="false" ht="15" hidden="false" customHeight="false" outlineLevel="0" collapsed="false">
      <c r="A64" s="14" t="s">
        <v>209</v>
      </c>
      <c r="B64" s="14" t="s">
        <v>49</v>
      </c>
      <c r="C64" s="14" t="s">
        <v>210</v>
      </c>
      <c r="D64" s="14"/>
      <c r="E64" s="15" t="n">
        <v>7</v>
      </c>
      <c r="F64" s="14" t="s">
        <v>388</v>
      </c>
      <c r="G64" s="8" t="n">
        <v>19</v>
      </c>
      <c r="H64" s="14" t="s">
        <v>853</v>
      </c>
      <c r="I64" s="14" t="s">
        <v>171</v>
      </c>
      <c r="J64" s="14" t="s">
        <v>389</v>
      </c>
      <c r="K64" s="8" t="n">
        <v>3</v>
      </c>
      <c r="L64" s="8" t="n">
        <v>0</v>
      </c>
      <c r="M64" s="8" t="n">
        <v>2</v>
      </c>
      <c r="N64" s="8"/>
      <c r="O64" s="8" t="n">
        <v>4</v>
      </c>
      <c r="P64" s="9" t="n">
        <v>11.9802793723608</v>
      </c>
      <c r="Q64" s="10" t="n">
        <v>0.0834705075665482</v>
      </c>
      <c r="R64" s="9" t="n">
        <v>19</v>
      </c>
      <c r="S64" s="11" t="n">
        <f aca="false">IF(AND(ISNUMBER(R64),R64&gt;1,P64&gt;0),R64/P64-1,"")</f>
        <v>0.585939643764416</v>
      </c>
      <c r="T64" s="9" t="n">
        <f aca="false">IF(AND(ISNUMBER(P64),P64&gt;0),P64*EXP('Read me'!$B$22),"")</f>
        <v>14.6327462689308</v>
      </c>
    </row>
    <row r="65" customFormat="false" ht="15" hidden="false" customHeight="false" outlineLevel="0" collapsed="false">
      <c r="A65" s="14" t="s">
        <v>209</v>
      </c>
      <c r="B65" s="14" t="s">
        <v>49</v>
      </c>
      <c r="C65" s="14" t="s">
        <v>210</v>
      </c>
      <c r="D65" s="14"/>
      <c r="E65" s="15" t="n">
        <v>7</v>
      </c>
      <c r="F65" s="14" t="s">
        <v>388</v>
      </c>
      <c r="G65" s="8" t="n">
        <v>19</v>
      </c>
      <c r="H65" s="14" t="s">
        <v>854</v>
      </c>
      <c r="I65" s="14" t="s">
        <v>394</v>
      </c>
      <c r="J65" s="14" t="s">
        <v>582</v>
      </c>
      <c r="K65" s="8" t="n">
        <v>13</v>
      </c>
      <c r="L65" s="8" t="n">
        <v>93</v>
      </c>
      <c r="M65" s="8" t="n">
        <v>2</v>
      </c>
      <c r="N65" s="8" t="n">
        <v>27</v>
      </c>
      <c r="O65" s="8" t="n">
        <v>5</v>
      </c>
      <c r="P65" s="9" t="n">
        <v>12.4613877397414</v>
      </c>
      <c r="Q65" s="10" t="n">
        <v>0.0802478841751179</v>
      </c>
      <c r="R65" s="9" t="n">
        <v>9</v>
      </c>
      <c r="S65" s="11" t="n">
        <f aca="false">IF(AND(ISNUMBER(R65),R65&gt;1,P65&gt;0),R65/P65-1,"")</f>
        <v>-0.277769042423938</v>
      </c>
      <c r="T65" s="9" t="n">
        <f aca="false">IF(AND(ISNUMBER(P65),P65&gt;0),P65*EXP('Read me'!$B$22),"")</f>
        <v>15.2203733558234</v>
      </c>
    </row>
    <row r="66" customFormat="false" ht="15" hidden="false" customHeight="false" outlineLevel="0" collapsed="false">
      <c r="A66" s="14" t="s">
        <v>209</v>
      </c>
      <c r="B66" s="14" t="s">
        <v>49</v>
      </c>
      <c r="C66" s="14" t="s">
        <v>210</v>
      </c>
      <c r="D66" s="14"/>
      <c r="E66" s="15" t="n">
        <v>7</v>
      </c>
      <c r="F66" s="14" t="s">
        <v>388</v>
      </c>
      <c r="G66" s="8" t="n">
        <v>19</v>
      </c>
      <c r="H66" s="14" t="s">
        <v>855</v>
      </c>
      <c r="I66" s="14" t="s">
        <v>52</v>
      </c>
      <c r="J66" s="14" t="s">
        <v>53</v>
      </c>
      <c r="K66" s="8" t="n">
        <v>20</v>
      </c>
      <c r="L66" s="8" t="n">
        <v>102</v>
      </c>
      <c r="M66" s="8" t="n">
        <v>2</v>
      </c>
      <c r="N66" s="8" t="n">
        <v>48</v>
      </c>
      <c r="O66" s="8" t="n">
        <v>6</v>
      </c>
      <c r="P66" s="9" t="n">
        <v>14.6339308649034</v>
      </c>
      <c r="Q66" s="10" t="n">
        <v>0.0683343395039746</v>
      </c>
      <c r="R66" s="9" t="n">
        <v>9.5</v>
      </c>
      <c r="S66" s="11" t="n">
        <f aca="false">IF(AND(ISNUMBER(R66),R66&gt;1,P66&gt;0),R66/P66-1,"")</f>
        <v>-0.350823774712241</v>
      </c>
      <c r="T66" s="9" t="n">
        <f aca="false">IF(AND(ISNUMBER(P66),P66&gt;0),P66*EXP('Read me'!$B$22),"")</f>
        <v>17.8739235211182</v>
      </c>
    </row>
    <row r="67" customFormat="false" ht="15" hidden="false" customHeight="false" outlineLevel="0" collapsed="false">
      <c r="A67" s="14" t="s">
        <v>209</v>
      </c>
      <c r="B67" s="14" t="s">
        <v>49</v>
      </c>
      <c r="C67" s="14" t="s">
        <v>210</v>
      </c>
      <c r="D67" s="14"/>
      <c r="E67" s="15" t="n">
        <v>7</v>
      </c>
      <c r="F67" s="14" t="s">
        <v>388</v>
      </c>
      <c r="G67" s="8" t="n">
        <v>19</v>
      </c>
      <c r="H67" s="14" t="s">
        <v>856</v>
      </c>
      <c r="I67" s="14" t="s">
        <v>144</v>
      </c>
      <c r="J67" s="14" t="s">
        <v>73</v>
      </c>
      <c r="K67" s="8" t="n">
        <v>10</v>
      </c>
      <c r="L67" s="8" t="n">
        <v>110</v>
      </c>
      <c r="M67" s="8" t="n">
        <v>2</v>
      </c>
      <c r="N67" s="8" t="n">
        <v>15</v>
      </c>
      <c r="O67" s="8" t="n">
        <v>7</v>
      </c>
      <c r="P67" s="9" t="n">
        <v>20.6719166691575</v>
      </c>
      <c r="Q67" s="10" t="n">
        <v>0.0483748080066518</v>
      </c>
      <c r="R67" s="9" t="n">
        <v>8.5</v>
      </c>
      <c r="S67" s="11" t="n">
        <f aca="false">IF(AND(ISNUMBER(R67),R67&gt;1,P67&gt;0),R67/P67-1,"")</f>
        <v>-0.588814131943459</v>
      </c>
      <c r="T67" s="9" t="n">
        <f aca="false">IF(AND(ISNUMBER(P67),P67&gt;0),P67*EXP('Read me'!$B$22),"")</f>
        <v>25.2487360361662</v>
      </c>
    </row>
    <row r="68" customFormat="false" ht="15" hidden="false" customHeight="false" outlineLevel="0" collapsed="false">
      <c r="A68" s="14" t="s">
        <v>209</v>
      </c>
      <c r="B68" s="14" t="s">
        <v>49</v>
      </c>
      <c r="C68" s="14" t="s">
        <v>210</v>
      </c>
      <c r="D68" s="14"/>
      <c r="E68" s="15" t="n">
        <v>7</v>
      </c>
      <c r="F68" s="14" t="s">
        <v>388</v>
      </c>
      <c r="G68" s="8" t="n">
        <v>19</v>
      </c>
      <c r="H68" s="14" t="s">
        <v>857</v>
      </c>
      <c r="I68" s="14" t="s">
        <v>391</v>
      </c>
      <c r="J68" s="14" t="s">
        <v>392</v>
      </c>
      <c r="K68" s="8" t="n">
        <v>12</v>
      </c>
      <c r="L68" s="8" t="n">
        <v>100</v>
      </c>
      <c r="M68" s="8" t="n">
        <v>2</v>
      </c>
      <c r="N68" s="8" t="n">
        <v>13</v>
      </c>
      <c r="O68" s="8" t="n">
        <v>8</v>
      </c>
      <c r="P68" s="9" t="n">
        <v>26.3415475563974</v>
      </c>
      <c r="Q68" s="10" t="n">
        <v>0.0379628416993722</v>
      </c>
      <c r="R68" s="9" t="n">
        <v>12</v>
      </c>
      <c r="S68" s="11" t="n">
        <f aca="false">IF(AND(ISNUMBER(R68),R68&gt;1,P68&gt;0),R68/P68-1,"")</f>
        <v>-0.544445899607534</v>
      </c>
      <c r="T68" s="9" t="n">
        <f aca="false">IF(AND(ISNUMBER(P68),P68&gt;0),P68*EXP('Read me'!$B$22),"")</f>
        <v>32.1736388395911</v>
      </c>
    </row>
    <row r="69" customFormat="false" ht="15" hidden="false" customHeight="false" outlineLevel="0" collapsed="false">
      <c r="A69" s="14" t="s">
        <v>209</v>
      </c>
      <c r="B69" s="14" t="s">
        <v>49</v>
      </c>
      <c r="C69" s="14" t="s">
        <v>210</v>
      </c>
      <c r="D69" s="14"/>
      <c r="E69" s="15" t="n">
        <v>7</v>
      </c>
      <c r="F69" s="14" t="s">
        <v>388</v>
      </c>
      <c r="G69" s="8" t="n">
        <v>19</v>
      </c>
      <c r="H69" s="14" t="s">
        <v>858</v>
      </c>
      <c r="I69" s="14" t="s">
        <v>859</v>
      </c>
      <c r="J69" s="14" t="s">
        <v>73</v>
      </c>
      <c r="K69" s="8" t="n">
        <v>17</v>
      </c>
      <c r="L69" s="8" t="n">
        <v>0</v>
      </c>
      <c r="M69" s="8" t="n">
        <v>2</v>
      </c>
      <c r="N69" s="8" t="n">
        <v>41</v>
      </c>
      <c r="O69" s="8" t="n">
        <v>9</v>
      </c>
      <c r="P69" s="9" t="n">
        <v>27.4985245433781</v>
      </c>
      <c r="Q69" s="10" t="n">
        <v>0.0363655874853405</v>
      </c>
      <c r="R69" s="9" t="n">
        <v>26</v>
      </c>
      <c r="S69" s="11" t="n">
        <f aca="false">IF(AND(ISNUMBER(R69),R69&gt;1,P69&gt;0),R69/P69-1,"")</f>
        <v>-0.0544947253811445</v>
      </c>
      <c r="T69" s="9" t="n">
        <f aca="false">IF(AND(ISNUMBER(P69),P69&gt;0),P69*EXP('Read me'!$B$22),"")</f>
        <v>33.5867737226171</v>
      </c>
    </row>
    <row r="70" customFormat="false" ht="15" hidden="false" customHeight="false" outlineLevel="0" collapsed="false">
      <c r="A70" s="14" t="s">
        <v>209</v>
      </c>
      <c r="B70" s="14" t="s">
        <v>49</v>
      </c>
      <c r="C70" s="14" t="s">
        <v>210</v>
      </c>
      <c r="D70" s="14"/>
      <c r="E70" s="15" t="n">
        <v>7</v>
      </c>
      <c r="F70" s="14" t="s">
        <v>388</v>
      </c>
      <c r="G70" s="8" t="n">
        <v>19</v>
      </c>
      <c r="H70" s="14" t="s">
        <v>860</v>
      </c>
      <c r="I70" s="14" t="s">
        <v>861</v>
      </c>
      <c r="J70" s="14" t="s">
        <v>46</v>
      </c>
      <c r="K70" s="8" t="n">
        <v>5</v>
      </c>
      <c r="L70" s="8" t="n">
        <v>89</v>
      </c>
      <c r="M70" s="8" t="n">
        <v>2</v>
      </c>
      <c r="N70" s="8" t="n">
        <v>23</v>
      </c>
      <c r="O70" s="8" t="n">
        <v>10</v>
      </c>
      <c r="P70" s="9" t="n">
        <v>29.067045075923</v>
      </c>
      <c r="Q70" s="10" t="n">
        <v>0.0344032218406791</v>
      </c>
      <c r="R70" s="9" t="n">
        <v>34</v>
      </c>
      <c r="S70" s="11" t="n">
        <f aca="false">IF(AND(ISNUMBER(R70),R70&gt;1,P70&gt;0),R70/P70-1,"")</f>
        <v>0.169709542583092</v>
      </c>
      <c r="T70" s="9" t="n">
        <f aca="false">IF(AND(ISNUMBER(P70),P70&gt;0),P70*EXP('Read me'!$B$22),"")</f>
        <v>35.5025690272983</v>
      </c>
    </row>
    <row r="71" customFormat="false" ht="15" hidden="false" customHeight="false" outlineLevel="0" collapsed="false">
      <c r="A71" s="14" t="s">
        <v>209</v>
      </c>
      <c r="B71" s="14" t="s">
        <v>49</v>
      </c>
      <c r="C71" s="14" t="s">
        <v>210</v>
      </c>
      <c r="D71" s="14"/>
      <c r="E71" s="15" t="n">
        <v>7</v>
      </c>
      <c r="F71" s="14" t="s">
        <v>388</v>
      </c>
      <c r="G71" s="8" t="n">
        <v>19</v>
      </c>
      <c r="H71" s="14" t="s">
        <v>862</v>
      </c>
      <c r="I71" s="14" t="s">
        <v>863</v>
      </c>
      <c r="J71" s="14" t="s">
        <v>213</v>
      </c>
      <c r="K71" s="8" t="n">
        <v>19</v>
      </c>
      <c r="L71" s="8" t="n">
        <v>86</v>
      </c>
      <c r="M71" s="8" t="n">
        <v>2</v>
      </c>
      <c r="N71" s="8" t="n">
        <v>52</v>
      </c>
      <c r="O71" s="8" t="n">
        <v>11</v>
      </c>
      <c r="P71" s="9" t="n">
        <v>32.5233319431822</v>
      </c>
      <c r="Q71" s="10" t="n">
        <v>0.030747157202312</v>
      </c>
      <c r="R71" s="9" t="n">
        <v>29</v>
      </c>
      <c r="S71" s="11" t="n">
        <f aca="false">IF(AND(ISNUMBER(R71),R71&gt;1,P71&gt;0),R71/P71-1,"")</f>
        <v>-0.10833244113295</v>
      </c>
      <c r="T71" s="9" t="n">
        <f aca="false">IF(AND(ISNUMBER(P71),P71&gt;0),P71*EXP('Read me'!$B$22),"")</f>
        <v>39.7240873399615</v>
      </c>
    </row>
    <row r="72" customFormat="false" ht="15" hidden="false" customHeight="false" outlineLevel="0" collapsed="false">
      <c r="A72" s="14" t="s">
        <v>209</v>
      </c>
      <c r="B72" s="14" t="s">
        <v>49</v>
      </c>
      <c r="C72" s="14" t="s">
        <v>210</v>
      </c>
      <c r="D72" s="14"/>
      <c r="E72" s="15" t="n">
        <v>7</v>
      </c>
      <c r="F72" s="14" t="s">
        <v>388</v>
      </c>
      <c r="G72" s="8" t="n">
        <v>19</v>
      </c>
      <c r="H72" s="14" t="s">
        <v>864</v>
      </c>
      <c r="I72" s="14" t="s">
        <v>403</v>
      </c>
      <c r="J72" s="14" t="s">
        <v>555</v>
      </c>
      <c r="K72" s="8" t="n">
        <v>15</v>
      </c>
      <c r="L72" s="8" t="n">
        <v>0</v>
      </c>
      <c r="M72" s="8" t="n">
        <v>2</v>
      </c>
      <c r="N72" s="8" t="n">
        <v>48</v>
      </c>
      <c r="O72" s="8" t="n">
        <v>12</v>
      </c>
      <c r="P72" s="9" t="n">
        <v>35.6934641448456</v>
      </c>
      <c r="Q72" s="10" t="n">
        <v>0.0280163336330135</v>
      </c>
      <c r="R72" s="9" t="n">
        <v>29</v>
      </c>
      <c r="S72" s="11" t="n">
        <f aca="false">IF(AND(ISNUMBER(R72),R72&gt;1,P72&gt;0),R72/P72-1,"")</f>
        <v>-0.187526324642607</v>
      </c>
      <c r="T72" s="9" t="n">
        <f aca="false">IF(AND(ISNUMBER(P72),P72&gt;0),P72*EXP('Read me'!$B$22),"")</f>
        <v>43.5960955548055</v>
      </c>
    </row>
    <row r="73" customFormat="false" ht="15" hidden="false" customHeight="false" outlineLevel="0" collapsed="false">
      <c r="A73" s="14" t="s">
        <v>209</v>
      </c>
      <c r="B73" s="14" t="s">
        <v>49</v>
      </c>
      <c r="C73" s="14" t="s">
        <v>210</v>
      </c>
      <c r="D73" s="14"/>
      <c r="E73" s="15" t="n">
        <v>7</v>
      </c>
      <c r="F73" s="14" t="s">
        <v>388</v>
      </c>
      <c r="G73" s="8" t="n">
        <v>19</v>
      </c>
      <c r="H73" s="14" t="s">
        <v>865</v>
      </c>
      <c r="I73" s="14" t="s">
        <v>466</v>
      </c>
      <c r="J73" s="14" t="s">
        <v>91</v>
      </c>
      <c r="K73" s="8" t="n">
        <v>8</v>
      </c>
      <c r="L73" s="8" t="n">
        <v>88</v>
      </c>
      <c r="M73" s="8" t="n">
        <v>2</v>
      </c>
      <c r="N73" s="8" t="n">
        <v>46</v>
      </c>
      <c r="O73" s="8" t="n">
        <v>13</v>
      </c>
      <c r="P73" s="9" t="n">
        <v>40.1244893293395</v>
      </c>
      <c r="Q73" s="10" t="n">
        <v>0.0249224355677665</v>
      </c>
      <c r="R73" s="9" t="n">
        <v>29</v>
      </c>
      <c r="S73" s="11" t="n">
        <f aca="false">IF(AND(ISNUMBER(R73),R73&gt;1,P73&gt;0),R73/P73-1,"")</f>
        <v>-0.27724936853477</v>
      </c>
      <c r="T73" s="9" t="n">
        <f aca="false">IF(AND(ISNUMBER(P73),P73&gt;0),P73*EXP('Read me'!$B$22),"")</f>
        <v>49.0081619366235</v>
      </c>
    </row>
    <row r="74" customFormat="false" ht="15" hidden="false" customHeight="false" outlineLevel="0" collapsed="false">
      <c r="A74" s="14" t="s">
        <v>209</v>
      </c>
      <c r="B74" s="14" t="s">
        <v>49</v>
      </c>
      <c r="C74" s="14" t="s">
        <v>210</v>
      </c>
      <c r="D74" s="14"/>
      <c r="E74" s="15" t="n">
        <v>7</v>
      </c>
      <c r="F74" s="14" t="s">
        <v>388</v>
      </c>
      <c r="G74" s="8" t="n">
        <v>19</v>
      </c>
      <c r="H74" s="14" t="s">
        <v>866</v>
      </c>
      <c r="I74" s="14" t="s">
        <v>867</v>
      </c>
      <c r="J74" s="14" t="s">
        <v>674</v>
      </c>
      <c r="K74" s="8" t="n">
        <v>11</v>
      </c>
      <c r="L74" s="8" t="n">
        <v>81</v>
      </c>
      <c r="M74" s="8" t="n">
        <v>2</v>
      </c>
      <c r="N74" s="8" t="n">
        <v>22</v>
      </c>
      <c r="O74" s="8" t="n">
        <v>14</v>
      </c>
      <c r="P74" s="9" t="n">
        <v>42.5739754276724</v>
      </c>
      <c r="Q74" s="10" t="n">
        <v>0.0234885276734109</v>
      </c>
      <c r="R74" s="9" t="n">
        <v>23</v>
      </c>
      <c r="S74" s="11" t="n">
        <f aca="false">IF(AND(ISNUMBER(R74),R74&gt;1,P74&gt;0),R74/P74-1,"")</f>
        <v>-0.459763863511549</v>
      </c>
      <c r="T74" s="9" t="n">
        <f aca="false">IF(AND(ISNUMBER(P74),P74&gt;0),P74*EXP('Read me'!$B$22),"")</f>
        <v>51.9999710132024</v>
      </c>
    </row>
    <row r="75" customFormat="false" ht="15" hidden="false" customHeight="false" outlineLevel="0" collapsed="false">
      <c r="A75" s="14" t="s">
        <v>209</v>
      </c>
      <c r="B75" s="14" t="s">
        <v>49</v>
      </c>
      <c r="C75" s="14" t="s">
        <v>210</v>
      </c>
      <c r="D75" s="14"/>
      <c r="E75" s="15" t="n">
        <v>7</v>
      </c>
      <c r="F75" s="14" t="s">
        <v>388</v>
      </c>
      <c r="G75" s="8" t="n">
        <v>19</v>
      </c>
      <c r="H75" s="14" t="s">
        <v>868</v>
      </c>
      <c r="I75" s="14" t="s">
        <v>531</v>
      </c>
      <c r="J75" s="14" t="s">
        <v>869</v>
      </c>
      <c r="K75" s="8" t="n">
        <v>1</v>
      </c>
      <c r="L75" s="8" t="n">
        <v>84</v>
      </c>
      <c r="M75" s="8" t="n">
        <v>2</v>
      </c>
      <c r="N75" s="8" t="n">
        <v>21</v>
      </c>
      <c r="O75" s="8" t="n">
        <v>15</v>
      </c>
      <c r="P75" s="9" t="n">
        <v>45.1843823971775</v>
      </c>
      <c r="Q75" s="10" t="n">
        <v>0.0221315407436545</v>
      </c>
      <c r="R75" s="9" t="n">
        <v>34</v>
      </c>
      <c r="S75" s="11" t="n">
        <f aca="false">IF(AND(ISNUMBER(R75),R75&gt;1,P75&gt;0),R75/P75-1,"")</f>
        <v>-0.247527614715747</v>
      </c>
      <c r="T75" s="9" t="n">
        <f aca="false">IF(AND(ISNUMBER(P75),P75&gt;0),P75*EXP('Read me'!$B$22),"")</f>
        <v>55.1883292856765</v>
      </c>
    </row>
    <row r="76" customFormat="false" ht="15" hidden="false" customHeight="false" outlineLevel="0" collapsed="false">
      <c r="A76" s="14" t="s">
        <v>209</v>
      </c>
      <c r="B76" s="14" t="s">
        <v>49</v>
      </c>
      <c r="C76" s="14" t="s">
        <v>210</v>
      </c>
      <c r="D76" s="14"/>
      <c r="E76" s="15" t="n">
        <v>7</v>
      </c>
      <c r="F76" s="14" t="s">
        <v>388</v>
      </c>
      <c r="G76" s="8" t="n">
        <v>19</v>
      </c>
      <c r="H76" s="14" t="s">
        <v>870</v>
      </c>
      <c r="I76" s="14" t="s">
        <v>871</v>
      </c>
      <c r="J76" s="14" t="s">
        <v>317</v>
      </c>
      <c r="K76" s="8" t="n">
        <v>7</v>
      </c>
      <c r="L76" s="8" t="n">
        <v>0</v>
      </c>
      <c r="M76" s="8" t="n">
        <v>2</v>
      </c>
      <c r="N76" s="8" t="n">
        <v>17</v>
      </c>
      <c r="O76" s="8" t="n">
        <v>16</v>
      </c>
      <c r="P76" s="9" t="n">
        <v>71.642684205632</v>
      </c>
      <c r="Q76" s="10" t="n">
        <v>0.0139581593164454</v>
      </c>
      <c r="R76" s="9" t="n">
        <v>81</v>
      </c>
      <c r="S76" s="11" t="n">
        <f aca="false">IF(AND(ISNUMBER(R76),R76&gt;1,P76&gt;0),R76/P76-1,"")</f>
        <v>0.130610904632079</v>
      </c>
      <c r="T76" s="9" t="n">
        <f aca="false">IF(AND(ISNUMBER(P76),P76&gt;0),P76*EXP('Read me'!$B$22),"")</f>
        <v>87.504572090757</v>
      </c>
    </row>
    <row r="77" customFormat="false" ht="15" hidden="false" customHeight="false" outlineLevel="0" collapsed="false">
      <c r="A77" s="14" t="s">
        <v>209</v>
      </c>
      <c r="B77" s="14" t="s">
        <v>49</v>
      </c>
      <c r="C77" s="14" t="s">
        <v>210</v>
      </c>
      <c r="D77" s="14"/>
      <c r="E77" s="15" t="n">
        <v>7</v>
      </c>
      <c r="F77" s="14" t="s">
        <v>388</v>
      </c>
      <c r="G77" s="8" t="n">
        <v>19</v>
      </c>
      <c r="H77" s="14" t="s">
        <v>872</v>
      </c>
      <c r="I77" s="14" t="s">
        <v>252</v>
      </c>
      <c r="J77" s="14" t="s">
        <v>873</v>
      </c>
      <c r="K77" s="8" t="n">
        <v>16</v>
      </c>
      <c r="L77" s="8" t="n">
        <v>80</v>
      </c>
      <c r="M77" s="8" t="n">
        <v>2</v>
      </c>
      <c r="N77" s="8" t="n">
        <v>39</v>
      </c>
      <c r="O77" s="8" t="n">
        <v>17</v>
      </c>
      <c r="P77" s="9" t="n">
        <v>72.3844549830845</v>
      </c>
      <c r="Q77" s="10" t="n">
        <v>0.0138151209432148</v>
      </c>
      <c r="R77" s="9" t="n">
        <v>41</v>
      </c>
      <c r="S77" s="11" t="n">
        <f aca="false">IF(AND(ISNUMBER(R77),R77&gt;1,P77&gt;0),R77/P77-1,"")</f>
        <v>-0.433580041328193</v>
      </c>
      <c r="T77" s="9" t="n">
        <f aca="false">IF(AND(ISNUMBER(P77),P77&gt;0),P77*EXP('Read me'!$B$22),"")</f>
        <v>88.4105729642601</v>
      </c>
    </row>
    <row r="78" customFormat="false" ht="15" hidden="false" customHeight="false" outlineLevel="0" collapsed="false">
      <c r="A78" s="14" t="s">
        <v>209</v>
      </c>
      <c r="B78" s="14" t="s">
        <v>49</v>
      </c>
      <c r="C78" s="14" t="s">
        <v>210</v>
      </c>
      <c r="D78" s="14"/>
      <c r="E78" s="15" t="n">
        <v>7</v>
      </c>
      <c r="F78" s="14" t="s">
        <v>388</v>
      </c>
      <c r="G78" s="8" t="n">
        <v>19</v>
      </c>
      <c r="H78" s="14" t="s">
        <v>874</v>
      </c>
      <c r="I78" s="14" t="s">
        <v>397</v>
      </c>
      <c r="J78" s="14" t="s">
        <v>73</v>
      </c>
      <c r="K78" s="8" t="n">
        <v>14</v>
      </c>
      <c r="L78" s="8" t="n">
        <v>0</v>
      </c>
      <c r="M78" s="8" t="n">
        <v>2</v>
      </c>
      <c r="N78" s="8" t="n">
        <v>9</v>
      </c>
      <c r="O78" s="8" t="n">
        <v>18</v>
      </c>
      <c r="P78" s="9" t="n">
        <v>92.7937719352821</v>
      </c>
      <c r="Q78" s="10" t="n">
        <v>0.0107765853154179</v>
      </c>
      <c r="R78" s="9" t="n">
        <v>26</v>
      </c>
      <c r="S78" s="11" t="n">
        <f aca="false">IF(AND(ISNUMBER(R78),R78&gt;1,P78&gt;0),R78/P78-1,"")</f>
        <v>-0.719808781799134</v>
      </c>
      <c r="T78" s="9" t="n">
        <f aca="false">IF(AND(ISNUMBER(P78),P78&gt;0),P78*EXP('Read me'!$B$22),"")</f>
        <v>113.338568981839</v>
      </c>
    </row>
    <row r="79" customFormat="false" ht="15" hidden="false" customHeight="false" outlineLevel="0" collapsed="false">
      <c r="A79" s="14" t="s">
        <v>209</v>
      </c>
      <c r="B79" s="14" t="s">
        <v>49</v>
      </c>
      <c r="C79" s="14" t="s">
        <v>210</v>
      </c>
      <c r="D79" s="14"/>
      <c r="E79" s="15" t="n">
        <v>7</v>
      </c>
      <c r="F79" s="14" t="s">
        <v>388</v>
      </c>
      <c r="G79" s="8" t="n">
        <v>19</v>
      </c>
      <c r="H79" s="14" t="s">
        <v>875</v>
      </c>
      <c r="I79" s="14" t="s">
        <v>876</v>
      </c>
      <c r="J79" s="14" t="s">
        <v>555</v>
      </c>
      <c r="K79" s="8" t="n">
        <v>4</v>
      </c>
      <c r="L79" s="8" t="n">
        <v>0</v>
      </c>
      <c r="M79" s="8" t="n">
        <v>2</v>
      </c>
      <c r="N79" s="8" t="n">
        <v>17</v>
      </c>
      <c r="O79" s="8" t="n">
        <v>19</v>
      </c>
      <c r="P79" s="9" t="n">
        <v>420.552371114281</v>
      </c>
      <c r="Q79" s="10" t="n">
        <v>0.0023778251382828</v>
      </c>
      <c r="R79" s="9" t="n">
        <v>67</v>
      </c>
      <c r="S79" s="11" t="n">
        <f aca="false">IF(AND(ISNUMBER(R79),R79&gt;1,P79&gt;0),R79/P79-1,"")</f>
        <v>-0.840685715735049</v>
      </c>
      <c r="T79" s="9" t="n">
        <f aca="false">IF(AND(ISNUMBER(P79),P79&gt;0),P79*EXP('Read me'!$B$22),"")</f>
        <v>513.663826029782</v>
      </c>
    </row>
    <row r="80" customFormat="false" ht="15" hidden="false" customHeight="false" outlineLevel="0" collapsed="false">
      <c r="A80" s="14" t="s">
        <v>249</v>
      </c>
      <c r="B80" s="14" t="s">
        <v>49</v>
      </c>
      <c r="C80" s="14" t="s">
        <v>250</v>
      </c>
      <c r="D80" s="14"/>
      <c r="E80" s="15" t="n">
        <v>10</v>
      </c>
      <c r="F80" s="14" t="s">
        <v>388</v>
      </c>
      <c r="G80" s="8" t="n">
        <v>18</v>
      </c>
      <c r="H80" s="14" t="s">
        <v>251</v>
      </c>
      <c r="I80" s="14" t="s">
        <v>252</v>
      </c>
      <c r="J80" s="14" t="s">
        <v>253</v>
      </c>
      <c r="K80" s="8" t="n">
        <v>16</v>
      </c>
      <c r="L80" s="8" t="n">
        <v>86</v>
      </c>
      <c r="M80" s="8" t="n">
        <v>3</v>
      </c>
      <c r="N80" s="8" t="n">
        <v>26</v>
      </c>
      <c r="O80" s="8" t="n">
        <v>1</v>
      </c>
      <c r="P80" s="9" t="n">
        <v>4.21028083000194</v>
      </c>
      <c r="Q80" s="10" t="n">
        <v>0.237513847740066</v>
      </c>
      <c r="R80" s="9" t="n">
        <v>4.33333333333333</v>
      </c>
      <c r="S80" s="11" t="n">
        <f aca="false">IF(AND(ISNUMBER(R80),R80&gt;1,P80&gt;0),R80/P80-1,"")</f>
        <v>0.029226673540286</v>
      </c>
      <c r="T80" s="9" t="n">
        <f aca="false">IF(AND(ISNUMBER(P80),P80&gt;0),P80*EXP('Read me'!$B$22),"")</f>
        <v>5.14244861839326</v>
      </c>
    </row>
    <row r="81" customFormat="false" ht="15" hidden="false" customHeight="false" outlineLevel="0" collapsed="false">
      <c r="A81" s="14" t="s">
        <v>249</v>
      </c>
      <c r="B81" s="14" t="s">
        <v>49</v>
      </c>
      <c r="C81" s="14" t="s">
        <v>250</v>
      </c>
      <c r="D81" s="14"/>
      <c r="E81" s="15" t="n">
        <v>10</v>
      </c>
      <c r="F81" s="14" t="s">
        <v>388</v>
      </c>
      <c r="G81" s="8" t="n">
        <v>18</v>
      </c>
      <c r="H81" s="14" t="s">
        <v>254</v>
      </c>
      <c r="I81" s="14" t="s">
        <v>212</v>
      </c>
      <c r="J81" s="14" t="s">
        <v>213</v>
      </c>
      <c r="K81" s="8" t="n">
        <v>8</v>
      </c>
      <c r="L81" s="8" t="n">
        <v>0</v>
      </c>
      <c r="M81" s="8" t="n">
        <v>3</v>
      </c>
      <c r="N81" s="8" t="n">
        <v>180</v>
      </c>
      <c r="O81" s="8" t="n">
        <v>2</v>
      </c>
      <c r="P81" s="9" t="n">
        <v>4.81663632211831</v>
      </c>
      <c r="Q81" s="10" t="n">
        <v>0.207613764694655</v>
      </c>
      <c r="R81" s="9" t="n">
        <v>4.5</v>
      </c>
      <c r="S81" s="11" t="n">
        <f aca="false">IF(AND(ISNUMBER(R81),R81&gt;1,P81&gt;0),R81/P81-1,"")</f>
        <v>-0.0657380588740525</v>
      </c>
      <c r="T81" s="9" t="n">
        <f aca="false">IF(AND(ISNUMBER(P81),P81&gt;0),P81*EXP('Read me'!$B$22),"")</f>
        <v>5.88305288888976</v>
      </c>
    </row>
    <row r="82" customFormat="false" ht="15" hidden="false" customHeight="false" outlineLevel="0" collapsed="false">
      <c r="A82" s="14" t="s">
        <v>249</v>
      </c>
      <c r="B82" s="14" t="s">
        <v>49</v>
      </c>
      <c r="C82" s="14" t="s">
        <v>250</v>
      </c>
      <c r="D82" s="14"/>
      <c r="E82" s="15" t="n">
        <v>10</v>
      </c>
      <c r="F82" s="14" t="s">
        <v>388</v>
      </c>
      <c r="G82" s="8" t="n">
        <v>18</v>
      </c>
      <c r="H82" s="14" t="s">
        <v>987</v>
      </c>
      <c r="I82" s="14" t="s">
        <v>52</v>
      </c>
      <c r="J82" s="14" t="s">
        <v>53</v>
      </c>
      <c r="K82" s="8" t="n">
        <v>18</v>
      </c>
      <c r="L82" s="8" t="n">
        <v>0</v>
      </c>
      <c r="M82" s="8" t="n">
        <v>3</v>
      </c>
      <c r="N82" s="8" t="n">
        <v>195</v>
      </c>
      <c r="O82" s="8" t="n">
        <v>3</v>
      </c>
      <c r="P82" s="9" t="n">
        <v>7.6661253030192</v>
      </c>
      <c r="Q82" s="10" t="n">
        <v>0.130443993604718</v>
      </c>
      <c r="R82" s="9" t="n">
        <v>7</v>
      </c>
      <c r="S82" s="11" t="n">
        <f aca="false">IF(AND(ISNUMBER(R82),R82&gt;1,P82&gt;0),R82/P82-1,"")</f>
        <v>-0.0868920447669769</v>
      </c>
      <c r="T82" s="9" t="n">
        <f aca="false">IF(AND(ISNUMBER(P82),P82&gt;0),P82*EXP('Read me'!$B$22),"")</f>
        <v>9.36342658950912</v>
      </c>
    </row>
    <row r="83" customFormat="false" ht="15" hidden="false" customHeight="false" outlineLevel="0" collapsed="false">
      <c r="A83" s="14" t="s">
        <v>249</v>
      </c>
      <c r="B83" s="14" t="s">
        <v>49</v>
      </c>
      <c r="C83" s="14" t="s">
        <v>250</v>
      </c>
      <c r="D83" s="14"/>
      <c r="E83" s="15" t="n">
        <v>10</v>
      </c>
      <c r="F83" s="14" t="s">
        <v>388</v>
      </c>
      <c r="G83" s="8" t="n">
        <v>18</v>
      </c>
      <c r="H83" s="14" t="s">
        <v>988</v>
      </c>
      <c r="I83" s="14" t="s">
        <v>391</v>
      </c>
      <c r="J83" s="14" t="s">
        <v>392</v>
      </c>
      <c r="K83" s="8" t="n">
        <v>6</v>
      </c>
      <c r="L83" s="8" t="n">
        <v>80</v>
      </c>
      <c r="M83" s="8" t="n">
        <v>3</v>
      </c>
      <c r="N83" s="8" t="n">
        <v>24</v>
      </c>
      <c r="O83" s="8" t="n">
        <v>4</v>
      </c>
      <c r="P83" s="9" t="n">
        <v>8.86417120858891</v>
      </c>
      <c r="Q83" s="10" t="n">
        <v>0.112813705474354</v>
      </c>
      <c r="R83" s="9" t="n">
        <v>9</v>
      </c>
      <c r="S83" s="11" t="n">
        <f aca="false">IF(AND(ISNUMBER(R83),R83&gt;1,P83&gt;0),R83/P83-1,"")</f>
        <v>0.0153233492691887</v>
      </c>
      <c r="T83" s="9" t="n">
        <f aca="false">IF(AND(ISNUMBER(P83),P83&gt;0),P83*EXP('Read me'!$B$22),"")</f>
        <v>10.8267231629745</v>
      </c>
    </row>
    <row r="84" customFormat="false" ht="15" hidden="false" customHeight="false" outlineLevel="0" collapsed="false">
      <c r="A84" s="14" t="s">
        <v>249</v>
      </c>
      <c r="B84" s="14" t="s">
        <v>49</v>
      </c>
      <c r="C84" s="14" t="s">
        <v>250</v>
      </c>
      <c r="D84" s="14"/>
      <c r="E84" s="15" t="n">
        <v>10</v>
      </c>
      <c r="F84" s="14" t="s">
        <v>388</v>
      </c>
      <c r="G84" s="8" t="n">
        <v>18</v>
      </c>
      <c r="H84" s="14" t="s">
        <v>989</v>
      </c>
      <c r="I84" s="14" t="s">
        <v>144</v>
      </c>
      <c r="J84" s="14" t="s">
        <v>73</v>
      </c>
      <c r="K84" s="8" t="n">
        <v>13</v>
      </c>
      <c r="L84" s="8" t="n">
        <v>0</v>
      </c>
      <c r="M84" s="8" t="n">
        <v>3</v>
      </c>
      <c r="N84" s="8"/>
      <c r="O84" s="8" t="n">
        <v>5</v>
      </c>
      <c r="P84" s="9" t="n">
        <v>13.3651009610213</v>
      </c>
      <c r="Q84" s="10" t="n">
        <v>0.0748217318310165</v>
      </c>
      <c r="R84" s="9" t="n">
        <v>6</v>
      </c>
      <c r="S84" s="11" t="n">
        <f aca="false">IF(AND(ISNUMBER(R84),R84&gt;1,P84&gt;0),R84/P84-1,"")</f>
        <v>-0.551069609013901</v>
      </c>
      <c r="T84" s="9" t="n">
        <f aca="false">IF(AND(ISNUMBER(P84),P84&gt;0),P84*EXP('Read me'!$B$22),"")</f>
        <v>16.3241711768806</v>
      </c>
    </row>
    <row r="85" customFormat="false" ht="15" hidden="false" customHeight="false" outlineLevel="0" collapsed="false">
      <c r="A85" s="14" t="s">
        <v>249</v>
      </c>
      <c r="B85" s="14" t="s">
        <v>49</v>
      </c>
      <c r="C85" s="14" t="s">
        <v>250</v>
      </c>
      <c r="D85" s="14"/>
      <c r="E85" s="15" t="n">
        <v>10</v>
      </c>
      <c r="F85" s="14" t="s">
        <v>388</v>
      </c>
      <c r="G85" s="8" t="n">
        <v>18</v>
      </c>
      <c r="H85" s="14" t="s">
        <v>990</v>
      </c>
      <c r="I85" s="14" t="s">
        <v>394</v>
      </c>
      <c r="J85" s="14" t="s">
        <v>536</v>
      </c>
      <c r="K85" s="8" t="n">
        <v>2</v>
      </c>
      <c r="L85" s="8" t="n">
        <v>0</v>
      </c>
      <c r="M85" s="8" t="n">
        <v>3</v>
      </c>
      <c r="N85" s="8"/>
      <c r="O85" s="8" t="n">
        <v>6</v>
      </c>
      <c r="P85" s="9" t="n">
        <v>20.3797400027459</v>
      </c>
      <c r="Q85" s="10" t="n">
        <v>0.0490683394324591</v>
      </c>
      <c r="R85" s="9" t="n">
        <v>15</v>
      </c>
      <c r="S85" s="11" t="n">
        <f aca="false">IF(AND(ISNUMBER(R85),R85&gt;1,P85&gt;0),R85/P85-1,"")</f>
        <v>-0.263974908513112</v>
      </c>
      <c r="T85" s="9" t="n">
        <f aca="false">IF(AND(ISNUMBER(P85),P85&gt;0),P85*EXP('Read me'!$B$22),"")</f>
        <v>24.8918706499409</v>
      </c>
    </row>
    <row r="86" customFormat="false" ht="15" hidden="false" customHeight="false" outlineLevel="0" collapsed="false">
      <c r="A86" s="14" t="s">
        <v>249</v>
      </c>
      <c r="B86" s="14" t="s">
        <v>49</v>
      </c>
      <c r="C86" s="14" t="s">
        <v>250</v>
      </c>
      <c r="D86" s="14"/>
      <c r="E86" s="15" t="n">
        <v>10</v>
      </c>
      <c r="F86" s="14" t="s">
        <v>388</v>
      </c>
      <c r="G86" s="8" t="n">
        <v>18</v>
      </c>
      <c r="H86" s="14" t="s">
        <v>991</v>
      </c>
      <c r="I86" s="14" t="s">
        <v>466</v>
      </c>
      <c r="J86" s="14" t="s">
        <v>992</v>
      </c>
      <c r="K86" s="8" t="n">
        <v>10</v>
      </c>
      <c r="L86" s="8" t="n">
        <v>0</v>
      </c>
      <c r="M86" s="8" t="n">
        <v>3</v>
      </c>
      <c r="N86" s="8" t="n">
        <v>11</v>
      </c>
      <c r="O86" s="8" t="n">
        <v>7</v>
      </c>
      <c r="P86" s="9" t="n">
        <v>23.3539122468997</v>
      </c>
      <c r="Q86" s="10" t="n">
        <v>0.0428193781593382</v>
      </c>
      <c r="R86" s="9" t="n">
        <v>26</v>
      </c>
      <c r="S86" s="11" t="n">
        <f aca="false">IF(AND(ISNUMBER(R86),R86&gt;1,P86&gt;0),R86/P86-1,"")</f>
        <v>0.113303832142794</v>
      </c>
      <c r="T86" s="9" t="n">
        <f aca="false">IF(AND(ISNUMBER(P86),P86&gt;0),P86*EXP('Read me'!$B$22),"")</f>
        <v>28.5245328321939</v>
      </c>
    </row>
    <row r="87" customFormat="false" ht="15" hidden="false" customHeight="false" outlineLevel="0" collapsed="false">
      <c r="A87" s="14" t="s">
        <v>249</v>
      </c>
      <c r="B87" s="14" t="s">
        <v>49</v>
      </c>
      <c r="C87" s="14" t="s">
        <v>250</v>
      </c>
      <c r="D87" s="14"/>
      <c r="E87" s="15" t="n">
        <v>10</v>
      </c>
      <c r="F87" s="14" t="s">
        <v>388</v>
      </c>
      <c r="G87" s="8" t="n">
        <v>18</v>
      </c>
      <c r="H87" s="14" t="s">
        <v>993</v>
      </c>
      <c r="I87" s="14" t="s">
        <v>554</v>
      </c>
      <c r="J87" s="14" t="s">
        <v>994</v>
      </c>
      <c r="K87" s="8" t="n">
        <v>11</v>
      </c>
      <c r="L87" s="8" t="n">
        <v>0</v>
      </c>
      <c r="M87" s="8" t="n">
        <v>3</v>
      </c>
      <c r="N87" s="8" t="n">
        <v>35</v>
      </c>
      <c r="O87" s="8" t="n">
        <v>8</v>
      </c>
      <c r="P87" s="9" t="n">
        <v>29.2747940544085</v>
      </c>
      <c r="Q87" s="10" t="n">
        <v>0.0341590789039012</v>
      </c>
      <c r="R87" s="9" t="n">
        <v>21</v>
      </c>
      <c r="S87" s="11" t="n">
        <f aca="false">IF(AND(ISNUMBER(R87),R87&gt;1,P87&gt;0),R87/P87-1,"")</f>
        <v>-0.282659343018074</v>
      </c>
      <c r="T87" s="9" t="n">
        <f aca="false">IF(AND(ISNUMBER(P87),P87&gt;0),P87*EXP('Read me'!$B$22),"")</f>
        <v>35.7563142026255</v>
      </c>
    </row>
    <row r="88" customFormat="false" ht="15" hidden="false" customHeight="false" outlineLevel="0" collapsed="false">
      <c r="A88" s="14" t="s">
        <v>249</v>
      </c>
      <c r="B88" s="14" t="s">
        <v>49</v>
      </c>
      <c r="C88" s="14" t="s">
        <v>250</v>
      </c>
      <c r="D88" s="14"/>
      <c r="E88" s="15" t="n">
        <v>10</v>
      </c>
      <c r="F88" s="14" t="s">
        <v>388</v>
      </c>
      <c r="G88" s="8" t="n">
        <v>18</v>
      </c>
      <c r="H88" s="14" t="s">
        <v>995</v>
      </c>
      <c r="I88" s="14" t="s">
        <v>996</v>
      </c>
      <c r="J88" s="14" t="s">
        <v>997</v>
      </c>
      <c r="K88" s="8" t="n">
        <v>15</v>
      </c>
      <c r="L88" s="8" t="n">
        <v>87</v>
      </c>
      <c r="M88" s="8" t="n">
        <v>4</v>
      </c>
      <c r="N88" s="8" t="n">
        <v>63</v>
      </c>
      <c r="O88" s="8" t="n">
        <v>9</v>
      </c>
      <c r="P88" s="9" t="n">
        <v>31.9289815988348</v>
      </c>
      <c r="Q88" s="10" t="n">
        <v>0.0313195081686067</v>
      </c>
      <c r="R88" s="9" t="n">
        <v>11</v>
      </c>
      <c r="S88" s="11" t="n">
        <f aca="false">IF(AND(ISNUMBER(R88),R88&gt;1,P88&gt;0),R88/P88-1,"")</f>
        <v>-0.655485410145326</v>
      </c>
      <c r="T88" s="9" t="n">
        <f aca="false">IF(AND(ISNUMBER(P88),P88&gt;0),P88*EXP('Read me'!$B$22),"")</f>
        <v>38.9981461900621</v>
      </c>
    </row>
    <row r="89" customFormat="false" ht="15" hidden="false" customHeight="false" outlineLevel="0" collapsed="false">
      <c r="A89" s="14" t="s">
        <v>249</v>
      </c>
      <c r="B89" s="14" t="s">
        <v>49</v>
      </c>
      <c r="C89" s="14" t="s">
        <v>250</v>
      </c>
      <c r="D89" s="14"/>
      <c r="E89" s="15" t="n">
        <v>10</v>
      </c>
      <c r="F89" s="14" t="s">
        <v>388</v>
      </c>
      <c r="G89" s="8" t="n">
        <v>18</v>
      </c>
      <c r="H89" s="14" t="s">
        <v>998</v>
      </c>
      <c r="I89" s="14" t="s">
        <v>171</v>
      </c>
      <c r="J89" s="14" t="s">
        <v>550</v>
      </c>
      <c r="K89" s="8" t="n">
        <v>3</v>
      </c>
      <c r="L89" s="8" t="n">
        <v>0</v>
      </c>
      <c r="M89" s="8" t="n">
        <v>4</v>
      </c>
      <c r="N89" s="8" t="n">
        <v>17</v>
      </c>
      <c r="O89" s="8" t="n">
        <v>10</v>
      </c>
      <c r="P89" s="9" t="n">
        <v>35.9559308508132</v>
      </c>
      <c r="Q89" s="10" t="n">
        <v>0.0278118234276608</v>
      </c>
      <c r="R89" s="9" t="n">
        <v>13</v>
      </c>
      <c r="S89" s="11" t="n">
        <f aca="false">IF(AND(ISNUMBER(R89),R89&gt;1,P89&gt;0),R89/P89-1,"")</f>
        <v>-0.638446295440409</v>
      </c>
      <c r="T89" s="9" t="n">
        <f aca="false">IF(AND(ISNUMBER(P89),P89&gt;0),P89*EXP('Read me'!$B$22),"")</f>
        <v>43.9166731133996</v>
      </c>
    </row>
    <row r="90" customFormat="false" ht="15" hidden="false" customHeight="false" outlineLevel="0" collapsed="false">
      <c r="A90" s="14" t="s">
        <v>249</v>
      </c>
      <c r="B90" s="14" t="s">
        <v>49</v>
      </c>
      <c r="C90" s="14" t="s">
        <v>250</v>
      </c>
      <c r="D90" s="14"/>
      <c r="E90" s="15" t="n">
        <v>10</v>
      </c>
      <c r="F90" s="14" t="s">
        <v>388</v>
      </c>
      <c r="G90" s="8" t="n">
        <v>18</v>
      </c>
      <c r="H90" s="14" t="s">
        <v>999</v>
      </c>
      <c r="I90" s="14" t="s">
        <v>403</v>
      </c>
      <c r="J90" s="14" t="s">
        <v>1000</v>
      </c>
      <c r="K90" s="8" t="n">
        <v>1</v>
      </c>
      <c r="L90" s="8" t="n">
        <v>0</v>
      </c>
      <c r="M90" s="8" t="n">
        <v>3</v>
      </c>
      <c r="N90" s="8"/>
      <c r="O90" s="8" t="n">
        <v>11</v>
      </c>
      <c r="P90" s="9" t="n">
        <v>46.6241150755718</v>
      </c>
      <c r="Q90" s="10" t="n">
        <v>0.0214481282567856</v>
      </c>
      <c r="R90" s="9" t="n">
        <v>13</v>
      </c>
      <c r="S90" s="11" t="n">
        <f aca="false">IF(AND(ISNUMBER(R90),R90&gt;1,P90&gt;0),R90/P90-1,"")</f>
        <v>-0.721174332661786</v>
      </c>
      <c r="T90" s="9" t="n">
        <f aca="false">IF(AND(ISNUMBER(P90),P90&gt;0),P90*EXP('Read me'!$B$22),"")</f>
        <v>56.9468227500806</v>
      </c>
    </row>
    <row r="91" customFormat="false" ht="15" hidden="false" customHeight="false" outlineLevel="0" collapsed="false">
      <c r="A91" s="14" t="s">
        <v>249</v>
      </c>
      <c r="B91" s="14" t="s">
        <v>49</v>
      </c>
      <c r="C91" s="14" t="s">
        <v>250</v>
      </c>
      <c r="D91" s="14"/>
      <c r="E91" s="15" t="n">
        <v>10</v>
      </c>
      <c r="F91" s="14" t="s">
        <v>388</v>
      </c>
      <c r="G91" s="8" t="n">
        <v>18</v>
      </c>
      <c r="H91" s="14" t="s">
        <v>1001</v>
      </c>
      <c r="I91" s="14" t="s">
        <v>417</v>
      </c>
      <c r="J91" s="14" t="s">
        <v>1002</v>
      </c>
      <c r="K91" s="8" t="n">
        <v>14</v>
      </c>
      <c r="L91" s="8" t="n">
        <v>0</v>
      </c>
      <c r="M91" s="8" t="n">
        <v>3</v>
      </c>
      <c r="N91" s="8"/>
      <c r="O91" s="8" t="n">
        <v>12</v>
      </c>
      <c r="P91" s="9" t="n">
        <v>91.2357405695747</v>
      </c>
      <c r="Q91" s="10" t="n">
        <v>0.010960616900319</v>
      </c>
      <c r="R91" s="9" t="n">
        <v>34</v>
      </c>
      <c r="S91" s="11" t="n">
        <f aca="false">IF(AND(ISNUMBER(R91),R91&gt;1,P91&gt;0),R91/P91-1,"")</f>
        <v>-0.627339025389154</v>
      </c>
      <c r="T91" s="9" t="n">
        <f aca="false">IF(AND(ISNUMBER(P91),P91&gt;0),P91*EXP('Read me'!$B$22),"")</f>
        <v>111.435585174464</v>
      </c>
    </row>
    <row r="92" customFormat="false" ht="15" hidden="false" customHeight="false" outlineLevel="0" collapsed="false">
      <c r="A92" s="14" t="s">
        <v>249</v>
      </c>
      <c r="B92" s="14" t="s">
        <v>49</v>
      </c>
      <c r="C92" s="14" t="s">
        <v>250</v>
      </c>
      <c r="D92" s="14"/>
      <c r="E92" s="15" t="n">
        <v>10</v>
      </c>
      <c r="F92" s="14" t="s">
        <v>388</v>
      </c>
      <c r="G92" s="8" t="n">
        <v>18</v>
      </c>
      <c r="H92" s="14" t="s">
        <v>1003</v>
      </c>
      <c r="I92" s="14" t="s">
        <v>531</v>
      </c>
      <c r="J92" s="14" t="s">
        <v>869</v>
      </c>
      <c r="K92" s="8" t="n">
        <v>9</v>
      </c>
      <c r="L92" s="8" t="n">
        <v>0</v>
      </c>
      <c r="M92" s="8" t="n">
        <v>3</v>
      </c>
      <c r="N92" s="8" t="n">
        <v>26</v>
      </c>
      <c r="O92" s="8" t="n">
        <v>13</v>
      </c>
      <c r="P92" s="9" t="n">
        <v>119.095272774088</v>
      </c>
      <c r="Q92" s="10" t="n">
        <v>0.00839663889848</v>
      </c>
      <c r="R92" s="9" t="n">
        <v>23</v>
      </c>
      <c r="S92" s="11" t="n">
        <f aca="false">IF(AND(ISNUMBER(R92),R92&gt;1,P92&gt;0),R92/P92-1,"")</f>
        <v>-0.806877305334959</v>
      </c>
      <c r="T92" s="9" t="n">
        <f aca="false">IF(AND(ISNUMBER(P92),P92&gt;0),P92*EXP('Read me'!$B$22),"")</f>
        <v>145.463294650109</v>
      </c>
    </row>
    <row r="93" customFormat="false" ht="15" hidden="false" customHeight="false" outlineLevel="0" collapsed="false">
      <c r="A93" s="14" t="s">
        <v>249</v>
      </c>
      <c r="B93" s="14" t="s">
        <v>49</v>
      </c>
      <c r="C93" s="14" t="s">
        <v>250</v>
      </c>
      <c r="D93" s="14"/>
      <c r="E93" s="15" t="n">
        <v>10</v>
      </c>
      <c r="F93" s="14" t="s">
        <v>388</v>
      </c>
      <c r="G93" s="8" t="n">
        <v>18</v>
      </c>
      <c r="H93" s="14" t="s">
        <v>1004</v>
      </c>
      <c r="I93" s="14" t="s">
        <v>397</v>
      </c>
      <c r="J93" s="14" t="s">
        <v>1005</v>
      </c>
      <c r="K93" s="8" t="n">
        <v>4</v>
      </c>
      <c r="L93" s="8" t="n">
        <v>0</v>
      </c>
      <c r="M93" s="8" t="n">
        <v>3</v>
      </c>
      <c r="N93" s="8"/>
      <c r="O93" s="8" t="n">
        <v>14</v>
      </c>
      <c r="P93" s="9" t="n">
        <v>253.48448623397</v>
      </c>
      <c r="Q93" s="10" t="n">
        <v>0.0039450146036826</v>
      </c>
      <c r="R93" s="9" t="n">
        <v>51</v>
      </c>
      <c r="S93" s="11" t="n">
        <f aca="false">IF(AND(ISNUMBER(R93),R93&gt;1,P93&gt;0),R93/P93-1,"")</f>
        <v>-0.798804255212186</v>
      </c>
      <c r="T93" s="9" t="n">
        <f aca="false">IF(AND(ISNUMBER(P93),P93&gt;0),P93*EXP('Read me'!$B$22),"")</f>
        <v>309.606650636984</v>
      </c>
    </row>
    <row r="94" customFormat="false" ht="15" hidden="false" customHeight="false" outlineLevel="0" collapsed="false">
      <c r="A94" s="14" t="s">
        <v>249</v>
      </c>
      <c r="B94" s="14" t="s">
        <v>49</v>
      </c>
      <c r="C94" s="14" t="s">
        <v>250</v>
      </c>
      <c r="D94" s="14"/>
      <c r="E94" s="15" t="n">
        <v>10</v>
      </c>
      <c r="F94" s="14" t="s">
        <v>388</v>
      </c>
      <c r="G94" s="8" t="n">
        <v>18</v>
      </c>
      <c r="H94" s="14" t="s">
        <v>1006</v>
      </c>
      <c r="I94" s="14" t="s">
        <v>107</v>
      </c>
      <c r="J94" s="14" t="s">
        <v>1007</v>
      </c>
      <c r="K94" s="8" t="n">
        <v>5</v>
      </c>
      <c r="L94" s="8" t="n">
        <v>0</v>
      </c>
      <c r="M94" s="8" t="n">
        <v>4</v>
      </c>
      <c r="N94" s="8" t="n">
        <v>10</v>
      </c>
      <c r="O94" s="8" t="n">
        <v>15</v>
      </c>
      <c r="P94" s="9" t="n">
        <v>378.734808534495</v>
      </c>
      <c r="Q94" s="10" t="n">
        <v>0.0026403699302672</v>
      </c>
      <c r="R94" s="9" t="n">
        <v>101</v>
      </c>
      <c r="S94" s="11" t="n">
        <f aca="false">IF(AND(ISNUMBER(R94),R94&gt;1,P94&gt;0),R94/P94-1,"")</f>
        <v>-0.733322637043009</v>
      </c>
      <c r="T94" s="9" t="n">
        <f aca="false">IF(AND(ISNUMBER(P94),P94&gt;0),P94*EXP('Read me'!$B$22),"")</f>
        <v>462.587739755296</v>
      </c>
    </row>
    <row r="95" customFormat="false" ht="15" hidden="false" customHeight="false" outlineLevel="0" collapsed="false">
      <c r="A95" s="14" t="s">
        <v>249</v>
      </c>
      <c r="B95" s="14" t="s">
        <v>49</v>
      </c>
      <c r="C95" s="14" t="s">
        <v>250</v>
      </c>
      <c r="D95" s="14"/>
      <c r="E95" s="15" t="n">
        <v>10</v>
      </c>
      <c r="F95" s="14" t="s">
        <v>388</v>
      </c>
      <c r="G95" s="8" t="n">
        <v>18</v>
      </c>
      <c r="H95" s="14" t="s">
        <v>1008</v>
      </c>
      <c r="I95" s="14" t="s">
        <v>565</v>
      </c>
      <c r="J95" s="14" t="s">
        <v>550</v>
      </c>
      <c r="K95" s="8" t="n">
        <v>12</v>
      </c>
      <c r="L95" s="8" t="n">
        <v>0</v>
      </c>
      <c r="M95" s="8" t="n">
        <v>3</v>
      </c>
      <c r="N95" s="8" t="n">
        <v>24</v>
      </c>
      <c r="O95" s="8" t="n">
        <v>16</v>
      </c>
      <c r="P95" s="9" t="n">
        <v>458.021922460464</v>
      </c>
      <c r="Q95" s="10" t="n">
        <v>0.0021833016084209</v>
      </c>
      <c r="R95" s="9" t="n">
        <v>101</v>
      </c>
      <c r="S95" s="11" t="n">
        <f aca="false">IF(AND(ISNUMBER(R95),R95&gt;1,P95&gt;0),R95/P95-1,"")</f>
        <v>-0.779486537549481</v>
      </c>
      <c r="T95" s="9" t="n">
        <f aca="false">IF(AND(ISNUMBER(P95),P95&gt;0),P95*EXP('Read me'!$B$22),"")</f>
        <v>559.429239391034</v>
      </c>
    </row>
    <row r="96" customFormat="false" ht="15" hidden="false" customHeight="false" outlineLevel="0" collapsed="false">
      <c r="A96" s="14" t="s">
        <v>249</v>
      </c>
      <c r="B96" s="14" t="s">
        <v>49</v>
      </c>
      <c r="C96" s="14" t="s">
        <v>250</v>
      </c>
      <c r="D96" s="14"/>
      <c r="E96" s="15" t="n">
        <v>10</v>
      </c>
      <c r="F96" s="14" t="s">
        <v>388</v>
      </c>
      <c r="G96" s="8" t="n">
        <v>18</v>
      </c>
      <c r="H96" s="14" t="s">
        <v>1009</v>
      </c>
      <c r="I96" s="14" t="s">
        <v>412</v>
      </c>
      <c r="J96" s="14" t="s">
        <v>1010</v>
      </c>
      <c r="K96" s="8" t="n">
        <v>7</v>
      </c>
      <c r="L96" s="8" t="n">
        <v>0</v>
      </c>
      <c r="M96" s="8" t="n">
        <v>3</v>
      </c>
      <c r="N96" s="8" t="n">
        <v>10</v>
      </c>
      <c r="O96" s="8" t="n">
        <v>17</v>
      </c>
      <c r="P96" s="9" t="n">
        <v>937.575715162869</v>
      </c>
      <c r="Q96" s="10" t="n">
        <v>0.0010665805265938</v>
      </c>
      <c r="R96" s="9" t="n">
        <v>201</v>
      </c>
      <c r="S96" s="11" t="n">
        <f aca="false">IF(AND(ISNUMBER(R96),R96&gt;1,P96&gt;0),R96/P96-1,"")</f>
        <v>-0.78561731415464</v>
      </c>
      <c r="T96" s="9" t="n">
        <f aca="false">IF(AND(ISNUMBER(P96),P96&gt;0),P96*EXP('Read me'!$B$22),"")</f>
        <v>1145.15756448392</v>
      </c>
    </row>
    <row r="97" customFormat="false" ht="15" hidden="false" customHeight="false" outlineLevel="0" collapsed="false">
      <c r="A97" s="14" t="s">
        <v>249</v>
      </c>
      <c r="B97" s="14" t="s">
        <v>49</v>
      </c>
      <c r="C97" s="14" t="s">
        <v>250</v>
      </c>
      <c r="D97" s="14"/>
      <c r="E97" s="15" t="n">
        <v>10</v>
      </c>
      <c r="F97" s="14" t="s">
        <v>388</v>
      </c>
      <c r="G97" s="8" t="n">
        <v>18</v>
      </c>
      <c r="H97" s="14" t="s">
        <v>1011</v>
      </c>
      <c r="I97" s="14" t="s">
        <v>859</v>
      </c>
      <c r="J97" s="14" t="s">
        <v>1012</v>
      </c>
      <c r="K97" s="8" t="n">
        <v>17</v>
      </c>
      <c r="L97" s="8" t="n">
        <v>0</v>
      </c>
      <c r="M97" s="8" t="n">
        <v>5</v>
      </c>
      <c r="N97" s="8" t="n">
        <v>117</v>
      </c>
      <c r="O97" s="8" t="n">
        <v>18</v>
      </c>
      <c r="P97" s="9" t="n">
        <v>1026.50661953066</v>
      </c>
      <c r="Q97" s="10" t="n">
        <v>0.000974177838675</v>
      </c>
      <c r="R97" s="9" t="n">
        <v>201</v>
      </c>
      <c r="S97" s="11" t="n">
        <f aca="false">IF(AND(ISNUMBER(R97),R97&gt;1,P97&gt;0),R97/P97-1,"")</f>
        <v>-0.804190254426317</v>
      </c>
      <c r="T97" s="9" t="n">
        <f aca="false">IF(AND(ISNUMBER(P97),P97&gt;0),P97*EXP('Read me'!$B$22),"")</f>
        <v>1253.77801636442</v>
      </c>
    </row>
    <row r="98" customFormat="false" ht="15" hidden="false" customHeight="false" outlineLevel="0" collapsed="false">
      <c r="A98" s="14" t="s">
        <v>281</v>
      </c>
      <c r="B98" s="14" t="s">
        <v>49</v>
      </c>
      <c r="C98" s="14" t="s">
        <v>282</v>
      </c>
      <c r="D98" s="14"/>
      <c r="E98" s="15" t="n">
        <v>9</v>
      </c>
      <c r="F98" s="14" t="s">
        <v>388</v>
      </c>
      <c r="G98" s="8" t="n">
        <v>17</v>
      </c>
      <c r="H98" s="14" t="s">
        <v>283</v>
      </c>
      <c r="I98" s="14" t="s">
        <v>252</v>
      </c>
      <c r="J98" s="14" t="s">
        <v>253</v>
      </c>
      <c r="K98" s="8" t="n">
        <v>6</v>
      </c>
      <c r="L98" s="8" t="n">
        <v>77</v>
      </c>
      <c r="M98" s="8" t="n">
        <v>3</v>
      </c>
      <c r="N98" s="8" t="n">
        <v>24</v>
      </c>
      <c r="O98" s="8" t="n">
        <v>1</v>
      </c>
      <c r="P98" s="9" t="n">
        <v>5.50473801946738</v>
      </c>
      <c r="Q98" s="10" t="n">
        <v>0.18166168788842</v>
      </c>
      <c r="R98" s="9" t="n">
        <v>6.5</v>
      </c>
      <c r="S98" s="11" t="n">
        <f aca="false">IF(AND(ISNUMBER(R98),R98&gt;1,P98&gt;0),R98/P98-1,"")</f>
        <v>0.180800971274727</v>
      </c>
      <c r="T98" s="9" t="n">
        <f aca="false">IF(AND(ISNUMBER(P98),P98&gt;0),P98*EXP('Read me'!$B$22),"")</f>
        <v>6.72350219992661</v>
      </c>
    </row>
    <row r="99" customFormat="false" ht="15" hidden="false" customHeight="false" outlineLevel="0" collapsed="false">
      <c r="A99" s="14" t="s">
        <v>281</v>
      </c>
      <c r="B99" s="14" t="s">
        <v>49</v>
      </c>
      <c r="C99" s="14" t="s">
        <v>282</v>
      </c>
      <c r="D99" s="14"/>
      <c r="E99" s="15" t="n">
        <v>9</v>
      </c>
      <c r="F99" s="14" t="s">
        <v>388</v>
      </c>
      <c r="G99" s="8" t="n">
        <v>17</v>
      </c>
      <c r="H99" s="14" t="s">
        <v>284</v>
      </c>
      <c r="I99" s="14" t="s">
        <v>397</v>
      </c>
      <c r="J99" s="14" t="s">
        <v>73</v>
      </c>
      <c r="K99" s="8" t="n">
        <v>19</v>
      </c>
      <c r="L99" s="8" t="n">
        <v>0</v>
      </c>
      <c r="M99" s="8" t="n">
        <v>3</v>
      </c>
      <c r="N99" s="8" t="n">
        <v>357</v>
      </c>
      <c r="O99" s="8" t="n">
        <v>2</v>
      </c>
      <c r="P99" s="9" t="n">
        <v>5.9207081646354</v>
      </c>
      <c r="Q99" s="10" t="n">
        <v>0.16889871484851</v>
      </c>
      <c r="R99" s="9" t="n">
        <v>3.25</v>
      </c>
      <c r="S99" s="11" t="n">
        <f aca="false">IF(AND(ISNUMBER(R99),R99&gt;1,P99&gt;0),R99/P99-1,"")</f>
        <v>-0.451079176742342</v>
      </c>
      <c r="T99" s="9" t="n">
        <f aca="false">IF(AND(ISNUMBER(P99),P99&gt;0),P99*EXP('Read me'!$B$22),"")</f>
        <v>7.23156928254712</v>
      </c>
    </row>
    <row r="100" customFormat="false" ht="15" hidden="false" customHeight="false" outlineLevel="0" collapsed="false">
      <c r="A100" s="14" t="s">
        <v>281</v>
      </c>
      <c r="B100" s="14" t="s">
        <v>49</v>
      </c>
      <c r="C100" s="14" t="s">
        <v>282</v>
      </c>
      <c r="D100" s="14"/>
      <c r="E100" s="15" t="n">
        <v>9</v>
      </c>
      <c r="F100" s="14" t="s">
        <v>388</v>
      </c>
      <c r="G100" s="8" t="n">
        <v>17</v>
      </c>
      <c r="H100" s="14" t="s">
        <v>1094</v>
      </c>
      <c r="I100" s="14" t="s">
        <v>52</v>
      </c>
      <c r="J100" s="14" t="s">
        <v>53</v>
      </c>
      <c r="K100" s="8" t="n">
        <v>18</v>
      </c>
      <c r="L100" s="8" t="n">
        <v>77</v>
      </c>
      <c r="M100" s="8" t="n">
        <v>3</v>
      </c>
      <c r="N100" s="8" t="n">
        <v>106</v>
      </c>
      <c r="O100" s="8" t="n">
        <v>3</v>
      </c>
      <c r="P100" s="9" t="n">
        <v>6.24913292717703</v>
      </c>
      <c r="Q100" s="10" t="n">
        <v>0.160022200144131</v>
      </c>
      <c r="R100" s="9" t="n">
        <v>6.5</v>
      </c>
      <c r="S100" s="11" t="n">
        <f aca="false">IF(AND(ISNUMBER(R100),R100&gt;1,P100&gt;0),R100/P100-1,"")</f>
        <v>0.0401443009368498</v>
      </c>
      <c r="T100" s="9" t="n">
        <f aca="false">IF(AND(ISNUMBER(P100),P100&gt;0),P100*EXP('Read me'!$B$22),"")</f>
        <v>7.63270819336356</v>
      </c>
    </row>
    <row r="101" customFormat="false" ht="15" hidden="false" customHeight="false" outlineLevel="0" collapsed="false">
      <c r="A101" s="14" t="s">
        <v>281</v>
      </c>
      <c r="B101" s="14" t="s">
        <v>49</v>
      </c>
      <c r="C101" s="14" t="s">
        <v>282</v>
      </c>
      <c r="D101" s="14"/>
      <c r="E101" s="15" t="n">
        <v>9</v>
      </c>
      <c r="F101" s="14" t="s">
        <v>388</v>
      </c>
      <c r="G101" s="8" t="n">
        <v>17</v>
      </c>
      <c r="H101" s="14" t="s">
        <v>1095</v>
      </c>
      <c r="I101" s="14" t="s">
        <v>466</v>
      </c>
      <c r="J101" s="14" t="s">
        <v>550</v>
      </c>
      <c r="K101" s="8" t="n">
        <v>8</v>
      </c>
      <c r="L101" s="8" t="n">
        <v>75</v>
      </c>
      <c r="M101" s="8" t="n">
        <v>3</v>
      </c>
      <c r="N101" s="8" t="n">
        <v>24</v>
      </c>
      <c r="O101" s="8" t="n">
        <v>4</v>
      </c>
      <c r="P101" s="9" t="n">
        <v>7.79921165763246</v>
      </c>
      <c r="Q101" s="10" t="n">
        <v>0.128218087147485</v>
      </c>
      <c r="R101" s="9" t="n">
        <v>9</v>
      </c>
      <c r="S101" s="11" t="n">
        <f aca="false">IF(AND(ISNUMBER(R101),R101&gt;1,P101&gt;0),R101/P101-1,"")</f>
        <v>0.153962784327365</v>
      </c>
      <c r="T101" s="9" t="n">
        <f aca="false">IF(AND(ISNUMBER(P101),P101&gt;0),P101*EXP('Read me'!$B$22),"")</f>
        <v>9.52597863010724</v>
      </c>
    </row>
    <row r="102" customFormat="false" ht="15" hidden="false" customHeight="false" outlineLevel="0" collapsed="false">
      <c r="A102" s="14" t="s">
        <v>281</v>
      </c>
      <c r="B102" s="14" t="s">
        <v>49</v>
      </c>
      <c r="C102" s="14" t="s">
        <v>282</v>
      </c>
      <c r="D102" s="14"/>
      <c r="E102" s="15" t="n">
        <v>9</v>
      </c>
      <c r="F102" s="14" t="s">
        <v>388</v>
      </c>
      <c r="G102" s="8" t="n">
        <v>17</v>
      </c>
      <c r="H102" s="14" t="s">
        <v>1096</v>
      </c>
      <c r="I102" s="14" t="s">
        <v>876</v>
      </c>
      <c r="J102" s="14" t="s">
        <v>873</v>
      </c>
      <c r="K102" s="8" t="n">
        <v>16</v>
      </c>
      <c r="L102" s="8" t="n">
        <v>84</v>
      </c>
      <c r="M102" s="8" t="n">
        <v>3</v>
      </c>
      <c r="N102" s="8" t="n">
        <v>21</v>
      </c>
      <c r="O102" s="8" t="n">
        <v>5</v>
      </c>
      <c r="P102" s="9" t="n">
        <v>9.14060963509261</v>
      </c>
      <c r="Q102" s="10" t="n">
        <v>0.109401893300508</v>
      </c>
      <c r="R102" s="9" t="n">
        <v>7</v>
      </c>
      <c r="S102" s="11" t="n">
        <f aca="false">IF(AND(ISNUMBER(R102),R102&gt;1,P102&gt;0),R102/P102-1,"")</f>
        <v>-0.234186746896442</v>
      </c>
      <c r="T102" s="9" t="n">
        <f aca="false">IF(AND(ISNUMBER(P102),P102&gt;0),P102*EXP('Read me'!$B$22),"")</f>
        <v>11.1643658195675</v>
      </c>
    </row>
    <row r="103" customFormat="false" ht="15" hidden="false" customHeight="false" outlineLevel="0" collapsed="false">
      <c r="A103" s="14" t="s">
        <v>281</v>
      </c>
      <c r="B103" s="14" t="s">
        <v>49</v>
      </c>
      <c r="C103" s="14" t="s">
        <v>282</v>
      </c>
      <c r="D103" s="14"/>
      <c r="E103" s="15" t="n">
        <v>9</v>
      </c>
      <c r="F103" s="14" t="s">
        <v>388</v>
      </c>
      <c r="G103" s="8" t="n">
        <v>17</v>
      </c>
      <c r="H103" s="14" t="s">
        <v>1097</v>
      </c>
      <c r="I103" s="14" t="s">
        <v>212</v>
      </c>
      <c r="J103" s="14" t="s">
        <v>469</v>
      </c>
      <c r="K103" s="8" t="n">
        <v>1</v>
      </c>
      <c r="L103" s="8" t="n">
        <v>72</v>
      </c>
      <c r="M103" s="8" t="n">
        <v>3</v>
      </c>
      <c r="N103" s="8" t="n">
        <v>24</v>
      </c>
      <c r="O103" s="8" t="n">
        <v>6</v>
      </c>
      <c r="P103" s="9" t="n">
        <v>14.4989698584878</v>
      </c>
      <c r="Q103" s="10" t="n">
        <v>0.0689704171924042</v>
      </c>
      <c r="R103" s="9" t="n">
        <v>13</v>
      </c>
      <c r="S103" s="11" t="n">
        <f aca="false">IF(AND(ISNUMBER(R103),R103&gt;1,P103&gt;0),R103/P103-1,"")</f>
        <v>-0.103384576498745</v>
      </c>
      <c r="T103" s="9" t="n">
        <f aca="false">IF(AND(ISNUMBER(P103),P103&gt;0),P103*EXP('Read me'!$B$22),"")</f>
        <v>17.7090817756382</v>
      </c>
    </row>
    <row r="104" customFormat="false" ht="15" hidden="false" customHeight="false" outlineLevel="0" collapsed="false">
      <c r="A104" s="14" t="s">
        <v>281</v>
      </c>
      <c r="B104" s="14" t="s">
        <v>49</v>
      </c>
      <c r="C104" s="14" t="s">
        <v>282</v>
      </c>
      <c r="D104" s="14"/>
      <c r="E104" s="15" t="n">
        <v>9</v>
      </c>
      <c r="F104" s="14" t="s">
        <v>388</v>
      </c>
      <c r="G104" s="8" t="n">
        <v>17</v>
      </c>
      <c r="H104" s="14" t="s">
        <v>1098</v>
      </c>
      <c r="I104" s="14" t="s">
        <v>144</v>
      </c>
      <c r="J104" s="14" t="s">
        <v>73</v>
      </c>
      <c r="K104" s="8" t="n">
        <v>4</v>
      </c>
      <c r="L104" s="8" t="n">
        <v>72</v>
      </c>
      <c r="M104" s="8" t="n">
        <v>3</v>
      </c>
      <c r="N104" s="8" t="n">
        <v>71</v>
      </c>
      <c r="O104" s="8" t="n">
        <v>7</v>
      </c>
      <c r="P104" s="9" t="n">
        <v>19.5589378652179</v>
      </c>
      <c r="Q104" s="10" t="n">
        <v>0.0511275206706558</v>
      </c>
      <c r="R104" s="9" t="n">
        <v>9</v>
      </c>
      <c r="S104" s="11" t="n">
        <f aca="false">IF(AND(ISNUMBER(R104),R104&gt;1,P104&gt;0),R104/P104-1,"")</f>
        <v>-0.539852313964097</v>
      </c>
      <c r="T104" s="9" t="n">
        <f aca="false">IF(AND(ISNUMBER(P104),P104&gt;0),P104*EXP('Read me'!$B$22),"")</f>
        <v>23.8893406552605</v>
      </c>
    </row>
    <row r="105" customFormat="false" ht="15" hidden="false" customHeight="false" outlineLevel="0" collapsed="false">
      <c r="A105" s="14" t="s">
        <v>281</v>
      </c>
      <c r="B105" s="14" t="s">
        <v>49</v>
      </c>
      <c r="C105" s="14" t="s">
        <v>282</v>
      </c>
      <c r="D105" s="14"/>
      <c r="E105" s="15" t="n">
        <v>9</v>
      </c>
      <c r="F105" s="14" t="s">
        <v>388</v>
      </c>
      <c r="G105" s="8" t="n">
        <v>17</v>
      </c>
      <c r="H105" s="14" t="s">
        <v>1099</v>
      </c>
      <c r="I105" s="14" t="s">
        <v>171</v>
      </c>
      <c r="J105" s="14" t="s">
        <v>992</v>
      </c>
      <c r="K105" s="8" t="n">
        <v>2</v>
      </c>
      <c r="L105" s="8" t="n">
        <v>0</v>
      </c>
      <c r="M105" s="8" t="n">
        <v>3</v>
      </c>
      <c r="N105" s="8" t="n">
        <v>21</v>
      </c>
      <c r="O105" s="8" t="n">
        <v>8</v>
      </c>
      <c r="P105" s="9" t="n">
        <v>22.8606390520843</v>
      </c>
      <c r="Q105" s="10" t="n">
        <v>0.043743309087802</v>
      </c>
      <c r="R105" s="9" t="n">
        <v>13</v>
      </c>
      <c r="S105" s="11" t="n">
        <f aca="false">IF(AND(ISNUMBER(R105),R105&gt;1,P105&gt;0),R105/P105-1,"")</f>
        <v>-0.431336981858573</v>
      </c>
      <c r="T105" s="9" t="n">
        <f aca="false">IF(AND(ISNUMBER(P105),P105&gt;0),P105*EXP('Read me'!$B$22),"")</f>
        <v>27.9220475915198</v>
      </c>
    </row>
    <row r="106" customFormat="false" ht="15" hidden="false" customHeight="false" outlineLevel="0" collapsed="false">
      <c r="A106" s="14" t="s">
        <v>281</v>
      </c>
      <c r="B106" s="14" t="s">
        <v>49</v>
      </c>
      <c r="C106" s="14" t="s">
        <v>282</v>
      </c>
      <c r="D106" s="14"/>
      <c r="E106" s="15" t="n">
        <v>9</v>
      </c>
      <c r="F106" s="14" t="s">
        <v>388</v>
      </c>
      <c r="G106" s="8" t="n">
        <v>17</v>
      </c>
      <c r="H106" s="14" t="s">
        <v>1100</v>
      </c>
      <c r="I106" s="14" t="s">
        <v>563</v>
      </c>
      <c r="J106" s="14" t="s">
        <v>79</v>
      </c>
      <c r="K106" s="8" t="n">
        <v>5</v>
      </c>
      <c r="L106" s="8" t="n">
        <v>0</v>
      </c>
      <c r="M106" s="8" t="n">
        <v>4</v>
      </c>
      <c r="N106" s="8" t="n">
        <v>37</v>
      </c>
      <c r="O106" s="8" t="n">
        <v>9</v>
      </c>
      <c r="P106" s="9" t="n">
        <v>23.7523456798697</v>
      </c>
      <c r="Q106" s="10" t="n">
        <v>0.0421011050225456</v>
      </c>
      <c r="R106" s="9" t="n">
        <v>7.5</v>
      </c>
      <c r="S106" s="11" t="n">
        <f aca="false">IF(AND(ISNUMBER(R106),R106&gt;1,P106&gt;0),R106/P106-1,"")</f>
        <v>-0.684241712330908</v>
      </c>
      <c r="T106" s="9" t="n">
        <f aca="false">IF(AND(ISNUMBER(P106),P106&gt;0),P106*EXP('Read me'!$B$22),"")</f>
        <v>29.0111805261666</v>
      </c>
    </row>
    <row r="107" customFormat="false" ht="15" hidden="false" customHeight="false" outlineLevel="0" collapsed="false">
      <c r="A107" s="14" t="s">
        <v>281</v>
      </c>
      <c r="B107" s="14" t="s">
        <v>49</v>
      </c>
      <c r="C107" s="14" t="s">
        <v>282</v>
      </c>
      <c r="D107" s="14"/>
      <c r="E107" s="15" t="n">
        <v>9</v>
      </c>
      <c r="F107" s="14" t="s">
        <v>388</v>
      </c>
      <c r="G107" s="8" t="n">
        <v>17</v>
      </c>
      <c r="H107" s="14" t="s">
        <v>1101</v>
      </c>
      <c r="I107" s="14" t="s">
        <v>531</v>
      </c>
      <c r="J107" s="14" t="s">
        <v>253</v>
      </c>
      <c r="K107" s="8" t="n">
        <v>17</v>
      </c>
      <c r="L107" s="8" t="n">
        <v>0</v>
      </c>
      <c r="M107" s="8" t="n">
        <v>3</v>
      </c>
      <c r="N107" s="8"/>
      <c r="O107" s="8" t="n">
        <v>10</v>
      </c>
      <c r="P107" s="9" t="n">
        <v>37.7969925533835</v>
      </c>
      <c r="Q107" s="10" t="n">
        <v>0.0264571314394293</v>
      </c>
      <c r="R107" s="9" t="n">
        <v>41</v>
      </c>
      <c r="S107" s="11" t="n">
        <f aca="false">IF(AND(ISNUMBER(R107),R107&gt;1,P107&gt;0),R107/P107-1,"")</f>
        <v>0.0847423890166026</v>
      </c>
      <c r="T107" s="9" t="n">
        <f aca="false">IF(AND(ISNUMBER(P107),P107&gt;0),P107*EXP('Read me'!$B$22),"")</f>
        <v>46.1653509548621</v>
      </c>
    </row>
    <row r="108" customFormat="false" ht="15" hidden="false" customHeight="false" outlineLevel="0" collapsed="false">
      <c r="A108" s="14" t="s">
        <v>281</v>
      </c>
      <c r="B108" s="14" t="s">
        <v>49</v>
      </c>
      <c r="C108" s="14" t="s">
        <v>282</v>
      </c>
      <c r="D108" s="14"/>
      <c r="E108" s="15" t="n">
        <v>9</v>
      </c>
      <c r="F108" s="14" t="s">
        <v>388</v>
      </c>
      <c r="G108" s="8" t="n">
        <v>17</v>
      </c>
      <c r="H108" s="14" t="s">
        <v>1102</v>
      </c>
      <c r="I108" s="14" t="s">
        <v>415</v>
      </c>
      <c r="J108" s="14" t="s">
        <v>469</v>
      </c>
      <c r="K108" s="8" t="n">
        <v>7</v>
      </c>
      <c r="L108" s="8" t="n">
        <v>0</v>
      </c>
      <c r="M108" s="8" t="n">
        <v>3</v>
      </c>
      <c r="N108" s="8" t="n">
        <v>24</v>
      </c>
      <c r="O108" s="8" t="n">
        <v>11</v>
      </c>
      <c r="P108" s="9" t="n">
        <v>76.2919654852261</v>
      </c>
      <c r="Q108" s="10" t="n">
        <v>0.0131075401405623</v>
      </c>
      <c r="R108" s="9" t="n">
        <v>51</v>
      </c>
      <c r="S108" s="11" t="n">
        <f aca="false">IF(AND(ISNUMBER(R108),R108&gt;1,P108&gt;0),R108/P108-1,"")</f>
        <v>-0.331515452831319</v>
      </c>
      <c r="T108" s="9" t="n">
        <f aca="false">IF(AND(ISNUMBER(P108),P108&gt;0),P108*EXP('Read me'!$B$22),"")</f>
        <v>93.1832170691156</v>
      </c>
    </row>
    <row r="109" customFormat="false" ht="15" hidden="false" customHeight="false" outlineLevel="0" collapsed="false">
      <c r="A109" s="14" t="s">
        <v>281</v>
      </c>
      <c r="B109" s="14" t="s">
        <v>49</v>
      </c>
      <c r="C109" s="14" t="s">
        <v>282</v>
      </c>
      <c r="D109" s="14"/>
      <c r="E109" s="15" t="n">
        <v>9</v>
      </c>
      <c r="F109" s="14" t="s">
        <v>388</v>
      </c>
      <c r="G109" s="8" t="n">
        <v>17</v>
      </c>
      <c r="H109" s="14" t="s">
        <v>1103</v>
      </c>
      <c r="I109" s="14" t="s">
        <v>107</v>
      </c>
      <c r="J109" s="14" t="s">
        <v>591</v>
      </c>
      <c r="K109" s="8" t="n">
        <v>10</v>
      </c>
      <c r="L109" s="8" t="n">
        <v>0</v>
      </c>
      <c r="M109" s="8" t="n">
        <v>3</v>
      </c>
      <c r="N109" s="8" t="n">
        <v>42</v>
      </c>
      <c r="O109" s="8" t="n">
        <v>12</v>
      </c>
      <c r="P109" s="9" t="n">
        <v>684.399523247492</v>
      </c>
      <c r="Q109" s="10" t="n">
        <v>0.0014611348576851</v>
      </c>
      <c r="R109" s="9" t="n">
        <v>81</v>
      </c>
      <c r="S109" s="11" t="n">
        <f aca="false">IF(AND(ISNUMBER(R109),R109&gt;1,P109&gt;0),R109/P109-1,"")</f>
        <v>-0.881648076527504</v>
      </c>
      <c r="T109" s="9" t="n">
        <f aca="false">IF(AND(ISNUMBER(P109),P109&gt;0),P109*EXP('Read me'!$B$22),"")</f>
        <v>835.927465377992</v>
      </c>
    </row>
    <row r="110" customFormat="false" ht="15" hidden="false" customHeight="false" outlineLevel="0" collapsed="false">
      <c r="A110" s="14" t="s">
        <v>281</v>
      </c>
      <c r="B110" s="14" t="s">
        <v>49</v>
      </c>
      <c r="C110" s="14" t="s">
        <v>282</v>
      </c>
      <c r="D110" s="14"/>
      <c r="E110" s="15" t="n">
        <v>9</v>
      </c>
      <c r="F110" s="14" t="s">
        <v>388</v>
      </c>
      <c r="G110" s="8" t="n">
        <v>17</v>
      </c>
      <c r="H110" s="14" t="s">
        <v>1104</v>
      </c>
      <c r="I110" s="14" t="s">
        <v>1105</v>
      </c>
      <c r="J110" s="14" t="s">
        <v>536</v>
      </c>
      <c r="K110" s="8" t="n">
        <v>13</v>
      </c>
      <c r="L110" s="8" t="n">
        <v>0</v>
      </c>
      <c r="M110" s="8" t="n">
        <v>3</v>
      </c>
      <c r="N110" s="8" t="n">
        <v>21</v>
      </c>
      <c r="O110" s="8" t="n">
        <v>13</v>
      </c>
      <c r="P110" s="9" t="n">
        <v>686.248157555634</v>
      </c>
      <c r="Q110" s="10" t="n">
        <v>0.0014571988121059</v>
      </c>
      <c r="R110" s="9" t="n">
        <v>101</v>
      </c>
      <c r="S110" s="11" t="n">
        <f aca="false">IF(AND(ISNUMBER(R110),R110&gt;1,P110&gt;0),R110/P110-1,"")</f>
        <v>-0.852822919977294</v>
      </c>
      <c r="T110" s="9" t="n">
        <f aca="false">IF(AND(ISNUMBER(P110),P110&gt;0),P110*EXP('Read me'!$B$22),"")</f>
        <v>838.185392420786</v>
      </c>
    </row>
    <row r="111" customFormat="false" ht="15" hidden="false" customHeight="false" outlineLevel="0" collapsed="false">
      <c r="A111" s="14" t="s">
        <v>281</v>
      </c>
      <c r="B111" s="14" t="s">
        <v>49</v>
      </c>
      <c r="C111" s="14" t="s">
        <v>282</v>
      </c>
      <c r="D111" s="14"/>
      <c r="E111" s="15" t="n">
        <v>9</v>
      </c>
      <c r="F111" s="14" t="s">
        <v>388</v>
      </c>
      <c r="G111" s="8" t="n">
        <v>17</v>
      </c>
      <c r="H111" s="14" t="s">
        <v>1106</v>
      </c>
      <c r="I111" s="14" t="s">
        <v>565</v>
      </c>
      <c r="J111" s="14" t="s">
        <v>1107</v>
      </c>
      <c r="K111" s="8" t="n">
        <v>3</v>
      </c>
      <c r="L111" s="8" t="n">
        <v>0</v>
      </c>
      <c r="M111" s="8" t="n">
        <v>3</v>
      </c>
      <c r="N111" s="8" t="n">
        <v>63</v>
      </c>
      <c r="O111" s="8" t="n">
        <v>14</v>
      </c>
      <c r="P111" s="9" t="n">
        <v>919.0636108157</v>
      </c>
      <c r="Q111" s="10" t="n">
        <v>0.0010880639688393</v>
      </c>
      <c r="R111" s="9" t="n">
        <v>151</v>
      </c>
      <c r="S111" s="11" t="n">
        <f aca="false">IF(AND(ISNUMBER(R111),R111&gt;1,P111&gt;0),R111/P111-1,"")</f>
        <v>-0.835702340705251</v>
      </c>
      <c r="T111" s="9" t="n">
        <f aca="false">IF(AND(ISNUMBER(P111),P111&gt;0),P111*EXP('Read me'!$B$22),"")</f>
        <v>1122.54682917494</v>
      </c>
    </row>
    <row r="112" customFormat="false" ht="15" hidden="false" customHeight="false" outlineLevel="0" collapsed="false">
      <c r="A112" s="14" t="s">
        <v>281</v>
      </c>
      <c r="B112" s="14" t="s">
        <v>49</v>
      </c>
      <c r="C112" s="14" t="s">
        <v>282</v>
      </c>
      <c r="D112" s="14"/>
      <c r="E112" s="15" t="n">
        <v>9</v>
      </c>
      <c r="F112" s="14" t="s">
        <v>388</v>
      </c>
      <c r="G112" s="8" t="n">
        <v>17</v>
      </c>
      <c r="H112" s="14" t="s">
        <v>1108</v>
      </c>
      <c r="I112" s="14" t="s">
        <v>412</v>
      </c>
      <c r="J112" s="14" t="s">
        <v>532</v>
      </c>
      <c r="K112" s="8" t="n">
        <v>11</v>
      </c>
      <c r="L112" s="8" t="n">
        <v>0</v>
      </c>
      <c r="M112" s="8" t="n">
        <v>3</v>
      </c>
      <c r="N112" s="8" t="n">
        <v>8</v>
      </c>
      <c r="O112" s="8" t="n">
        <v>15</v>
      </c>
      <c r="P112" s="9" t="n">
        <v>1053.25099139134</v>
      </c>
      <c r="Q112" s="10" t="n">
        <v>0.0009494413090264</v>
      </c>
      <c r="R112" s="9" t="n">
        <v>151</v>
      </c>
      <c r="S112" s="11" t="n">
        <f aca="false">IF(AND(ISNUMBER(R112),R112&gt;1,P112&gt;0),R112/P112-1,"")</f>
        <v>-0.856634362337005</v>
      </c>
      <c r="T112" s="9" t="n">
        <f aca="false">IF(AND(ISNUMBER(P112),P112&gt;0),P112*EXP('Read me'!$B$22),"")</f>
        <v>1286.44366592031</v>
      </c>
    </row>
    <row r="113" customFormat="false" ht="15" hidden="false" customHeight="false" outlineLevel="0" collapsed="false">
      <c r="A113" s="14" t="s">
        <v>281</v>
      </c>
      <c r="B113" s="14" t="s">
        <v>49</v>
      </c>
      <c r="C113" s="14" t="s">
        <v>282</v>
      </c>
      <c r="D113" s="14"/>
      <c r="E113" s="15" t="n">
        <v>9</v>
      </c>
      <c r="F113" s="14" t="s">
        <v>388</v>
      </c>
      <c r="G113" s="8" t="n">
        <v>17</v>
      </c>
      <c r="H113" s="14" t="s">
        <v>1109</v>
      </c>
      <c r="I113" s="14" t="s">
        <v>406</v>
      </c>
      <c r="J113" s="14" t="s">
        <v>1107</v>
      </c>
      <c r="K113" s="8" t="n">
        <v>12</v>
      </c>
      <c r="L113" s="8" t="n">
        <v>0</v>
      </c>
      <c r="M113" s="8" t="n">
        <v>6</v>
      </c>
      <c r="N113" s="8" t="n">
        <v>22</v>
      </c>
      <c r="O113" s="8" t="n">
        <v>16</v>
      </c>
      <c r="P113" s="9" t="n">
        <v>1237.14053262635</v>
      </c>
      <c r="Q113" s="10" t="n">
        <v>0.0008083156065358</v>
      </c>
      <c r="R113" s="9" t="n">
        <v>151</v>
      </c>
      <c r="S113" s="11" t="n">
        <f aca="false">IF(AND(ISNUMBER(R113),R113&gt;1,P113&gt;0),R113/P113-1,"")</f>
        <v>-0.877944343413081</v>
      </c>
      <c r="T113" s="9" t="n">
        <f aca="false">IF(AND(ISNUMBER(P113),P113&gt;0),P113*EXP('Read me'!$B$22),"")</f>
        <v>1511.04685878157</v>
      </c>
    </row>
    <row r="114" customFormat="false" ht="15" hidden="false" customHeight="false" outlineLevel="0" collapsed="false">
      <c r="A114" s="14" t="s">
        <v>281</v>
      </c>
      <c r="B114" s="14" t="s">
        <v>49</v>
      </c>
      <c r="C114" s="14" t="s">
        <v>282</v>
      </c>
      <c r="D114" s="14"/>
      <c r="E114" s="15" t="n">
        <v>9</v>
      </c>
      <c r="F114" s="14" t="s">
        <v>388</v>
      </c>
      <c r="G114" s="8" t="n">
        <v>17</v>
      </c>
      <c r="H114" s="14" t="s">
        <v>1110</v>
      </c>
      <c r="I114" s="14" t="s">
        <v>1111</v>
      </c>
      <c r="J114" s="14" t="s">
        <v>1112</v>
      </c>
      <c r="K114" s="8" t="n">
        <v>9</v>
      </c>
      <c r="L114" s="8" t="n">
        <v>0</v>
      </c>
      <c r="M114" s="8" t="n">
        <v>6</v>
      </c>
      <c r="N114" s="8" t="n">
        <v>10</v>
      </c>
      <c r="O114" s="8" t="n">
        <v>17</v>
      </c>
      <c r="P114" s="9" t="n">
        <v>1900.27882720441</v>
      </c>
      <c r="Q114" s="10" t="n">
        <v>0.0005262385633539</v>
      </c>
      <c r="R114" s="9" t="n">
        <v>67</v>
      </c>
      <c r="S114" s="11" t="n">
        <f aca="false">IF(AND(ISNUMBER(R114),R114&gt;1,P114&gt;0),R114/P114-1,"")</f>
        <v>-0.964742016255285</v>
      </c>
      <c r="T114" s="9" t="n">
        <f aca="false">IF(AND(ISNUMBER(P114),P114&gt;0),P114*EXP('Read me'!$B$22),"")</f>
        <v>2321.00580082084</v>
      </c>
    </row>
  </sheetData>
  <autoFilter ref="A1:T114"/>
  <conditionalFormatting sqref="A2:T114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358</v>
      </c>
      <c r="E1" s="6" t="s">
        <v>359</v>
      </c>
      <c r="F1" s="6" t="s">
        <v>360</v>
      </c>
      <c r="G1" s="6" t="s">
        <v>1</v>
      </c>
      <c r="H1" s="6" t="s">
        <v>361</v>
      </c>
      <c r="I1" s="6" t="s">
        <v>35</v>
      </c>
      <c r="J1" s="6" t="s">
        <v>36</v>
      </c>
      <c r="K1" s="6" t="s">
        <v>362</v>
      </c>
      <c r="L1" s="6" t="s">
        <v>363</v>
      </c>
      <c r="M1" s="6" t="s">
        <v>364</v>
      </c>
      <c r="N1" s="6" t="s">
        <v>365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4" t="s">
        <v>55</v>
      </c>
      <c r="B2" s="14" t="s">
        <v>56</v>
      </c>
      <c r="C2" s="14" t="s">
        <v>57</v>
      </c>
      <c r="D2" s="14" t="s">
        <v>366</v>
      </c>
      <c r="E2" s="15" t="n">
        <v>8</v>
      </c>
      <c r="F2" s="14" t="s">
        <v>419</v>
      </c>
      <c r="G2" s="8" t="n">
        <v>10</v>
      </c>
      <c r="H2" s="14" t="s">
        <v>58</v>
      </c>
      <c r="I2" s="14" t="s">
        <v>59</v>
      </c>
      <c r="J2" s="14" t="s">
        <v>60</v>
      </c>
      <c r="K2" s="8" t="n">
        <v>4</v>
      </c>
      <c r="L2" s="8" t="n">
        <v>96</v>
      </c>
      <c r="M2" s="8" t="n">
        <v>4</v>
      </c>
      <c r="N2" s="8" t="n">
        <v>37</v>
      </c>
      <c r="O2" s="8" t="n">
        <v>1</v>
      </c>
      <c r="P2" s="9" t="n">
        <v>5.26836015612941</v>
      </c>
      <c r="Q2" s="10" t="n">
        <v>0.189812383809137</v>
      </c>
      <c r="R2" s="9" t="n">
        <v>4.5</v>
      </c>
      <c r="S2" s="11" t="n">
        <f aca="false">IF(AND(ISNUMBER(R2),R2&gt;1,P2&gt;0),R2/P2-1,"")</f>
        <v>-0.145844272858884</v>
      </c>
      <c r="T2" s="9" t="n">
        <f aca="false">IF(AND(ISNUMBER(P2),P2&gt;0),P2*EXP('Read me'!$B$22),"")</f>
        <v>6.4347896256776</v>
      </c>
    </row>
    <row r="3" customFormat="false" ht="15" hidden="false" customHeight="false" outlineLevel="0" collapsed="false">
      <c r="A3" s="14" t="s">
        <v>55</v>
      </c>
      <c r="B3" s="14" t="s">
        <v>56</v>
      </c>
      <c r="C3" s="14" t="s">
        <v>57</v>
      </c>
      <c r="D3" s="14" t="s">
        <v>366</v>
      </c>
      <c r="E3" s="15" t="n">
        <v>8</v>
      </c>
      <c r="F3" s="14" t="s">
        <v>419</v>
      </c>
      <c r="G3" s="8" t="n">
        <v>10</v>
      </c>
      <c r="H3" s="14" t="s">
        <v>61</v>
      </c>
      <c r="I3" s="14" t="s">
        <v>420</v>
      </c>
      <c r="J3" s="14" t="s">
        <v>91</v>
      </c>
      <c r="K3" s="8" t="n">
        <v>9</v>
      </c>
      <c r="L3" s="8" t="n">
        <v>100</v>
      </c>
      <c r="M3" s="8" t="n">
        <v>4</v>
      </c>
      <c r="N3" s="8" t="n">
        <v>10</v>
      </c>
      <c r="O3" s="8" t="n">
        <v>2</v>
      </c>
      <c r="P3" s="9" t="n">
        <v>5.84340442926075</v>
      </c>
      <c r="Q3" s="10" t="n">
        <v>0.171133114626213</v>
      </c>
      <c r="R3" s="9" t="n">
        <v>6.5</v>
      </c>
      <c r="S3" s="11" t="n">
        <f aca="false">IF(AND(ISNUMBER(R3),R3&gt;1,P3&gt;0),R3/P3-1,"")</f>
        <v>0.112365245070383</v>
      </c>
      <c r="T3" s="9" t="n">
        <f aca="false">IF(AND(ISNUMBER(P3),P3&gt;0),P3*EXP('Read me'!$B$22),"")</f>
        <v>7.13715028694444</v>
      </c>
    </row>
    <row r="4" customFormat="false" ht="15" hidden="false" customHeight="false" outlineLevel="0" collapsed="false">
      <c r="A4" s="14" t="s">
        <v>55</v>
      </c>
      <c r="B4" s="14" t="s">
        <v>56</v>
      </c>
      <c r="C4" s="14" t="s">
        <v>57</v>
      </c>
      <c r="D4" s="14" t="s">
        <v>366</v>
      </c>
      <c r="E4" s="15" t="n">
        <v>8</v>
      </c>
      <c r="F4" s="14" t="s">
        <v>419</v>
      </c>
      <c r="G4" s="8" t="n">
        <v>10</v>
      </c>
      <c r="H4" s="14" t="s">
        <v>421</v>
      </c>
      <c r="I4" s="14" t="s">
        <v>187</v>
      </c>
      <c r="J4" s="14" t="s">
        <v>370</v>
      </c>
      <c r="K4" s="8" t="n">
        <v>3</v>
      </c>
      <c r="L4" s="8" t="n">
        <v>93</v>
      </c>
      <c r="M4" s="8" t="n">
        <v>3</v>
      </c>
      <c r="N4" s="8" t="n">
        <v>23</v>
      </c>
      <c r="O4" s="8" t="n">
        <v>3</v>
      </c>
      <c r="P4" s="9" t="n">
        <v>7.43003093437414</v>
      </c>
      <c r="Q4" s="10" t="n">
        <v>0.134588941665589</v>
      </c>
      <c r="R4" s="9" t="n">
        <v>7</v>
      </c>
      <c r="S4" s="11" t="n">
        <f aca="false">IF(AND(ISNUMBER(R4),R4&gt;1,P4&gt;0),R4/P4-1,"")</f>
        <v>-0.0578774083408796</v>
      </c>
      <c r="T4" s="9" t="n">
        <f aca="false">IF(AND(ISNUMBER(P4),P4&gt;0),P4*EXP('Read me'!$B$22),"")</f>
        <v>9.07506027645996</v>
      </c>
    </row>
    <row r="5" customFormat="false" ht="15" hidden="false" customHeight="false" outlineLevel="0" collapsed="false">
      <c r="A5" s="14" t="s">
        <v>55</v>
      </c>
      <c r="B5" s="14" t="s">
        <v>56</v>
      </c>
      <c r="C5" s="14" t="s">
        <v>57</v>
      </c>
      <c r="D5" s="14" t="s">
        <v>366</v>
      </c>
      <c r="E5" s="15" t="n">
        <v>8</v>
      </c>
      <c r="F5" s="14" t="s">
        <v>419</v>
      </c>
      <c r="G5" s="8" t="n">
        <v>10</v>
      </c>
      <c r="H5" s="14" t="s">
        <v>422</v>
      </c>
      <c r="I5" s="14" t="s">
        <v>423</v>
      </c>
      <c r="J5" s="14" t="s">
        <v>127</v>
      </c>
      <c r="K5" s="8" t="n">
        <v>1</v>
      </c>
      <c r="L5" s="8" t="n">
        <v>104</v>
      </c>
      <c r="M5" s="8" t="n">
        <v>5</v>
      </c>
      <c r="N5" s="8" t="n">
        <v>37</v>
      </c>
      <c r="O5" s="8" t="n">
        <v>4</v>
      </c>
      <c r="P5" s="9" t="n">
        <v>7.6360690600436</v>
      </c>
      <c r="Q5" s="10" t="n">
        <v>0.13095743269696</v>
      </c>
      <c r="R5" s="9" t="n">
        <v>7.5</v>
      </c>
      <c r="S5" s="11" t="n">
        <f aca="false">IF(AND(ISNUMBER(R5),R5&gt;1,P5&gt;0),R5/P5-1,"")</f>
        <v>-0.0178192547727983</v>
      </c>
      <c r="T5" s="9" t="n">
        <f aca="false">IF(AND(ISNUMBER(P5),P5&gt;0),P5*EXP('Read me'!$B$22),"")</f>
        <v>9.32671581143879</v>
      </c>
    </row>
    <row r="6" customFormat="false" ht="15" hidden="false" customHeight="false" outlineLevel="0" collapsed="false">
      <c r="A6" s="14" t="s">
        <v>55</v>
      </c>
      <c r="B6" s="14" t="s">
        <v>56</v>
      </c>
      <c r="C6" s="14" t="s">
        <v>57</v>
      </c>
      <c r="D6" s="14" t="s">
        <v>366</v>
      </c>
      <c r="E6" s="15" t="n">
        <v>8</v>
      </c>
      <c r="F6" s="14" t="s">
        <v>419</v>
      </c>
      <c r="G6" s="8" t="n">
        <v>10</v>
      </c>
      <c r="H6" s="14" t="s">
        <v>424</v>
      </c>
      <c r="I6" s="14" t="s">
        <v>425</v>
      </c>
      <c r="J6" s="14" t="s">
        <v>376</v>
      </c>
      <c r="K6" s="8" t="n">
        <v>10</v>
      </c>
      <c r="L6" s="8" t="n">
        <v>96</v>
      </c>
      <c r="M6" s="8" t="n">
        <v>5</v>
      </c>
      <c r="N6" s="8" t="n">
        <v>22</v>
      </c>
      <c r="O6" s="8" t="n">
        <v>5</v>
      </c>
      <c r="P6" s="9" t="n">
        <v>12.1677600162518</v>
      </c>
      <c r="Q6" s="10" t="n">
        <v>0.0821843953746912</v>
      </c>
      <c r="R6" s="9" t="n">
        <v>11</v>
      </c>
      <c r="S6" s="11" t="n">
        <f aca="false">IF(AND(ISNUMBER(R6),R6&gt;1,P6&gt;0),R6/P6-1,"")</f>
        <v>-0.0959716508783962</v>
      </c>
      <c r="T6" s="9" t="n">
        <f aca="false">IF(AND(ISNUMBER(P6),P6&gt;0),P6*EXP('Read me'!$B$22),"")</f>
        <v>14.861735644481</v>
      </c>
    </row>
    <row r="7" customFormat="false" ht="15" hidden="false" customHeight="false" outlineLevel="0" collapsed="false">
      <c r="A7" s="14" t="s">
        <v>55</v>
      </c>
      <c r="B7" s="14" t="s">
        <v>56</v>
      </c>
      <c r="C7" s="14" t="s">
        <v>57</v>
      </c>
      <c r="D7" s="14" t="s">
        <v>366</v>
      </c>
      <c r="E7" s="15" t="n">
        <v>8</v>
      </c>
      <c r="F7" s="14" t="s">
        <v>419</v>
      </c>
      <c r="G7" s="8" t="n">
        <v>10</v>
      </c>
      <c r="H7" s="14" t="s">
        <v>426</v>
      </c>
      <c r="I7" s="14" t="s">
        <v>427</v>
      </c>
      <c r="J7" s="14" t="s">
        <v>428</v>
      </c>
      <c r="K7" s="8" t="n">
        <v>5</v>
      </c>
      <c r="L7" s="8" t="n">
        <v>96</v>
      </c>
      <c r="M7" s="8" t="n">
        <v>6</v>
      </c>
      <c r="N7" s="8" t="n">
        <v>57</v>
      </c>
      <c r="O7" s="8" t="n">
        <v>6</v>
      </c>
      <c r="P7" s="9" t="n">
        <v>14.6998776569961</v>
      </c>
      <c r="Q7" s="10" t="n">
        <v>0.0680277770559587</v>
      </c>
      <c r="R7" s="9" t="n">
        <v>10</v>
      </c>
      <c r="S7" s="11" t="n">
        <f aca="false">IF(AND(ISNUMBER(R7),R7&gt;1,P7&gt;0),R7/P7-1,"")</f>
        <v>-0.319722229440412</v>
      </c>
      <c r="T7" s="9" t="n">
        <f aca="false">IF(AND(ISNUMBER(P7),P7&gt;0),P7*EXP('Read me'!$B$22),"")</f>
        <v>17.9544711148721</v>
      </c>
    </row>
    <row r="8" customFormat="false" ht="15" hidden="false" customHeight="false" outlineLevel="0" collapsed="false">
      <c r="A8" s="14" t="s">
        <v>55</v>
      </c>
      <c r="B8" s="14" t="s">
        <v>56</v>
      </c>
      <c r="C8" s="14" t="s">
        <v>57</v>
      </c>
      <c r="D8" s="14" t="s">
        <v>366</v>
      </c>
      <c r="E8" s="15" t="n">
        <v>8</v>
      </c>
      <c r="F8" s="14" t="s">
        <v>419</v>
      </c>
      <c r="G8" s="8" t="n">
        <v>10</v>
      </c>
      <c r="H8" s="14" t="s">
        <v>429</v>
      </c>
      <c r="I8" s="14" t="s">
        <v>84</v>
      </c>
      <c r="J8" s="14" t="s">
        <v>230</v>
      </c>
      <c r="K8" s="8" t="n">
        <v>6</v>
      </c>
      <c r="L8" s="8" t="n">
        <v>100</v>
      </c>
      <c r="M8" s="8" t="n">
        <v>4</v>
      </c>
      <c r="N8" s="8" t="n">
        <v>14</v>
      </c>
      <c r="O8" s="8" t="n">
        <v>7</v>
      </c>
      <c r="P8" s="9" t="n">
        <v>14.9545569154404</v>
      </c>
      <c r="Q8" s="10" t="n">
        <v>0.0668692496644626</v>
      </c>
      <c r="R8" s="9" t="n">
        <v>10</v>
      </c>
      <c r="S8" s="11" t="n">
        <f aca="false">IF(AND(ISNUMBER(R8),R8&gt;1,P8&gt;0),R8/P8-1,"")</f>
        <v>-0.331307503355373</v>
      </c>
      <c r="T8" s="9" t="n">
        <f aca="false">IF(AND(ISNUMBER(P8),P8&gt;0),P8*EXP('Read me'!$B$22),"")</f>
        <v>18.2655370635821</v>
      </c>
    </row>
    <row r="9" customFormat="false" ht="15" hidden="false" customHeight="false" outlineLevel="0" collapsed="false">
      <c r="A9" s="14" t="s">
        <v>55</v>
      </c>
      <c r="B9" s="14" t="s">
        <v>56</v>
      </c>
      <c r="C9" s="14" t="s">
        <v>57</v>
      </c>
      <c r="D9" s="14" t="s">
        <v>366</v>
      </c>
      <c r="E9" s="15" t="n">
        <v>8</v>
      </c>
      <c r="F9" s="14" t="s">
        <v>419</v>
      </c>
      <c r="G9" s="8" t="n">
        <v>10</v>
      </c>
      <c r="H9" s="14" t="s">
        <v>430</v>
      </c>
      <c r="I9" s="14" t="s">
        <v>266</v>
      </c>
      <c r="J9" s="14" t="s">
        <v>267</v>
      </c>
      <c r="K9" s="8" t="n">
        <v>2</v>
      </c>
      <c r="L9" s="8" t="n">
        <v>100</v>
      </c>
      <c r="M9" s="8" t="n">
        <v>3</v>
      </c>
      <c r="N9" s="8" t="n">
        <v>163</v>
      </c>
      <c r="O9" s="8" t="n">
        <v>8</v>
      </c>
      <c r="P9" s="9" t="n">
        <v>17.4827904999994</v>
      </c>
      <c r="Q9" s="10" t="n">
        <v>0.0571991067444315</v>
      </c>
      <c r="R9" s="9" t="n">
        <v>10</v>
      </c>
      <c r="S9" s="11" t="n">
        <f aca="false">IF(AND(ISNUMBER(R9),R9&gt;1,P9&gt;0),R9/P9-1,"")</f>
        <v>-0.428008932555685</v>
      </c>
      <c r="T9" s="9" t="n">
        <f aca="false">IF(AND(ISNUMBER(P9),P9&gt;0),P9*EXP('Read me'!$B$22),"")</f>
        <v>21.3535285370357</v>
      </c>
    </row>
    <row r="10" customFormat="false" ht="15" hidden="false" customHeight="false" outlineLevel="0" collapsed="false">
      <c r="A10" s="14" t="s">
        <v>55</v>
      </c>
      <c r="B10" s="14" t="s">
        <v>56</v>
      </c>
      <c r="C10" s="14" t="s">
        <v>57</v>
      </c>
      <c r="D10" s="14" t="s">
        <v>366</v>
      </c>
      <c r="E10" s="15" t="n">
        <v>8</v>
      </c>
      <c r="F10" s="14" t="s">
        <v>419</v>
      </c>
      <c r="G10" s="8" t="n">
        <v>10</v>
      </c>
      <c r="H10" s="14" t="s">
        <v>431</v>
      </c>
      <c r="I10" s="14" t="s">
        <v>432</v>
      </c>
      <c r="J10" s="14" t="s">
        <v>433</v>
      </c>
      <c r="K10" s="8" t="n">
        <v>7</v>
      </c>
      <c r="L10" s="8" t="n">
        <v>85</v>
      </c>
      <c r="M10" s="8" t="n">
        <v>5</v>
      </c>
      <c r="N10" s="8" t="n">
        <v>106</v>
      </c>
      <c r="O10" s="8" t="n">
        <v>9</v>
      </c>
      <c r="P10" s="9" t="n">
        <v>18.9296470308637</v>
      </c>
      <c r="Q10" s="10" t="n">
        <v>0.0528271868128105</v>
      </c>
      <c r="R10" s="9" t="n">
        <v>23</v>
      </c>
      <c r="S10" s="11" t="n">
        <f aca="false">IF(AND(ISNUMBER(R10),R10&gt;1,P10&gt;0),R10/P10-1,"")</f>
        <v>0.215025296694642</v>
      </c>
      <c r="T10" s="9" t="n">
        <f aca="false">IF(AND(ISNUMBER(P10),P10&gt;0),P10*EXP('Read me'!$B$22),"")</f>
        <v>23.1207230944954</v>
      </c>
    </row>
    <row r="11" customFormat="false" ht="15" hidden="false" customHeight="false" outlineLevel="0" collapsed="false">
      <c r="A11" s="14" t="s">
        <v>55</v>
      </c>
      <c r="B11" s="14" t="s">
        <v>56</v>
      </c>
      <c r="C11" s="14" t="s">
        <v>57</v>
      </c>
      <c r="D11" s="14" t="s">
        <v>366</v>
      </c>
      <c r="E11" s="15" t="n">
        <v>8</v>
      </c>
      <c r="F11" s="14" t="s">
        <v>419</v>
      </c>
      <c r="G11" s="8" t="n">
        <v>10</v>
      </c>
      <c r="H11" s="14" t="s">
        <v>434</v>
      </c>
      <c r="I11" s="14" t="s">
        <v>435</v>
      </c>
      <c r="J11" s="14" t="s">
        <v>241</v>
      </c>
      <c r="K11" s="8" t="n">
        <v>8</v>
      </c>
      <c r="L11" s="8" t="n">
        <v>96</v>
      </c>
      <c r="M11" s="8" t="n">
        <v>7</v>
      </c>
      <c r="N11" s="8" t="n">
        <v>14</v>
      </c>
      <c r="O11" s="8" t="n">
        <v>10</v>
      </c>
      <c r="P11" s="9" t="n">
        <v>21.5515329843117</v>
      </c>
      <c r="Q11" s="10" t="n">
        <v>0.0464004115497466</v>
      </c>
      <c r="R11" s="9" t="n">
        <v>17</v>
      </c>
      <c r="S11" s="11" t="n">
        <f aca="false">IF(AND(ISNUMBER(R11),R11&gt;1,P11&gt;0),R11/P11-1,"")</f>
        <v>-0.211193003654308</v>
      </c>
      <c r="T11" s="9" t="n">
        <f aca="false">IF(AND(ISNUMBER(P11),P11&gt;0),P11*EXP('Read me'!$B$22),"")</f>
        <v>26.3231018296181</v>
      </c>
    </row>
    <row r="12" customFormat="false" ht="15" hidden="false" customHeight="false" outlineLevel="0" collapsed="false">
      <c r="A12" s="14" t="s">
        <v>81</v>
      </c>
      <c r="B12" s="14" t="s">
        <v>56</v>
      </c>
      <c r="C12" s="14" t="s">
        <v>82</v>
      </c>
      <c r="D12" s="14" t="s">
        <v>366</v>
      </c>
      <c r="E12" s="15" t="n">
        <v>5</v>
      </c>
      <c r="F12" s="14" t="s">
        <v>419</v>
      </c>
      <c r="G12" s="8" t="n">
        <v>10</v>
      </c>
      <c r="H12" s="14" t="s">
        <v>83</v>
      </c>
      <c r="I12" s="14" t="s">
        <v>84</v>
      </c>
      <c r="J12" s="14" t="s">
        <v>85</v>
      </c>
      <c r="K12" s="8" t="n">
        <v>4</v>
      </c>
      <c r="L12" s="8" t="n">
        <v>89</v>
      </c>
      <c r="M12" s="8" t="n">
        <v>6</v>
      </c>
      <c r="N12" s="8" t="n">
        <v>7</v>
      </c>
      <c r="O12" s="8" t="n">
        <v>1</v>
      </c>
      <c r="P12" s="9" t="n">
        <v>4.58882493328048</v>
      </c>
      <c r="Q12" s="10" t="n">
        <v>0.217920712718303</v>
      </c>
      <c r="R12" s="9" t="n">
        <v>3.25</v>
      </c>
      <c r="S12" s="11" t="n">
        <f aca="false">IF(AND(ISNUMBER(R12),R12&gt;1,P12&gt;0),R12/P12-1,"")</f>
        <v>-0.291757683665516</v>
      </c>
      <c r="T12" s="9" t="n">
        <f aca="false">IF(AND(ISNUMBER(P12),P12&gt;0),P12*EXP('Read me'!$B$22),"")</f>
        <v>5.60480343022294</v>
      </c>
    </row>
    <row r="13" customFormat="false" ht="15" hidden="false" customHeight="false" outlineLevel="0" collapsed="false">
      <c r="A13" s="14" t="s">
        <v>81</v>
      </c>
      <c r="B13" s="14" t="s">
        <v>56</v>
      </c>
      <c r="C13" s="14" t="s">
        <v>82</v>
      </c>
      <c r="D13" s="14" t="s">
        <v>366</v>
      </c>
      <c r="E13" s="15" t="n">
        <v>5</v>
      </c>
      <c r="F13" s="14" t="s">
        <v>419</v>
      </c>
      <c r="G13" s="8" t="n">
        <v>10</v>
      </c>
      <c r="H13" s="14" t="s">
        <v>86</v>
      </c>
      <c r="I13" s="14" t="s">
        <v>423</v>
      </c>
      <c r="J13" s="14" t="s">
        <v>379</v>
      </c>
      <c r="K13" s="8" t="n">
        <v>11</v>
      </c>
      <c r="L13" s="8" t="n">
        <v>94</v>
      </c>
      <c r="M13" s="8" t="n">
        <v>4</v>
      </c>
      <c r="N13" s="8" t="n">
        <v>14</v>
      </c>
      <c r="O13" s="8" t="n">
        <v>2</v>
      </c>
      <c r="P13" s="9" t="n">
        <v>4.88750453280089</v>
      </c>
      <c r="Q13" s="10" t="n">
        <v>0.204603390807891</v>
      </c>
      <c r="R13" s="9" t="n">
        <v>4</v>
      </c>
      <c r="S13" s="11" t="n">
        <f aca="false">IF(AND(ISNUMBER(R13),R13&gt;1,P13&gt;0),R13/P13-1,"")</f>
        <v>-0.181586436768435</v>
      </c>
      <c r="T13" s="9" t="n">
        <f aca="false">IF(AND(ISNUMBER(P13),P13&gt;0),P13*EXP('Read me'!$B$22),"")</f>
        <v>5.96961151688334</v>
      </c>
    </row>
    <row r="14" customFormat="false" ht="15" hidden="false" customHeight="false" outlineLevel="0" collapsed="false">
      <c r="A14" s="14" t="s">
        <v>81</v>
      </c>
      <c r="B14" s="14" t="s">
        <v>56</v>
      </c>
      <c r="C14" s="14" t="s">
        <v>82</v>
      </c>
      <c r="D14" s="14" t="s">
        <v>366</v>
      </c>
      <c r="E14" s="15" t="n">
        <v>5</v>
      </c>
      <c r="F14" s="14" t="s">
        <v>419</v>
      </c>
      <c r="G14" s="8" t="n">
        <v>10</v>
      </c>
      <c r="H14" s="14" t="s">
        <v>479</v>
      </c>
      <c r="I14" s="14" t="s">
        <v>266</v>
      </c>
      <c r="J14" s="14" t="s">
        <v>480</v>
      </c>
      <c r="K14" s="8" t="n">
        <v>7</v>
      </c>
      <c r="L14" s="8" t="n">
        <v>90</v>
      </c>
      <c r="M14" s="8" t="n">
        <v>4</v>
      </c>
      <c r="N14" s="8" t="n">
        <v>13</v>
      </c>
      <c r="O14" s="8" t="n">
        <v>3</v>
      </c>
      <c r="P14" s="9" t="n">
        <v>6.73010263394746</v>
      </c>
      <c r="Q14" s="10" t="n">
        <v>0.148586144133357</v>
      </c>
      <c r="R14" s="9" t="n">
        <v>7.5</v>
      </c>
      <c r="S14" s="11" t="n">
        <f aca="false">IF(AND(ISNUMBER(R14),R14&gt;1,P14&gt;0),R14/P14-1,"")</f>
        <v>0.114396081000174</v>
      </c>
      <c r="T14" s="9" t="n">
        <f aca="false">IF(AND(ISNUMBER(P14),P14&gt;0),P14*EXP('Read me'!$B$22),"")</f>
        <v>8.22016591980446</v>
      </c>
    </row>
    <row r="15" customFormat="false" ht="15" hidden="false" customHeight="false" outlineLevel="0" collapsed="false">
      <c r="A15" s="14" t="s">
        <v>81</v>
      </c>
      <c r="B15" s="14" t="s">
        <v>56</v>
      </c>
      <c r="C15" s="14" t="s">
        <v>82</v>
      </c>
      <c r="D15" s="14" t="s">
        <v>366</v>
      </c>
      <c r="E15" s="15" t="n">
        <v>5</v>
      </c>
      <c r="F15" s="14" t="s">
        <v>419</v>
      </c>
      <c r="G15" s="8" t="n">
        <v>10</v>
      </c>
      <c r="H15" s="14" t="s">
        <v>481</v>
      </c>
      <c r="I15" s="14" t="s">
        <v>482</v>
      </c>
      <c r="J15" s="14" t="s">
        <v>483</v>
      </c>
      <c r="K15" s="8" t="n">
        <v>3</v>
      </c>
      <c r="L15" s="8" t="n">
        <v>86</v>
      </c>
      <c r="M15" s="8" t="n">
        <v>4</v>
      </c>
      <c r="N15" s="8" t="n">
        <v>42</v>
      </c>
      <c r="O15" s="8" t="n">
        <v>4</v>
      </c>
      <c r="P15" s="9" t="n">
        <v>9.80567894936493</v>
      </c>
      <c r="Q15" s="10" t="n">
        <v>0.101981719487641</v>
      </c>
      <c r="R15" s="9" t="n">
        <v>12</v>
      </c>
      <c r="S15" s="11" t="n">
        <f aca="false">IF(AND(ISNUMBER(R15),R15&gt;1,P15&gt;0),R15/P15-1,"")</f>
        <v>0.223780633851692</v>
      </c>
      <c r="T15" s="9" t="n">
        <f aca="false">IF(AND(ISNUMBER(P15),P15&gt;0),P15*EXP('Read me'!$B$22),"")</f>
        <v>11.9766833143874</v>
      </c>
    </row>
    <row r="16" customFormat="false" ht="15" hidden="false" customHeight="false" outlineLevel="0" collapsed="false">
      <c r="A16" s="14" t="s">
        <v>81</v>
      </c>
      <c r="B16" s="14" t="s">
        <v>56</v>
      </c>
      <c r="C16" s="14" t="s">
        <v>82</v>
      </c>
      <c r="D16" s="14" t="s">
        <v>366</v>
      </c>
      <c r="E16" s="15" t="n">
        <v>5</v>
      </c>
      <c r="F16" s="14" t="s">
        <v>419</v>
      </c>
      <c r="G16" s="8" t="n">
        <v>10</v>
      </c>
      <c r="H16" s="14" t="s">
        <v>484</v>
      </c>
      <c r="I16" s="14" t="s">
        <v>485</v>
      </c>
      <c r="J16" s="14" t="s">
        <v>236</v>
      </c>
      <c r="K16" s="8" t="n">
        <v>1</v>
      </c>
      <c r="L16" s="8" t="n">
        <v>82</v>
      </c>
      <c r="M16" s="8" t="n">
        <v>3</v>
      </c>
      <c r="N16" s="8" t="n">
        <v>8</v>
      </c>
      <c r="O16" s="8" t="n">
        <v>5</v>
      </c>
      <c r="P16" s="9" t="n">
        <v>11.0512306094832</v>
      </c>
      <c r="Q16" s="10" t="n">
        <v>0.0904876601834627</v>
      </c>
      <c r="R16" s="9" t="n">
        <v>13</v>
      </c>
      <c r="S16" s="11" t="n">
        <f aca="false">IF(AND(ISNUMBER(R16),R16&gt;1,P16&gt;0),R16/P16-1,"")</f>
        <v>0.176339582385015</v>
      </c>
      <c r="T16" s="9" t="n">
        <f aca="false">IF(AND(ISNUMBER(P16),P16&gt;0),P16*EXP('Read me'!$B$22),"")</f>
        <v>13.4980035474869</v>
      </c>
    </row>
    <row r="17" customFormat="false" ht="15" hidden="false" customHeight="false" outlineLevel="0" collapsed="false">
      <c r="A17" s="14" t="s">
        <v>81</v>
      </c>
      <c r="B17" s="14" t="s">
        <v>56</v>
      </c>
      <c r="C17" s="14" t="s">
        <v>82</v>
      </c>
      <c r="D17" s="14" t="s">
        <v>366</v>
      </c>
      <c r="E17" s="15" t="n">
        <v>5</v>
      </c>
      <c r="F17" s="14" t="s">
        <v>419</v>
      </c>
      <c r="G17" s="8" t="n">
        <v>10</v>
      </c>
      <c r="H17" s="14" t="s">
        <v>486</v>
      </c>
      <c r="I17" s="14" t="s">
        <v>187</v>
      </c>
      <c r="J17" s="14" t="s">
        <v>188</v>
      </c>
      <c r="K17" s="8" t="n">
        <v>8</v>
      </c>
      <c r="L17" s="8" t="n">
        <v>96</v>
      </c>
      <c r="M17" s="8" t="n">
        <v>5</v>
      </c>
      <c r="N17" s="8" t="n">
        <v>27</v>
      </c>
      <c r="O17" s="8" t="n">
        <v>6</v>
      </c>
      <c r="P17" s="9" t="n">
        <v>14.4768086957488</v>
      </c>
      <c r="Q17" s="10" t="n">
        <v>0.069075997411892</v>
      </c>
      <c r="R17" s="9" t="n">
        <v>15</v>
      </c>
      <c r="S17" s="11" t="n">
        <f aca="false">IF(AND(ISNUMBER(R17),R17&gt;1,P17&gt;0),R17/P17-1,"")</f>
        <v>0.0361399611783804</v>
      </c>
      <c r="T17" s="9" t="n">
        <f aca="false">IF(AND(ISNUMBER(P17),P17&gt;0),P17*EXP('Read me'!$B$22),"")</f>
        <v>17.6820140703447</v>
      </c>
    </row>
    <row r="18" customFormat="false" ht="15" hidden="false" customHeight="false" outlineLevel="0" collapsed="false">
      <c r="A18" s="14" t="s">
        <v>81</v>
      </c>
      <c r="B18" s="14" t="s">
        <v>56</v>
      </c>
      <c r="C18" s="14" t="s">
        <v>82</v>
      </c>
      <c r="D18" s="14" t="s">
        <v>366</v>
      </c>
      <c r="E18" s="15" t="n">
        <v>5</v>
      </c>
      <c r="F18" s="14" t="s">
        <v>419</v>
      </c>
      <c r="G18" s="8" t="n">
        <v>10</v>
      </c>
      <c r="H18" s="14" t="s">
        <v>487</v>
      </c>
      <c r="I18" s="14" t="s">
        <v>425</v>
      </c>
      <c r="J18" s="14" t="s">
        <v>488</v>
      </c>
      <c r="K18" s="8" t="n">
        <v>12</v>
      </c>
      <c r="L18" s="8" t="n">
        <v>83</v>
      </c>
      <c r="M18" s="8" t="n">
        <v>3</v>
      </c>
      <c r="N18" s="8" t="n">
        <v>21</v>
      </c>
      <c r="O18" s="8" t="n">
        <v>7</v>
      </c>
      <c r="P18" s="9" t="n">
        <v>14.6063429428627</v>
      </c>
      <c r="Q18" s="10" t="n">
        <v>0.0684634068850645</v>
      </c>
      <c r="R18" s="9" t="n">
        <v>10</v>
      </c>
      <c r="S18" s="11" t="n">
        <f aca="false">IF(AND(ISNUMBER(R18),R18&gt;1,P18&gt;0),R18/P18-1,"")</f>
        <v>-0.315365931149355</v>
      </c>
      <c r="T18" s="9" t="n">
        <f aca="false">IF(AND(ISNUMBER(P18),P18&gt;0),P18*EXP('Read me'!$B$22),"")</f>
        <v>17.8402275570458</v>
      </c>
    </row>
    <row r="19" customFormat="false" ht="15" hidden="false" customHeight="false" outlineLevel="0" collapsed="false">
      <c r="A19" s="14" t="s">
        <v>81</v>
      </c>
      <c r="B19" s="14" t="s">
        <v>56</v>
      </c>
      <c r="C19" s="14" t="s">
        <v>82</v>
      </c>
      <c r="D19" s="14" t="s">
        <v>366</v>
      </c>
      <c r="E19" s="15" t="n">
        <v>5</v>
      </c>
      <c r="F19" s="14" t="s">
        <v>419</v>
      </c>
      <c r="G19" s="8" t="n">
        <v>10</v>
      </c>
      <c r="H19" s="14" t="s">
        <v>489</v>
      </c>
      <c r="I19" s="14" t="s">
        <v>490</v>
      </c>
      <c r="J19" s="14" t="s">
        <v>439</v>
      </c>
      <c r="K19" s="8" t="n">
        <v>10</v>
      </c>
      <c r="L19" s="8" t="n">
        <v>83</v>
      </c>
      <c r="M19" s="8" t="n">
        <v>3</v>
      </c>
      <c r="N19" s="8" t="n">
        <v>38</v>
      </c>
      <c r="O19" s="8" t="n">
        <v>8</v>
      </c>
      <c r="P19" s="9" t="n">
        <v>16.3326994106157</v>
      </c>
      <c r="Q19" s="10" t="n">
        <v>0.0612268661082463</v>
      </c>
      <c r="R19" s="9" t="n">
        <v>11</v>
      </c>
      <c r="S19" s="11" t="n">
        <f aca="false">IF(AND(ISNUMBER(R19),R19&gt;1,P19&gt;0),R19/P19-1,"")</f>
        <v>-0.326504472809291</v>
      </c>
      <c r="T19" s="9" t="n">
        <f aca="false">IF(AND(ISNUMBER(P19),P19&gt;0),P19*EXP('Read me'!$B$22),"")</f>
        <v>19.948804108327</v>
      </c>
    </row>
    <row r="20" customFormat="false" ht="15" hidden="false" customHeight="false" outlineLevel="0" collapsed="false">
      <c r="A20" s="14" t="s">
        <v>81</v>
      </c>
      <c r="B20" s="14" t="s">
        <v>56</v>
      </c>
      <c r="C20" s="14" t="s">
        <v>82</v>
      </c>
      <c r="D20" s="14" t="s">
        <v>366</v>
      </c>
      <c r="E20" s="15" t="n">
        <v>5</v>
      </c>
      <c r="F20" s="14" t="s">
        <v>419</v>
      </c>
      <c r="G20" s="8" t="n">
        <v>10</v>
      </c>
      <c r="H20" s="14" t="s">
        <v>491</v>
      </c>
      <c r="I20" s="14" t="s">
        <v>492</v>
      </c>
      <c r="J20" s="14" t="s">
        <v>493</v>
      </c>
      <c r="K20" s="8" t="n">
        <v>5</v>
      </c>
      <c r="L20" s="8" t="n">
        <v>72</v>
      </c>
      <c r="M20" s="8" t="n">
        <v>7</v>
      </c>
      <c r="N20" s="8" t="n">
        <v>20</v>
      </c>
      <c r="O20" s="8" t="n">
        <v>9</v>
      </c>
      <c r="P20" s="9" t="n">
        <v>46.5692035297114</v>
      </c>
      <c r="Q20" s="10" t="n">
        <v>0.0214734185728986</v>
      </c>
      <c r="R20" s="9" t="n">
        <v>23</v>
      </c>
      <c r="S20" s="11" t="n">
        <f aca="false">IF(AND(ISNUMBER(R20),R20&gt;1,P20&gt;0),R20/P20-1,"")</f>
        <v>-0.506111372823332</v>
      </c>
      <c r="T20" s="9" t="n">
        <f aca="false">IF(AND(ISNUMBER(P20),P20&gt;0),P20*EXP('Read me'!$B$22),"")</f>
        <v>56.8797536365118</v>
      </c>
    </row>
    <row r="21" customFormat="false" ht="15" hidden="false" customHeight="false" outlineLevel="0" collapsed="false">
      <c r="A21" s="14" t="s">
        <v>81</v>
      </c>
      <c r="B21" s="14" t="s">
        <v>56</v>
      </c>
      <c r="C21" s="14" t="s">
        <v>82</v>
      </c>
      <c r="D21" s="14" t="s">
        <v>366</v>
      </c>
      <c r="E21" s="15" t="n">
        <v>5</v>
      </c>
      <c r="F21" s="14" t="s">
        <v>419</v>
      </c>
      <c r="G21" s="8" t="n">
        <v>10</v>
      </c>
      <c r="H21" s="14" t="s">
        <v>494</v>
      </c>
      <c r="I21" s="14" t="s">
        <v>495</v>
      </c>
      <c r="J21" s="14" t="s">
        <v>379</v>
      </c>
      <c r="K21" s="8" t="n">
        <v>6</v>
      </c>
      <c r="L21" s="8" t="n">
        <v>87</v>
      </c>
      <c r="M21" s="8" t="n">
        <v>3</v>
      </c>
      <c r="N21" s="8" t="n">
        <v>14</v>
      </c>
      <c r="O21" s="8" t="n">
        <v>10</v>
      </c>
      <c r="P21" s="9" t="n">
        <v>61.8020856894396</v>
      </c>
      <c r="Q21" s="10" t="n">
        <v>0.0161806836912443</v>
      </c>
      <c r="R21" s="9" t="n">
        <v>51</v>
      </c>
      <c r="S21" s="11" t="n">
        <f aca="false">IF(AND(ISNUMBER(R21),R21&gt;1,P21&gt;0),R21/P21-1,"")</f>
        <v>-0.174785131746539</v>
      </c>
      <c r="T21" s="9" t="n">
        <f aca="false">IF(AND(ISNUMBER(P21),P21&gt;0),P21*EXP('Read me'!$B$22),"")</f>
        <v>75.4852379211326</v>
      </c>
    </row>
    <row r="22" customFormat="false" ht="15" hidden="false" customHeight="false" outlineLevel="0" collapsed="false">
      <c r="A22" s="14" t="s">
        <v>110</v>
      </c>
      <c r="B22" s="14" t="s">
        <v>56</v>
      </c>
      <c r="C22" s="14" t="s">
        <v>111</v>
      </c>
      <c r="D22" s="14" t="s">
        <v>570</v>
      </c>
      <c r="E22" s="15" t="n">
        <v>8</v>
      </c>
      <c r="F22" s="14" t="s">
        <v>419</v>
      </c>
      <c r="G22" s="8" t="n">
        <v>9</v>
      </c>
      <c r="H22" s="14" t="s">
        <v>112</v>
      </c>
      <c r="I22" s="14" t="s">
        <v>113</v>
      </c>
      <c r="J22" s="14" t="s">
        <v>114</v>
      </c>
      <c r="K22" s="8" t="n">
        <v>7</v>
      </c>
      <c r="L22" s="8" t="n">
        <v>0</v>
      </c>
      <c r="M22" s="8" t="n">
        <v>2</v>
      </c>
      <c r="N22" s="8" t="n">
        <v>22</v>
      </c>
      <c r="O22" s="8" t="n">
        <v>1</v>
      </c>
      <c r="P22" s="9" t="n">
        <v>2.52503190090427</v>
      </c>
      <c r="Q22" s="10" t="n">
        <v>0.396034600450743</v>
      </c>
      <c r="R22" s="9" t="n">
        <v>1.72727272727273</v>
      </c>
      <c r="S22" s="11" t="n">
        <f aca="false">IF(AND(ISNUMBER(R22),R22&gt;1,P22&gt;0),R22/P22-1,"")</f>
        <v>-0.315940235585081</v>
      </c>
      <c r="T22" s="9" t="n">
        <f aca="false">IF(AND(ISNUMBER(P22),P22&gt;0),P22*EXP('Read me'!$B$22),"")</f>
        <v>3.08408092820689</v>
      </c>
    </row>
    <row r="23" customFormat="false" ht="15" hidden="false" customHeight="false" outlineLevel="0" collapsed="false">
      <c r="A23" s="14" t="s">
        <v>110</v>
      </c>
      <c r="B23" s="14" t="s">
        <v>56</v>
      </c>
      <c r="C23" s="14" t="s">
        <v>111</v>
      </c>
      <c r="D23" s="14" t="s">
        <v>570</v>
      </c>
      <c r="E23" s="15" t="n">
        <v>8</v>
      </c>
      <c r="F23" s="14" t="s">
        <v>419</v>
      </c>
      <c r="G23" s="8" t="n">
        <v>9</v>
      </c>
      <c r="H23" s="14" t="s">
        <v>115</v>
      </c>
      <c r="I23" s="14" t="s">
        <v>427</v>
      </c>
      <c r="J23" s="14" t="s">
        <v>571</v>
      </c>
      <c r="K23" s="8" t="n">
        <v>4</v>
      </c>
      <c r="L23" s="8" t="n">
        <v>0</v>
      </c>
      <c r="M23" s="8" t="n">
        <v>2</v>
      </c>
      <c r="N23" s="8" t="n">
        <v>22</v>
      </c>
      <c r="O23" s="8" t="n">
        <v>2</v>
      </c>
      <c r="P23" s="9" t="n">
        <v>7.09889269139398</v>
      </c>
      <c r="Q23" s="10" t="n">
        <v>0.140867039899378</v>
      </c>
      <c r="R23" s="9" t="n">
        <v>10</v>
      </c>
      <c r="S23" s="11" t="n">
        <f aca="false">IF(AND(ISNUMBER(R23),R23&gt;1,P23&gt;0),R23/P23-1,"")</f>
        <v>0.408670398993783</v>
      </c>
      <c r="T23" s="9" t="n">
        <f aca="false">IF(AND(ISNUMBER(P23),P23&gt;0),P23*EXP('Read me'!$B$22),"")</f>
        <v>8.67060711315167</v>
      </c>
    </row>
    <row r="24" customFormat="false" ht="15" hidden="false" customHeight="false" outlineLevel="0" collapsed="false">
      <c r="A24" s="14" t="s">
        <v>110</v>
      </c>
      <c r="B24" s="14" t="s">
        <v>56</v>
      </c>
      <c r="C24" s="14" t="s">
        <v>111</v>
      </c>
      <c r="D24" s="14" t="s">
        <v>570</v>
      </c>
      <c r="E24" s="15" t="n">
        <v>8</v>
      </c>
      <c r="F24" s="14" t="s">
        <v>419</v>
      </c>
      <c r="G24" s="8" t="n">
        <v>9</v>
      </c>
      <c r="H24" s="14" t="s">
        <v>572</v>
      </c>
      <c r="I24" s="14" t="s">
        <v>490</v>
      </c>
      <c r="J24" s="14" t="s">
        <v>439</v>
      </c>
      <c r="K24" s="8" t="n">
        <v>9</v>
      </c>
      <c r="L24" s="8" t="n">
        <v>0</v>
      </c>
      <c r="M24" s="8" t="n">
        <v>2</v>
      </c>
      <c r="N24" s="8" t="n">
        <v>15</v>
      </c>
      <c r="O24" s="8" t="n">
        <v>3</v>
      </c>
      <c r="P24" s="9" t="n">
        <v>7.97848210166498</v>
      </c>
      <c r="Q24" s="10" t="n">
        <v>0.125337123936308</v>
      </c>
      <c r="R24" s="9" t="n">
        <v>8.5</v>
      </c>
      <c r="S24" s="11" t="n">
        <f aca="false">IF(AND(ISNUMBER(R24),R24&gt;1,P24&gt;0),R24/P24-1,"")</f>
        <v>0.0653655534586193</v>
      </c>
      <c r="T24" s="9" t="n">
        <f aca="false">IF(AND(ISNUMBER(P24),P24&gt;0),P24*EXP('Read me'!$B$22),"")</f>
        <v>9.74494004490516</v>
      </c>
    </row>
    <row r="25" customFormat="false" ht="15" hidden="false" customHeight="false" outlineLevel="0" collapsed="false">
      <c r="A25" s="14" t="s">
        <v>110</v>
      </c>
      <c r="B25" s="14" t="s">
        <v>56</v>
      </c>
      <c r="C25" s="14" t="s">
        <v>111</v>
      </c>
      <c r="D25" s="14" t="s">
        <v>570</v>
      </c>
      <c r="E25" s="15" t="n">
        <v>8</v>
      </c>
      <c r="F25" s="14" t="s">
        <v>419</v>
      </c>
      <c r="G25" s="8" t="n">
        <v>9</v>
      </c>
      <c r="H25" s="14" t="s">
        <v>573</v>
      </c>
      <c r="I25" s="14" t="s">
        <v>59</v>
      </c>
      <c r="J25" s="14" t="s">
        <v>574</v>
      </c>
      <c r="K25" s="8" t="n">
        <v>3</v>
      </c>
      <c r="L25" s="8" t="n">
        <v>0</v>
      </c>
      <c r="M25" s="8" t="n">
        <v>2</v>
      </c>
      <c r="N25" s="8" t="n">
        <v>23</v>
      </c>
      <c r="O25" s="8" t="n">
        <v>4</v>
      </c>
      <c r="P25" s="9" t="n">
        <v>11.223043423439</v>
      </c>
      <c r="Q25" s="10" t="n">
        <v>0.0891023907037134</v>
      </c>
      <c r="R25" s="9" t="n">
        <v>15</v>
      </c>
      <c r="S25" s="11" t="n">
        <f aca="false">IF(AND(ISNUMBER(R25),R25&gt;1,P25&gt;0),R25/P25-1,"")</f>
        <v>0.336535860555701</v>
      </c>
      <c r="T25" s="9" t="n">
        <f aca="false">IF(AND(ISNUMBER(P25),P25&gt;0),P25*EXP('Read me'!$B$22),"")</f>
        <v>13.7078561923397</v>
      </c>
    </row>
    <row r="26" customFormat="false" ht="15" hidden="false" customHeight="false" outlineLevel="0" collapsed="false">
      <c r="A26" s="14" t="s">
        <v>110</v>
      </c>
      <c r="B26" s="14" t="s">
        <v>56</v>
      </c>
      <c r="C26" s="14" t="s">
        <v>111</v>
      </c>
      <c r="D26" s="14" t="s">
        <v>570</v>
      </c>
      <c r="E26" s="15" t="n">
        <v>8</v>
      </c>
      <c r="F26" s="14" t="s">
        <v>419</v>
      </c>
      <c r="G26" s="8" t="n">
        <v>9</v>
      </c>
      <c r="H26" s="14" t="s">
        <v>575</v>
      </c>
      <c r="I26" s="14" t="s">
        <v>266</v>
      </c>
      <c r="J26" s="14" t="s">
        <v>576</v>
      </c>
      <c r="K26" s="8" t="n">
        <v>6</v>
      </c>
      <c r="L26" s="8" t="n">
        <v>0</v>
      </c>
      <c r="M26" s="8" t="n">
        <v>2</v>
      </c>
      <c r="N26" s="8" t="n">
        <v>36</v>
      </c>
      <c r="O26" s="8" t="n">
        <v>5</v>
      </c>
      <c r="P26" s="9" t="n">
        <v>13.3177884936132</v>
      </c>
      <c r="Q26" s="10" t="n">
        <v>0.0750875417851524</v>
      </c>
      <c r="R26" s="9" t="n">
        <v>11</v>
      </c>
      <c r="S26" s="11" t="n">
        <f aca="false">IF(AND(ISNUMBER(R26),R26&gt;1,P26&gt;0),R26/P26-1,"")</f>
        <v>-0.174037040363323</v>
      </c>
      <c r="T26" s="9" t="n">
        <f aca="false">IF(AND(ISNUMBER(P26),P26&gt;0),P26*EXP('Read me'!$B$22),"")</f>
        <v>16.2663835986929</v>
      </c>
    </row>
    <row r="27" customFormat="false" ht="15" hidden="false" customHeight="false" outlineLevel="0" collapsed="false">
      <c r="A27" s="14" t="s">
        <v>110</v>
      </c>
      <c r="B27" s="14" t="s">
        <v>56</v>
      </c>
      <c r="C27" s="14" t="s">
        <v>111</v>
      </c>
      <c r="D27" s="14" t="s">
        <v>570</v>
      </c>
      <c r="E27" s="15" t="n">
        <v>8</v>
      </c>
      <c r="F27" s="14" t="s">
        <v>419</v>
      </c>
      <c r="G27" s="8" t="n">
        <v>9</v>
      </c>
      <c r="H27" s="14" t="s">
        <v>577</v>
      </c>
      <c r="I27" s="14" t="s">
        <v>187</v>
      </c>
      <c r="J27" s="14" t="s">
        <v>188</v>
      </c>
      <c r="K27" s="8" t="n">
        <v>1</v>
      </c>
      <c r="L27" s="8" t="n">
        <v>0</v>
      </c>
      <c r="M27" s="8" t="n">
        <v>2</v>
      </c>
      <c r="N27" s="8"/>
      <c r="O27" s="8" t="n">
        <v>6</v>
      </c>
      <c r="P27" s="9" t="n">
        <v>17.558908311032</v>
      </c>
      <c r="Q27" s="10" t="n">
        <v>0.0569511488007324</v>
      </c>
      <c r="R27" s="9" t="n">
        <v>9.5</v>
      </c>
      <c r="S27" s="11" t="n">
        <f aca="false">IF(AND(ISNUMBER(R27),R27&gt;1,P27&gt;0),R27/P27-1,"")</f>
        <v>-0.458964086393042</v>
      </c>
      <c r="T27" s="9" t="n">
        <f aca="false">IF(AND(ISNUMBER(P27),P27&gt;0),P27*EXP('Read me'!$B$22),"")</f>
        <v>21.446499041376</v>
      </c>
    </row>
    <row r="28" customFormat="false" ht="15" hidden="false" customHeight="false" outlineLevel="0" collapsed="false">
      <c r="A28" s="14" t="s">
        <v>110</v>
      </c>
      <c r="B28" s="14" t="s">
        <v>56</v>
      </c>
      <c r="C28" s="14" t="s">
        <v>111</v>
      </c>
      <c r="D28" s="14" t="s">
        <v>570</v>
      </c>
      <c r="E28" s="15" t="n">
        <v>8</v>
      </c>
      <c r="F28" s="14" t="s">
        <v>419</v>
      </c>
      <c r="G28" s="8" t="n">
        <v>9</v>
      </c>
      <c r="H28" s="14" t="s">
        <v>578</v>
      </c>
      <c r="I28" s="14" t="s">
        <v>579</v>
      </c>
      <c r="J28" s="14" t="s">
        <v>580</v>
      </c>
      <c r="K28" s="8" t="n">
        <v>2</v>
      </c>
      <c r="L28" s="8" t="n">
        <v>0</v>
      </c>
      <c r="M28" s="8" t="n">
        <v>2</v>
      </c>
      <c r="N28" s="8" t="n">
        <v>23</v>
      </c>
      <c r="O28" s="8" t="n">
        <v>7</v>
      </c>
      <c r="P28" s="9" t="n">
        <v>20.91265206248</v>
      </c>
      <c r="Q28" s="10" t="n">
        <v>0.0478179427942631</v>
      </c>
      <c r="R28" s="9" t="n">
        <v>29</v>
      </c>
      <c r="S28" s="11" t="n">
        <f aca="false">IF(AND(ISNUMBER(R28),R28&gt;1,P28&gt;0),R28/P28-1,"")</f>
        <v>0.386720341033633</v>
      </c>
      <c r="T28" s="9" t="n">
        <f aca="false">IF(AND(ISNUMBER(P28),P28&gt;0),P28*EXP('Read me'!$B$22),"")</f>
        <v>25.5427709095571</v>
      </c>
    </row>
    <row r="29" customFormat="false" ht="15" hidden="false" customHeight="false" outlineLevel="0" collapsed="false">
      <c r="A29" s="14" t="s">
        <v>110</v>
      </c>
      <c r="B29" s="14" t="s">
        <v>56</v>
      </c>
      <c r="C29" s="14" t="s">
        <v>111</v>
      </c>
      <c r="D29" s="14" t="s">
        <v>570</v>
      </c>
      <c r="E29" s="15" t="n">
        <v>8</v>
      </c>
      <c r="F29" s="14" t="s">
        <v>419</v>
      </c>
      <c r="G29" s="8" t="n">
        <v>9</v>
      </c>
      <c r="H29" s="14" t="s">
        <v>581</v>
      </c>
      <c r="I29" s="14" t="s">
        <v>435</v>
      </c>
      <c r="J29" s="14" t="s">
        <v>582</v>
      </c>
      <c r="K29" s="8" t="n">
        <v>5</v>
      </c>
      <c r="L29" s="8" t="n">
        <v>0</v>
      </c>
      <c r="M29" s="8" t="n">
        <v>2</v>
      </c>
      <c r="N29" s="8"/>
      <c r="O29" s="8" t="n">
        <v>8</v>
      </c>
      <c r="P29" s="9" t="n">
        <v>27.2097662645544</v>
      </c>
      <c r="Q29" s="10" t="n">
        <v>0.0367515101113779</v>
      </c>
      <c r="R29" s="9" t="n">
        <v>26</v>
      </c>
      <c r="S29" s="11" t="n">
        <f aca="false">IF(AND(ISNUMBER(R29),R29&gt;1,P29&gt;0),R29/P29-1,"")</f>
        <v>-0.0444607371041739</v>
      </c>
      <c r="T29" s="9" t="n">
        <f aca="false">IF(AND(ISNUMBER(P29),P29&gt;0),P29*EXP('Read me'!$B$22),"")</f>
        <v>33.2340835644203</v>
      </c>
    </row>
    <row r="30" customFormat="false" ht="15" hidden="false" customHeight="false" outlineLevel="0" collapsed="false">
      <c r="A30" s="14" t="s">
        <v>110</v>
      </c>
      <c r="B30" s="14" t="s">
        <v>56</v>
      </c>
      <c r="C30" s="14" t="s">
        <v>111</v>
      </c>
      <c r="D30" s="14" t="s">
        <v>570</v>
      </c>
      <c r="E30" s="15" t="n">
        <v>8</v>
      </c>
      <c r="F30" s="14" t="s">
        <v>419</v>
      </c>
      <c r="G30" s="8" t="n">
        <v>9</v>
      </c>
      <c r="H30" s="14" t="s">
        <v>583</v>
      </c>
      <c r="I30" s="14" t="s">
        <v>425</v>
      </c>
      <c r="J30" s="14" t="s">
        <v>571</v>
      </c>
      <c r="K30" s="8" t="n">
        <v>8</v>
      </c>
      <c r="L30" s="8" t="n">
        <v>0</v>
      </c>
      <c r="M30" s="8" t="n">
        <v>2</v>
      </c>
      <c r="N30" s="8" t="n">
        <v>18</v>
      </c>
      <c r="O30" s="8" t="n">
        <v>9</v>
      </c>
      <c r="P30" s="9" t="n">
        <v>31.2005651242314</v>
      </c>
      <c r="Q30" s="10" t="n">
        <v>0.0320507015183313</v>
      </c>
      <c r="R30" s="9" t="n">
        <v>23</v>
      </c>
      <c r="S30" s="11" t="n">
        <f aca="false">IF(AND(ISNUMBER(R30),R30&gt;1,P30&gt;0),R30/P30-1,"")</f>
        <v>-0.262833865078379</v>
      </c>
      <c r="T30" s="9" t="n">
        <f aca="false">IF(AND(ISNUMBER(P30),P30&gt;0),P30*EXP('Read me'!$B$22),"")</f>
        <v>38.1084562988922</v>
      </c>
    </row>
    <row r="31" customFormat="false" ht="15" hidden="false" customHeight="false" outlineLevel="0" collapsed="false">
      <c r="A31" s="14" t="s">
        <v>146</v>
      </c>
      <c r="B31" s="14" t="s">
        <v>56</v>
      </c>
      <c r="C31" s="14" t="s">
        <v>147</v>
      </c>
      <c r="D31" s="14" t="s">
        <v>570</v>
      </c>
      <c r="E31" s="15" t="n">
        <v>6</v>
      </c>
      <c r="F31" s="14" t="s">
        <v>419</v>
      </c>
      <c r="G31" s="8" t="n">
        <v>11</v>
      </c>
      <c r="H31" s="14" t="s">
        <v>148</v>
      </c>
      <c r="I31" s="14" t="s">
        <v>59</v>
      </c>
      <c r="J31" s="14" t="s">
        <v>60</v>
      </c>
      <c r="K31" s="8" t="n">
        <v>1</v>
      </c>
      <c r="L31" s="8" t="n">
        <v>85</v>
      </c>
      <c r="M31" s="8" t="n">
        <v>3</v>
      </c>
      <c r="N31" s="8" t="n">
        <v>9</v>
      </c>
      <c r="O31" s="8" t="n">
        <v>1</v>
      </c>
      <c r="P31" s="9" t="n">
        <v>6.40532918566609</v>
      </c>
      <c r="Q31" s="10" t="n">
        <v>0.156120001176178</v>
      </c>
      <c r="R31" s="9" t="n">
        <v>7.5</v>
      </c>
      <c r="S31" s="11" t="n">
        <f aca="false">IF(AND(ISNUMBER(R31),R31&gt;1,P31&gt;0),R31/P31-1,"")</f>
        <v>0.170900008821338</v>
      </c>
      <c r="T31" s="9" t="n">
        <f aca="false">IF(AND(ISNUMBER(P31),P31&gt;0),P31*EXP('Read me'!$B$22),"")</f>
        <v>7.8234867342964</v>
      </c>
    </row>
    <row r="32" customFormat="false" ht="15" hidden="false" customHeight="false" outlineLevel="0" collapsed="false">
      <c r="A32" s="14" t="s">
        <v>146</v>
      </c>
      <c r="B32" s="14" t="s">
        <v>56</v>
      </c>
      <c r="C32" s="14" t="s">
        <v>147</v>
      </c>
      <c r="D32" s="14" t="s">
        <v>570</v>
      </c>
      <c r="E32" s="15" t="n">
        <v>6</v>
      </c>
      <c r="F32" s="14" t="s">
        <v>419</v>
      </c>
      <c r="G32" s="8" t="n">
        <v>11</v>
      </c>
      <c r="H32" s="14" t="s">
        <v>149</v>
      </c>
      <c r="I32" s="14" t="s">
        <v>661</v>
      </c>
      <c r="J32" s="14" t="s">
        <v>621</v>
      </c>
      <c r="K32" s="8" t="n">
        <v>11</v>
      </c>
      <c r="L32" s="8" t="n">
        <v>85</v>
      </c>
      <c r="M32" s="8" t="n">
        <v>6</v>
      </c>
      <c r="N32" s="8" t="n">
        <v>8</v>
      </c>
      <c r="O32" s="8" t="n">
        <v>2</v>
      </c>
      <c r="P32" s="9" t="n">
        <v>6.47735479313968</v>
      </c>
      <c r="Q32" s="10" t="n">
        <v>0.154384008894977</v>
      </c>
      <c r="R32" s="9" t="n">
        <v>4.5</v>
      </c>
      <c r="S32" s="11" t="n">
        <f aca="false">IF(AND(ISNUMBER(R32),R32&gt;1,P32&gt;0),R32/P32-1,"")</f>
        <v>-0.305271959972602</v>
      </c>
      <c r="T32" s="9" t="n">
        <f aca="false">IF(AND(ISNUMBER(P32),P32&gt;0),P32*EXP('Read me'!$B$22),"")</f>
        <v>7.9114590099228</v>
      </c>
    </row>
    <row r="33" customFormat="false" ht="15" hidden="false" customHeight="false" outlineLevel="0" collapsed="false">
      <c r="A33" s="14" t="s">
        <v>146</v>
      </c>
      <c r="B33" s="14" t="s">
        <v>56</v>
      </c>
      <c r="C33" s="14" t="s">
        <v>147</v>
      </c>
      <c r="D33" s="14" t="s">
        <v>570</v>
      </c>
      <c r="E33" s="15" t="n">
        <v>6</v>
      </c>
      <c r="F33" s="14" t="s">
        <v>419</v>
      </c>
      <c r="G33" s="8" t="n">
        <v>11</v>
      </c>
      <c r="H33" s="14" t="s">
        <v>662</v>
      </c>
      <c r="I33" s="14" t="s">
        <v>420</v>
      </c>
      <c r="J33" s="14" t="s">
        <v>91</v>
      </c>
      <c r="K33" s="8" t="n">
        <v>13</v>
      </c>
      <c r="L33" s="8" t="n">
        <v>83</v>
      </c>
      <c r="M33" s="8" t="n">
        <v>3</v>
      </c>
      <c r="N33" s="8" t="n">
        <v>28</v>
      </c>
      <c r="O33" s="8" t="n">
        <v>3</v>
      </c>
      <c r="P33" s="9" t="n">
        <v>7.55160460545009</v>
      </c>
      <c r="Q33" s="10" t="n">
        <v>0.132422187369064</v>
      </c>
      <c r="R33" s="9" t="n">
        <v>5.5</v>
      </c>
      <c r="S33" s="11" t="n">
        <f aca="false">IF(AND(ISNUMBER(R33),R33&gt;1,P33&gt;0),R33/P33-1,"")</f>
        <v>-0.271677969470147</v>
      </c>
      <c r="T33" s="9" t="n">
        <f aca="false">IF(AND(ISNUMBER(P33),P33&gt;0),P33*EXP('Read me'!$B$22),"")</f>
        <v>9.22355069363178</v>
      </c>
    </row>
    <row r="34" customFormat="false" ht="15" hidden="false" customHeight="false" outlineLevel="0" collapsed="false">
      <c r="A34" s="14" t="s">
        <v>146</v>
      </c>
      <c r="B34" s="14" t="s">
        <v>56</v>
      </c>
      <c r="C34" s="14" t="s">
        <v>147</v>
      </c>
      <c r="D34" s="14" t="s">
        <v>570</v>
      </c>
      <c r="E34" s="15" t="n">
        <v>6</v>
      </c>
      <c r="F34" s="14" t="s">
        <v>419</v>
      </c>
      <c r="G34" s="8" t="n">
        <v>11</v>
      </c>
      <c r="H34" s="14" t="s">
        <v>663</v>
      </c>
      <c r="I34" s="14" t="s">
        <v>485</v>
      </c>
      <c r="J34" s="14" t="s">
        <v>236</v>
      </c>
      <c r="K34" s="8" t="n">
        <v>10</v>
      </c>
      <c r="L34" s="8" t="n">
        <v>83</v>
      </c>
      <c r="M34" s="8" t="n">
        <v>4</v>
      </c>
      <c r="N34" s="8" t="n">
        <v>7</v>
      </c>
      <c r="O34" s="8" t="n">
        <v>4</v>
      </c>
      <c r="P34" s="9" t="n">
        <v>9.05923923731799</v>
      </c>
      <c r="Q34" s="10" t="n">
        <v>0.110384544861192</v>
      </c>
      <c r="R34" s="9" t="n">
        <v>13</v>
      </c>
      <c r="S34" s="11" t="n">
        <f aca="false">IF(AND(ISNUMBER(R34),R34&gt;1,P34&gt;0),R34/P34-1,"")</f>
        <v>0.434999083195498</v>
      </c>
      <c r="T34" s="9" t="n">
        <f aca="false">IF(AND(ISNUMBER(P34),P34&gt;0),P34*EXP('Read me'!$B$22),"")</f>
        <v>11.064979791293</v>
      </c>
    </row>
    <row r="35" customFormat="false" ht="15" hidden="false" customHeight="false" outlineLevel="0" collapsed="false">
      <c r="A35" s="14" t="s">
        <v>146</v>
      </c>
      <c r="B35" s="14" t="s">
        <v>56</v>
      </c>
      <c r="C35" s="14" t="s">
        <v>147</v>
      </c>
      <c r="D35" s="14" t="s">
        <v>570</v>
      </c>
      <c r="E35" s="15" t="n">
        <v>6</v>
      </c>
      <c r="F35" s="14" t="s">
        <v>419</v>
      </c>
      <c r="G35" s="8" t="n">
        <v>11</v>
      </c>
      <c r="H35" s="14" t="s">
        <v>664</v>
      </c>
      <c r="I35" s="14" t="s">
        <v>423</v>
      </c>
      <c r="J35" s="14" t="s">
        <v>665</v>
      </c>
      <c r="K35" s="8" t="n">
        <v>9</v>
      </c>
      <c r="L35" s="8" t="n">
        <v>77</v>
      </c>
      <c r="M35" s="8" t="n">
        <v>4</v>
      </c>
      <c r="N35" s="8" t="n">
        <v>13</v>
      </c>
      <c r="O35" s="8" t="n">
        <v>5</v>
      </c>
      <c r="P35" s="9" t="n">
        <v>10.1817863874086</v>
      </c>
      <c r="Q35" s="10" t="n">
        <v>0.0982145924055785</v>
      </c>
      <c r="R35" s="9" t="n">
        <v>8.5</v>
      </c>
      <c r="S35" s="11" t="n">
        <f aca="false">IF(AND(ISNUMBER(R35),R35&gt;1,P35&gt;0),R35/P35-1,"")</f>
        <v>-0.165175964552582</v>
      </c>
      <c r="T35" s="9" t="n">
        <f aca="false">IF(AND(ISNUMBER(P35),P35&gt;0),P35*EXP('Read me'!$B$22),"")</f>
        <v>12.4360619765785</v>
      </c>
    </row>
    <row r="36" customFormat="false" ht="15" hidden="false" customHeight="false" outlineLevel="0" collapsed="false">
      <c r="A36" s="14" t="s">
        <v>146</v>
      </c>
      <c r="B36" s="14" t="s">
        <v>56</v>
      </c>
      <c r="C36" s="14" t="s">
        <v>147</v>
      </c>
      <c r="D36" s="14" t="s">
        <v>570</v>
      </c>
      <c r="E36" s="15" t="n">
        <v>6</v>
      </c>
      <c r="F36" s="14" t="s">
        <v>419</v>
      </c>
      <c r="G36" s="8" t="n">
        <v>11</v>
      </c>
      <c r="H36" s="14" t="s">
        <v>666</v>
      </c>
      <c r="I36" s="14" t="s">
        <v>667</v>
      </c>
      <c r="J36" s="14" t="s">
        <v>376</v>
      </c>
      <c r="K36" s="8" t="n">
        <v>6</v>
      </c>
      <c r="L36" s="8" t="n">
        <v>90</v>
      </c>
      <c r="M36" s="8" t="n">
        <v>4</v>
      </c>
      <c r="N36" s="8" t="n">
        <v>45</v>
      </c>
      <c r="O36" s="8" t="n">
        <v>6</v>
      </c>
      <c r="P36" s="9" t="n">
        <v>10.8743445158677</v>
      </c>
      <c r="Q36" s="10" t="n">
        <v>0.0919595657964314</v>
      </c>
      <c r="R36" s="9" t="n">
        <v>12</v>
      </c>
      <c r="S36" s="11" t="n">
        <f aca="false">IF(AND(ISNUMBER(R36),R36&gt;1,P36&gt;0),R36/P36-1,"")</f>
        <v>0.103514789557177</v>
      </c>
      <c r="T36" s="9" t="n">
        <f aca="false">IF(AND(ISNUMBER(P36),P36&gt;0),P36*EXP('Read me'!$B$22),"")</f>
        <v>13.2819543848647</v>
      </c>
    </row>
    <row r="37" customFormat="false" ht="15" hidden="false" customHeight="false" outlineLevel="0" collapsed="false">
      <c r="A37" s="14" t="s">
        <v>146</v>
      </c>
      <c r="B37" s="14" t="s">
        <v>56</v>
      </c>
      <c r="C37" s="14" t="s">
        <v>147</v>
      </c>
      <c r="D37" s="14" t="s">
        <v>570</v>
      </c>
      <c r="E37" s="15" t="n">
        <v>6</v>
      </c>
      <c r="F37" s="14" t="s">
        <v>419</v>
      </c>
      <c r="G37" s="8" t="n">
        <v>11</v>
      </c>
      <c r="H37" s="14" t="s">
        <v>668</v>
      </c>
      <c r="I37" s="14" t="s">
        <v>432</v>
      </c>
      <c r="J37" s="14" t="s">
        <v>669</v>
      </c>
      <c r="K37" s="8" t="n">
        <v>5</v>
      </c>
      <c r="L37" s="8" t="n">
        <v>90</v>
      </c>
      <c r="M37" s="8" t="n">
        <v>6</v>
      </c>
      <c r="N37" s="8" t="n">
        <v>42</v>
      </c>
      <c r="O37" s="8" t="n">
        <v>7</v>
      </c>
      <c r="P37" s="9" t="n">
        <v>16.1712078560206</v>
      </c>
      <c r="Q37" s="10" t="n">
        <v>0.0618382998291434</v>
      </c>
      <c r="R37" s="9" t="n">
        <v>10</v>
      </c>
      <c r="S37" s="11" t="n">
        <f aca="false">IF(AND(ISNUMBER(R37),R37&gt;1,P37&gt;0),R37/P37-1,"")</f>
        <v>-0.381617001708566</v>
      </c>
      <c r="T37" s="9" t="n">
        <f aca="false">IF(AND(ISNUMBER(P37),P37&gt;0),P37*EXP('Read me'!$B$22),"")</f>
        <v>19.7515578781249</v>
      </c>
    </row>
    <row r="38" customFormat="false" ht="15" hidden="false" customHeight="false" outlineLevel="0" collapsed="false">
      <c r="A38" s="14" t="s">
        <v>146</v>
      </c>
      <c r="B38" s="14" t="s">
        <v>56</v>
      </c>
      <c r="C38" s="14" t="s">
        <v>147</v>
      </c>
      <c r="D38" s="14" t="s">
        <v>570</v>
      </c>
      <c r="E38" s="15" t="n">
        <v>6</v>
      </c>
      <c r="F38" s="14" t="s">
        <v>419</v>
      </c>
      <c r="G38" s="8" t="n">
        <v>11</v>
      </c>
      <c r="H38" s="14" t="s">
        <v>670</v>
      </c>
      <c r="I38" s="14" t="s">
        <v>425</v>
      </c>
      <c r="J38" s="14" t="s">
        <v>376</v>
      </c>
      <c r="K38" s="8" t="n">
        <v>8</v>
      </c>
      <c r="L38" s="8" t="n">
        <v>88</v>
      </c>
      <c r="M38" s="8" t="n">
        <v>3</v>
      </c>
      <c r="N38" s="8" t="n">
        <v>21</v>
      </c>
      <c r="O38" s="8" t="n">
        <v>8</v>
      </c>
      <c r="P38" s="9" t="n">
        <v>18.0377097239244</v>
      </c>
      <c r="Q38" s="10" t="n">
        <v>0.0554394108401492</v>
      </c>
      <c r="R38" s="9" t="n">
        <v>17</v>
      </c>
      <c r="S38" s="11" t="n">
        <f aca="false">IF(AND(ISNUMBER(R38),R38&gt;1,P38&gt;0),R38/P38-1,"")</f>
        <v>-0.0575300157174633</v>
      </c>
      <c r="T38" s="9" t="n">
        <f aca="false">IF(AND(ISNUMBER(P38),P38&gt;0),P38*EXP('Read me'!$B$22),"")</f>
        <v>22.0313084076938</v>
      </c>
    </row>
    <row r="39" customFormat="false" ht="15" hidden="false" customHeight="false" outlineLevel="0" collapsed="false">
      <c r="A39" s="14" t="s">
        <v>146</v>
      </c>
      <c r="B39" s="14" t="s">
        <v>56</v>
      </c>
      <c r="C39" s="14" t="s">
        <v>147</v>
      </c>
      <c r="D39" s="14" t="s">
        <v>570</v>
      </c>
      <c r="E39" s="15" t="n">
        <v>6</v>
      </c>
      <c r="F39" s="14" t="s">
        <v>419</v>
      </c>
      <c r="G39" s="8" t="n">
        <v>11</v>
      </c>
      <c r="H39" s="14" t="s">
        <v>671</v>
      </c>
      <c r="I39" s="14" t="s">
        <v>482</v>
      </c>
      <c r="J39" s="14" t="s">
        <v>672</v>
      </c>
      <c r="K39" s="8" t="n">
        <v>12</v>
      </c>
      <c r="L39" s="8" t="n">
        <v>85</v>
      </c>
      <c r="M39" s="8" t="n">
        <v>3</v>
      </c>
      <c r="N39" s="8" t="n">
        <v>21</v>
      </c>
      <c r="O39" s="8" t="n">
        <v>9</v>
      </c>
      <c r="P39" s="9" t="n">
        <v>19.7401847186542</v>
      </c>
      <c r="Q39" s="10" t="n">
        <v>0.0506580872596907</v>
      </c>
      <c r="R39" s="9" t="n">
        <v>13</v>
      </c>
      <c r="S39" s="11" t="n">
        <f aca="false">IF(AND(ISNUMBER(R39),R39&gt;1,P39&gt;0),R39/P39-1,"")</f>
        <v>-0.341444865624021</v>
      </c>
      <c r="T39" s="9" t="n">
        <f aca="false">IF(AND(ISNUMBER(P39),P39&gt;0),P39*EXP('Read me'!$B$22),"")</f>
        <v>24.1107160619555</v>
      </c>
    </row>
    <row r="40" customFormat="false" ht="15" hidden="false" customHeight="false" outlineLevel="0" collapsed="false">
      <c r="A40" s="14" t="s">
        <v>146</v>
      </c>
      <c r="B40" s="14" t="s">
        <v>56</v>
      </c>
      <c r="C40" s="14" t="s">
        <v>147</v>
      </c>
      <c r="D40" s="14" t="s">
        <v>570</v>
      </c>
      <c r="E40" s="15" t="n">
        <v>6</v>
      </c>
      <c r="F40" s="14" t="s">
        <v>419</v>
      </c>
      <c r="G40" s="8" t="n">
        <v>11</v>
      </c>
      <c r="H40" s="14" t="s">
        <v>673</v>
      </c>
      <c r="I40" s="14" t="s">
        <v>427</v>
      </c>
      <c r="J40" s="14" t="s">
        <v>674</v>
      </c>
      <c r="K40" s="8" t="n">
        <v>2</v>
      </c>
      <c r="L40" s="8" t="n">
        <v>77</v>
      </c>
      <c r="M40" s="8" t="n">
        <v>3</v>
      </c>
      <c r="N40" s="8" t="n">
        <v>7</v>
      </c>
      <c r="O40" s="8" t="n">
        <v>10</v>
      </c>
      <c r="P40" s="9" t="n">
        <v>21.2332337562616</v>
      </c>
      <c r="Q40" s="10" t="n">
        <v>0.047095982245526</v>
      </c>
      <c r="R40" s="9" t="n">
        <v>9.5</v>
      </c>
      <c r="S40" s="11" t="n">
        <f aca="false">IF(AND(ISNUMBER(R40),R40&gt;1,P40&gt;0),R40/P40-1,"")</f>
        <v>-0.552588168667503</v>
      </c>
      <c r="T40" s="9" t="n">
        <f aca="false">IF(AND(ISNUMBER(P40),P40&gt;0),P40*EXP('Read me'!$B$22),"")</f>
        <v>25.9343302745575</v>
      </c>
    </row>
    <row r="41" customFormat="false" ht="15" hidden="false" customHeight="false" outlineLevel="0" collapsed="false">
      <c r="A41" s="14" t="s">
        <v>146</v>
      </c>
      <c r="B41" s="14" t="s">
        <v>56</v>
      </c>
      <c r="C41" s="14" t="s">
        <v>147</v>
      </c>
      <c r="D41" s="14" t="s">
        <v>570</v>
      </c>
      <c r="E41" s="15" t="n">
        <v>6</v>
      </c>
      <c r="F41" s="14" t="s">
        <v>419</v>
      </c>
      <c r="G41" s="8" t="n">
        <v>11</v>
      </c>
      <c r="H41" s="14" t="s">
        <v>675</v>
      </c>
      <c r="I41" s="14" t="s">
        <v>187</v>
      </c>
      <c r="J41" s="14" t="s">
        <v>676</v>
      </c>
      <c r="K41" s="8" t="n">
        <v>14</v>
      </c>
      <c r="L41" s="8" t="n">
        <v>87</v>
      </c>
      <c r="M41" s="8" t="n">
        <v>3</v>
      </c>
      <c r="N41" s="8" t="n">
        <v>38</v>
      </c>
      <c r="O41" s="8" t="n">
        <v>11</v>
      </c>
      <c r="P41" s="9" t="n">
        <v>24.1060748354343</v>
      </c>
      <c r="Q41" s="10" t="n">
        <v>0.0414833193220685</v>
      </c>
      <c r="R41" s="9" t="n">
        <v>26</v>
      </c>
      <c r="S41" s="11" t="n">
        <f aca="false">IF(AND(ISNUMBER(R41),R41&gt;1,P41&gt;0),R41/P41-1,"")</f>
        <v>0.0785663023737824</v>
      </c>
      <c r="T41" s="9" t="n">
        <f aca="false">IF(AND(ISNUMBER(P41),P41&gt;0),P41*EXP('Read me'!$B$22),"")</f>
        <v>29.4432262924149</v>
      </c>
    </row>
    <row r="42" customFormat="false" ht="15" hidden="false" customHeight="false" outlineLevel="0" collapsed="false">
      <c r="A42" s="14" t="s">
        <v>184</v>
      </c>
      <c r="B42" s="14" t="s">
        <v>56</v>
      </c>
      <c r="C42" s="14" t="s">
        <v>185</v>
      </c>
      <c r="D42" s="14" t="s">
        <v>436</v>
      </c>
      <c r="E42" s="15" t="n">
        <v>7</v>
      </c>
      <c r="F42" s="14" t="s">
        <v>419</v>
      </c>
      <c r="G42" s="8" t="n">
        <v>7</v>
      </c>
      <c r="H42" s="14" t="s">
        <v>186</v>
      </c>
      <c r="I42" s="14" t="s">
        <v>187</v>
      </c>
      <c r="J42" s="14" t="s">
        <v>188</v>
      </c>
      <c r="K42" s="8" t="n">
        <v>5</v>
      </c>
      <c r="L42" s="8" t="n">
        <v>84</v>
      </c>
      <c r="M42" s="8" t="n">
        <v>2</v>
      </c>
      <c r="N42" s="8" t="n">
        <v>33</v>
      </c>
      <c r="O42" s="8" t="n">
        <v>1</v>
      </c>
      <c r="P42" s="9" t="n">
        <v>3.32408229304458</v>
      </c>
      <c r="Q42" s="10" t="n">
        <v>0.300834910763923</v>
      </c>
      <c r="R42" s="9" t="n">
        <v>4.5</v>
      </c>
      <c r="S42" s="11" t="n">
        <f aca="false">IF(AND(ISNUMBER(R42),R42&gt;1,P42&gt;0),R42/P42-1,"")</f>
        <v>0.353757098437652</v>
      </c>
      <c r="T42" s="9" t="n">
        <f aca="false">IF(AND(ISNUMBER(P42),P42&gt;0),P42*EXP('Read me'!$B$22),"")</f>
        <v>4.06004328107603</v>
      </c>
    </row>
    <row r="43" customFormat="false" ht="15" hidden="false" customHeight="false" outlineLevel="0" collapsed="false">
      <c r="A43" s="14" t="s">
        <v>184</v>
      </c>
      <c r="B43" s="14" t="s">
        <v>56</v>
      </c>
      <c r="C43" s="14" t="s">
        <v>185</v>
      </c>
      <c r="D43" s="14" t="s">
        <v>436</v>
      </c>
      <c r="E43" s="15" t="n">
        <v>7</v>
      </c>
      <c r="F43" s="14" t="s">
        <v>419</v>
      </c>
      <c r="G43" s="8" t="n">
        <v>7</v>
      </c>
      <c r="H43" s="14" t="s">
        <v>189</v>
      </c>
      <c r="I43" s="14" t="s">
        <v>667</v>
      </c>
      <c r="J43" s="14" t="s">
        <v>376</v>
      </c>
      <c r="K43" s="8" t="n">
        <v>6</v>
      </c>
      <c r="L43" s="8" t="n">
        <v>82</v>
      </c>
      <c r="M43" s="8" t="n">
        <v>2</v>
      </c>
      <c r="N43" s="8" t="n">
        <v>27</v>
      </c>
      <c r="O43" s="8" t="n">
        <v>2</v>
      </c>
      <c r="P43" s="9" t="n">
        <v>4.0681309288796</v>
      </c>
      <c r="Q43" s="10" t="n">
        <v>0.245813130767502</v>
      </c>
      <c r="R43" s="9" t="n">
        <v>2.5</v>
      </c>
      <c r="S43" s="11" t="n">
        <f aca="false">IF(AND(ISNUMBER(R43),R43&gt;1,P43&gt;0),R43/P43-1,"")</f>
        <v>-0.385467173081246</v>
      </c>
      <c r="T43" s="9" t="n">
        <f aca="false">IF(AND(ISNUMBER(P43),P43&gt;0),P43*EXP('Read me'!$B$22),"")</f>
        <v>4.96882633709024</v>
      </c>
    </row>
    <row r="44" customFormat="false" ht="15" hidden="false" customHeight="false" outlineLevel="0" collapsed="false">
      <c r="A44" s="14" t="s">
        <v>184</v>
      </c>
      <c r="B44" s="14" t="s">
        <v>56</v>
      </c>
      <c r="C44" s="14" t="s">
        <v>185</v>
      </c>
      <c r="D44" s="14" t="s">
        <v>436</v>
      </c>
      <c r="E44" s="15" t="n">
        <v>7</v>
      </c>
      <c r="F44" s="14" t="s">
        <v>419</v>
      </c>
      <c r="G44" s="8" t="n">
        <v>7</v>
      </c>
      <c r="H44" s="14" t="s">
        <v>796</v>
      </c>
      <c r="I44" s="14" t="s">
        <v>482</v>
      </c>
      <c r="J44" s="14" t="s">
        <v>665</v>
      </c>
      <c r="K44" s="8" t="n">
        <v>1</v>
      </c>
      <c r="L44" s="8" t="n">
        <v>80</v>
      </c>
      <c r="M44" s="8" t="n">
        <v>2</v>
      </c>
      <c r="N44" s="8" t="n">
        <v>8</v>
      </c>
      <c r="O44" s="8" t="n">
        <v>3</v>
      </c>
      <c r="P44" s="9" t="n">
        <v>7.44216170805461</v>
      </c>
      <c r="Q44" s="10" t="n">
        <v>0.134369560784699</v>
      </c>
      <c r="R44" s="9" t="n">
        <v>8</v>
      </c>
      <c r="S44" s="11" t="n">
        <f aca="false">IF(AND(ISNUMBER(R44),R44&gt;1,P44&gt;0),R44/P44-1,"")</f>
        <v>0.0749564862775887</v>
      </c>
      <c r="T44" s="9" t="n">
        <f aca="false">IF(AND(ISNUMBER(P44),P44&gt;0),P44*EXP('Read me'!$B$22),"")</f>
        <v>9.0898768368919</v>
      </c>
    </row>
    <row r="45" customFormat="false" ht="15" hidden="false" customHeight="false" outlineLevel="0" collapsed="false">
      <c r="A45" s="14" t="s">
        <v>184</v>
      </c>
      <c r="B45" s="14" t="s">
        <v>56</v>
      </c>
      <c r="C45" s="14" t="s">
        <v>185</v>
      </c>
      <c r="D45" s="14" t="s">
        <v>436</v>
      </c>
      <c r="E45" s="15" t="n">
        <v>7</v>
      </c>
      <c r="F45" s="14" t="s">
        <v>419</v>
      </c>
      <c r="G45" s="8" t="n">
        <v>7</v>
      </c>
      <c r="H45" s="14" t="s">
        <v>797</v>
      </c>
      <c r="I45" s="14" t="s">
        <v>485</v>
      </c>
      <c r="J45" s="14" t="s">
        <v>236</v>
      </c>
      <c r="K45" s="8" t="n">
        <v>7</v>
      </c>
      <c r="L45" s="8" t="n">
        <v>79</v>
      </c>
      <c r="M45" s="8" t="n">
        <v>2</v>
      </c>
      <c r="N45" s="8" t="n">
        <v>8</v>
      </c>
      <c r="O45" s="8" t="n">
        <v>4</v>
      </c>
      <c r="P45" s="9" t="n">
        <v>10.0094449887484</v>
      </c>
      <c r="Q45" s="10" t="n">
        <v>0.0999056392361512</v>
      </c>
      <c r="R45" s="9" t="n">
        <v>12</v>
      </c>
      <c r="S45" s="11" t="n">
        <f aca="false">IF(AND(ISNUMBER(R45),R45&gt;1,P45&gt;0),R45/P45-1,"")</f>
        <v>0.198867670833814</v>
      </c>
      <c r="T45" s="9" t="n">
        <f aca="false">IF(AND(ISNUMBER(P45),P45&gt;0),P45*EXP('Read me'!$B$22),"")</f>
        <v>12.2255637169098</v>
      </c>
    </row>
    <row r="46" customFormat="false" ht="15" hidden="false" customHeight="false" outlineLevel="0" collapsed="false">
      <c r="A46" s="14" t="s">
        <v>184</v>
      </c>
      <c r="B46" s="14" t="s">
        <v>56</v>
      </c>
      <c r="C46" s="14" t="s">
        <v>185</v>
      </c>
      <c r="D46" s="14" t="s">
        <v>436</v>
      </c>
      <c r="E46" s="15" t="n">
        <v>7</v>
      </c>
      <c r="F46" s="14" t="s">
        <v>419</v>
      </c>
      <c r="G46" s="8" t="n">
        <v>7</v>
      </c>
      <c r="H46" s="14" t="s">
        <v>798</v>
      </c>
      <c r="I46" s="14" t="s">
        <v>799</v>
      </c>
      <c r="J46" s="14" t="s">
        <v>501</v>
      </c>
      <c r="K46" s="8" t="n">
        <v>4</v>
      </c>
      <c r="L46" s="8" t="n">
        <v>78</v>
      </c>
      <c r="M46" s="8" t="n">
        <v>2</v>
      </c>
      <c r="N46" s="8" t="n">
        <v>37</v>
      </c>
      <c r="O46" s="8" t="n">
        <v>5</v>
      </c>
      <c r="P46" s="9" t="n">
        <v>10.6930092325341</v>
      </c>
      <c r="Q46" s="10" t="n">
        <v>0.0935190439149195</v>
      </c>
      <c r="R46" s="9" t="n">
        <v>8.5</v>
      </c>
      <c r="S46" s="11" t="n">
        <f aca="false">IF(AND(ISNUMBER(R46),R46&gt;1,P46&gt;0),R46/P46-1,"")</f>
        <v>-0.205088126723183</v>
      </c>
      <c r="T46" s="9" t="n">
        <f aca="false">IF(AND(ISNUMBER(P46),P46&gt;0),P46*EXP('Read me'!$B$22),"")</f>
        <v>13.0604709696493</v>
      </c>
    </row>
    <row r="47" customFormat="false" ht="15" hidden="false" customHeight="false" outlineLevel="0" collapsed="false">
      <c r="A47" s="14" t="s">
        <v>184</v>
      </c>
      <c r="B47" s="14" t="s">
        <v>56</v>
      </c>
      <c r="C47" s="14" t="s">
        <v>185</v>
      </c>
      <c r="D47" s="14" t="s">
        <v>436</v>
      </c>
      <c r="E47" s="15" t="n">
        <v>7</v>
      </c>
      <c r="F47" s="14" t="s">
        <v>419</v>
      </c>
      <c r="G47" s="8" t="n">
        <v>7</v>
      </c>
      <c r="H47" s="14" t="s">
        <v>800</v>
      </c>
      <c r="I47" s="14" t="s">
        <v>427</v>
      </c>
      <c r="J47" s="14" t="s">
        <v>709</v>
      </c>
      <c r="K47" s="8" t="n">
        <v>2</v>
      </c>
      <c r="L47" s="8" t="n">
        <v>78</v>
      </c>
      <c r="M47" s="8" t="n">
        <v>2</v>
      </c>
      <c r="N47" s="8" t="n">
        <v>28</v>
      </c>
      <c r="O47" s="8" t="n">
        <v>6</v>
      </c>
      <c r="P47" s="9" t="n">
        <v>11.8515964339474</v>
      </c>
      <c r="Q47" s="10" t="n">
        <v>0.0843768183951677</v>
      </c>
      <c r="R47" s="9" t="n">
        <v>9.5</v>
      </c>
      <c r="S47" s="11" t="n">
        <f aca="false">IF(AND(ISNUMBER(R47),R47&gt;1,P47&gt;0),R47/P47-1,"")</f>
        <v>-0.198420225245906</v>
      </c>
      <c r="T47" s="9" t="n">
        <f aca="false">IF(AND(ISNUMBER(P47),P47&gt;0),P47*EXP('Read me'!$B$22),"")</f>
        <v>14.4755725730246</v>
      </c>
    </row>
    <row r="48" customFormat="false" ht="15" hidden="false" customHeight="false" outlineLevel="0" collapsed="false">
      <c r="A48" s="14" t="s">
        <v>184</v>
      </c>
      <c r="B48" s="14" t="s">
        <v>56</v>
      </c>
      <c r="C48" s="14" t="s">
        <v>185</v>
      </c>
      <c r="D48" s="14" t="s">
        <v>436</v>
      </c>
      <c r="E48" s="15" t="n">
        <v>7</v>
      </c>
      <c r="F48" s="14" t="s">
        <v>419</v>
      </c>
      <c r="G48" s="8" t="n">
        <v>7</v>
      </c>
      <c r="H48" s="14" t="s">
        <v>801</v>
      </c>
      <c r="I48" s="14" t="s">
        <v>492</v>
      </c>
      <c r="J48" s="14" t="s">
        <v>802</v>
      </c>
      <c r="K48" s="8" t="n">
        <v>3</v>
      </c>
      <c r="L48" s="8" t="n">
        <v>70</v>
      </c>
      <c r="M48" s="8" t="n">
        <v>2</v>
      </c>
      <c r="N48" s="8" t="n">
        <v>7</v>
      </c>
      <c r="O48" s="8" t="n">
        <v>7</v>
      </c>
      <c r="P48" s="9" t="n">
        <v>24.2831043952446</v>
      </c>
      <c r="Q48" s="10" t="n">
        <v>0.0411808961376385</v>
      </c>
      <c r="R48" s="9" t="n">
        <v>15</v>
      </c>
      <c r="S48" s="11" t="n">
        <f aca="false">IF(AND(ISNUMBER(R48),R48&gt;1,P48&gt;0),R48/P48-1,"")</f>
        <v>-0.382286557935422</v>
      </c>
      <c r="T48" s="9" t="n">
        <f aca="false">IF(AND(ISNUMBER(P48),P48&gt;0),P48*EXP('Read me'!$B$22),"")</f>
        <v>29.659450685043</v>
      </c>
    </row>
    <row r="49" customFormat="false" ht="15" hidden="false" customHeight="false" outlineLevel="0" collapsed="false">
      <c r="A49" s="14" t="s">
        <v>227</v>
      </c>
      <c r="B49" s="14" t="s">
        <v>56</v>
      </c>
      <c r="C49" s="14" t="s">
        <v>228</v>
      </c>
      <c r="D49" s="14" t="s">
        <v>570</v>
      </c>
      <c r="E49" s="15" t="n">
        <v>8</v>
      </c>
      <c r="F49" s="14" t="s">
        <v>419</v>
      </c>
      <c r="G49" s="8" t="n">
        <v>6</v>
      </c>
      <c r="H49" s="14" t="s">
        <v>229</v>
      </c>
      <c r="I49" s="14" t="s">
        <v>84</v>
      </c>
      <c r="J49" s="14" t="s">
        <v>230</v>
      </c>
      <c r="K49" s="8" t="n">
        <v>2</v>
      </c>
      <c r="L49" s="8" t="n">
        <v>0</v>
      </c>
      <c r="M49" s="8" t="n">
        <v>2</v>
      </c>
      <c r="N49" s="8" t="n">
        <v>22</v>
      </c>
      <c r="O49" s="8" t="n">
        <v>1</v>
      </c>
      <c r="P49" s="9" t="n">
        <v>2.88832779379757</v>
      </c>
      <c r="Q49" s="10" t="n">
        <v>0.346221091022775</v>
      </c>
      <c r="R49" s="9" t="n">
        <v>2.625</v>
      </c>
      <c r="S49" s="11" t="n">
        <f aca="false">IF(AND(ISNUMBER(R49),R49&gt;1,P49&gt;0),R49/P49-1,"")</f>
        <v>-0.091169636065216</v>
      </c>
      <c r="T49" s="9" t="n">
        <f aca="false">IF(AND(ISNUMBER(P49),P49&gt;0),P49*EXP('Read me'!$B$22),"")</f>
        <v>3.52781153381503</v>
      </c>
    </row>
    <row r="50" customFormat="false" ht="15" hidden="false" customHeight="false" outlineLevel="0" collapsed="false">
      <c r="A50" s="14" t="s">
        <v>227</v>
      </c>
      <c r="B50" s="14" t="s">
        <v>56</v>
      </c>
      <c r="C50" s="14" t="s">
        <v>228</v>
      </c>
      <c r="D50" s="14" t="s">
        <v>570</v>
      </c>
      <c r="E50" s="15" t="n">
        <v>8</v>
      </c>
      <c r="F50" s="14" t="s">
        <v>419</v>
      </c>
      <c r="G50" s="8" t="n">
        <v>6</v>
      </c>
      <c r="H50" s="14" t="s">
        <v>231</v>
      </c>
      <c r="I50" s="14" t="s">
        <v>935</v>
      </c>
      <c r="J50" s="14" t="s">
        <v>133</v>
      </c>
      <c r="K50" s="8" t="n">
        <v>1</v>
      </c>
      <c r="L50" s="8" t="n">
        <v>0</v>
      </c>
      <c r="M50" s="8" t="n">
        <v>2</v>
      </c>
      <c r="N50" s="8" t="n">
        <v>18</v>
      </c>
      <c r="O50" s="8" t="n">
        <v>2</v>
      </c>
      <c r="P50" s="9" t="n">
        <v>3.6826015830931</v>
      </c>
      <c r="Q50" s="10" t="n">
        <v>0.271547159646871</v>
      </c>
      <c r="R50" s="9" t="n">
        <v>5</v>
      </c>
      <c r="S50" s="11" t="n">
        <f aca="false">IF(AND(ISNUMBER(R50),R50&gt;1,P50&gt;0),R50/P50-1,"")</f>
        <v>0.357735798234352</v>
      </c>
      <c r="T50" s="9" t="n">
        <f aca="false">IF(AND(ISNUMBER(P50),P50&gt;0),P50*EXP('Read me'!$B$22),"")</f>
        <v>4.49793973079492</v>
      </c>
    </row>
    <row r="51" customFormat="false" ht="15" hidden="false" customHeight="false" outlineLevel="0" collapsed="false">
      <c r="A51" s="14" t="s">
        <v>227</v>
      </c>
      <c r="B51" s="14" t="s">
        <v>56</v>
      </c>
      <c r="C51" s="14" t="s">
        <v>228</v>
      </c>
      <c r="D51" s="14" t="s">
        <v>570</v>
      </c>
      <c r="E51" s="15" t="n">
        <v>8</v>
      </c>
      <c r="F51" s="14" t="s">
        <v>419</v>
      </c>
      <c r="G51" s="8" t="n">
        <v>6</v>
      </c>
      <c r="H51" s="14" t="s">
        <v>936</v>
      </c>
      <c r="I51" s="14" t="s">
        <v>420</v>
      </c>
      <c r="J51" s="14" t="s">
        <v>582</v>
      </c>
      <c r="K51" s="8" t="n">
        <v>6</v>
      </c>
      <c r="L51" s="8" t="n">
        <v>0</v>
      </c>
      <c r="M51" s="8" t="n">
        <v>2</v>
      </c>
      <c r="N51" s="8" t="n">
        <v>23</v>
      </c>
      <c r="O51" s="8" t="n">
        <v>3</v>
      </c>
      <c r="P51" s="9" t="n">
        <v>4.85486723799022</v>
      </c>
      <c r="Q51" s="10" t="n">
        <v>0.205978856059094</v>
      </c>
      <c r="R51" s="9" t="n">
        <v>2.875</v>
      </c>
      <c r="S51" s="11" t="n">
        <f aca="false">IF(AND(ISNUMBER(R51),R51&gt;1,P51&gt;0),R51/P51-1,"")</f>
        <v>-0.407810788830104</v>
      </c>
      <c r="T51" s="9" t="n">
        <f aca="false">IF(AND(ISNUMBER(P51),P51&gt;0),P51*EXP('Read me'!$B$22),"")</f>
        <v>5.9297482349827</v>
      </c>
    </row>
    <row r="52" customFormat="false" ht="15" hidden="false" customHeight="false" outlineLevel="0" collapsed="false">
      <c r="A52" s="14" t="s">
        <v>227</v>
      </c>
      <c r="B52" s="14" t="s">
        <v>56</v>
      </c>
      <c r="C52" s="14" t="s">
        <v>228</v>
      </c>
      <c r="D52" s="14" t="s">
        <v>570</v>
      </c>
      <c r="E52" s="15" t="n">
        <v>8</v>
      </c>
      <c r="F52" s="14" t="s">
        <v>419</v>
      </c>
      <c r="G52" s="8" t="n">
        <v>6</v>
      </c>
      <c r="H52" s="14" t="s">
        <v>937</v>
      </c>
      <c r="I52" s="14" t="s">
        <v>427</v>
      </c>
      <c r="J52" s="14" t="s">
        <v>571</v>
      </c>
      <c r="K52" s="8" t="n">
        <v>7</v>
      </c>
      <c r="L52" s="8" t="n">
        <v>0</v>
      </c>
      <c r="M52" s="8" t="n">
        <v>2</v>
      </c>
      <c r="N52" s="8" t="n">
        <v>14</v>
      </c>
      <c r="O52" s="8" t="n">
        <v>4</v>
      </c>
      <c r="P52" s="9" t="n">
        <v>8.51783481774077</v>
      </c>
      <c r="Q52" s="10" t="n">
        <v>0.117400726991937</v>
      </c>
      <c r="R52" s="9" t="n">
        <v>6</v>
      </c>
      <c r="S52" s="11" t="n">
        <f aca="false">IF(AND(ISNUMBER(R52),R52&gt;1,P52&gt;0),R52/P52-1,"")</f>
        <v>-0.295595638048377</v>
      </c>
      <c r="T52" s="9" t="n">
        <f aca="false">IF(AND(ISNUMBER(P52),P52&gt;0),P52*EXP('Read me'!$B$22),"")</f>
        <v>10.4037069399413</v>
      </c>
    </row>
    <row r="53" customFormat="false" ht="15" hidden="false" customHeight="false" outlineLevel="0" collapsed="false">
      <c r="A53" s="14" t="s">
        <v>227</v>
      </c>
      <c r="B53" s="14" t="s">
        <v>56</v>
      </c>
      <c r="C53" s="14" t="s">
        <v>228</v>
      </c>
      <c r="D53" s="14" t="s">
        <v>570</v>
      </c>
      <c r="E53" s="15" t="n">
        <v>8</v>
      </c>
      <c r="F53" s="14" t="s">
        <v>419</v>
      </c>
      <c r="G53" s="8" t="n">
        <v>6</v>
      </c>
      <c r="H53" s="14" t="s">
        <v>938</v>
      </c>
      <c r="I53" s="14" t="s">
        <v>266</v>
      </c>
      <c r="J53" s="14" t="s">
        <v>91</v>
      </c>
      <c r="K53" s="8" t="n">
        <v>5</v>
      </c>
      <c r="L53" s="8" t="n">
        <v>0</v>
      </c>
      <c r="M53" s="8" t="n">
        <v>2</v>
      </c>
      <c r="N53" s="8" t="n">
        <v>23</v>
      </c>
      <c r="O53" s="8" t="n">
        <v>5</v>
      </c>
      <c r="P53" s="9" t="n">
        <v>25.6256722133149</v>
      </c>
      <c r="Q53" s="10" t="n">
        <v>0.0390233665550599</v>
      </c>
      <c r="R53" s="9" t="n">
        <v>26</v>
      </c>
      <c r="S53" s="11" t="n">
        <f aca="false">IF(AND(ISNUMBER(R53),R53&gt;1,P53&gt;0),R53/P53-1,"")</f>
        <v>0.0146075304315589</v>
      </c>
      <c r="T53" s="9" t="n">
        <f aca="false">IF(AND(ISNUMBER(P53),P53&gt;0),P53*EXP('Read me'!$B$22),"")</f>
        <v>31.2992667210512</v>
      </c>
    </row>
    <row r="54" customFormat="false" ht="15" hidden="false" customHeight="false" outlineLevel="0" collapsed="false">
      <c r="A54" s="14" t="s">
        <v>227</v>
      </c>
      <c r="B54" s="14" t="s">
        <v>56</v>
      </c>
      <c r="C54" s="14" t="s">
        <v>228</v>
      </c>
      <c r="D54" s="14" t="s">
        <v>570</v>
      </c>
      <c r="E54" s="15" t="n">
        <v>8</v>
      </c>
      <c r="F54" s="14" t="s">
        <v>419</v>
      </c>
      <c r="G54" s="8" t="n">
        <v>6</v>
      </c>
      <c r="H54" s="14" t="s">
        <v>939</v>
      </c>
      <c r="I54" s="14" t="s">
        <v>423</v>
      </c>
      <c r="J54" s="14" t="s">
        <v>574</v>
      </c>
      <c r="K54" s="8" t="n">
        <v>4</v>
      </c>
      <c r="L54" s="8" t="n">
        <v>0</v>
      </c>
      <c r="M54" s="8" t="n">
        <v>2</v>
      </c>
      <c r="N54" s="8"/>
      <c r="O54" s="8" t="n">
        <v>6</v>
      </c>
      <c r="P54" s="9" t="n">
        <v>50.4316960131661</v>
      </c>
      <c r="Q54" s="10" t="n">
        <v>0.0198287997242633</v>
      </c>
      <c r="R54" s="9" t="n">
        <v>151</v>
      </c>
      <c r="S54" s="11" t="n">
        <f aca="false">IF(AND(ISNUMBER(R54),R54&gt;1,P54&gt;0),R54/P54-1,"")</f>
        <v>1.99414875836376</v>
      </c>
      <c r="T54" s="9" t="n">
        <f aca="false">IF(AND(ISNUMBER(P54),P54&gt;0),P54*EXP('Read me'!$B$22),"")</f>
        <v>61.5974126091763</v>
      </c>
    </row>
    <row r="55" customFormat="false" ht="15" hidden="false" customHeight="false" outlineLevel="0" collapsed="false">
      <c r="A55" s="14" t="s">
        <v>263</v>
      </c>
      <c r="B55" s="14" t="s">
        <v>56</v>
      </c>
      <c r="C55" s="14" t="s">
        <v>264</v>
      </c>
      <c r="D55" s="14" t="s">
        <v>436</v>
      </c>
      <c r="E55" s="15" t="n">
        <v>14.5</v>
      </c>
      <c r="F55" s="14" t="s">
        <v>419</v>
      </c>
      <c r="G55" s="8" t="n">
        <v>9</v>
      </c>
      <c r="H55" s="14" t="s">
        <v>265</v>
      </c>
      <c r="I55" s="14" t="s">
        <v>266</v>
      </c>
      <c r="J55" s="14" t="s">
        <v>267</v>
      </c>
      <c r="K55" s="8" t="n">
        <v>10</v>
      </c>
      <c r="L55" s="8" t="n">
        <v>86</v>
      </c>
      <c r="M55" s="8" t="n">
        <v>4</v>
      </c>
      <c r="N55" s="8" t="n">
        <v>153</v>
      </c>
      <c r="O55" s="8" t="n">
        <v>1</v>
      </c>
      <c r="P55" s="9" t="n">
        <v>5.01631464656624</v>
      </c>
      <c r="Q55" s="10" t="n">
        <v>0.199349536553597</v>
      </c>
      <c r="R55" s="9" t="n">
        <v>3.5</v>
      </c>
      <c r="S55" s="11" t="n">
        <f aca="false">IF(AND(ISNUMBER(R55),R55&gt;1,P55&gt;0),R55/P55-1,"")</f>
        <v>-0.302276622062411</v>
      </c>
      <c r="T55" s="9" t="n">
        <f aca="false">IF(AND(ISNUMBER(P55),P55&gt;0),P55*EXP('Read me'!$B$22),"")</f>
        <v>6.12694054511526</v>
      </c>
    </row>
    <row r="56" customFormat="false" ht="15" hidden="false" customHeight="false" outlineLevel="0" collapsed="false">
      <c r="A56" s="14" t="s">
        <v>263</v>
      </c>
      <c r="B56" s="14" t="s">
        <v>56</v>
      </c>
      <c r="C56" s="14" t="s">
        <v>264</v>
      </c>
      <c r="D56" s="14" t="s">
        <v>436</v>
      </c>
      <c r="E56" s="15" t="n">
        <v>14.5</v>
      </c>
      <c r="F56" s="14" t="s">
        <v>419</v>
      </c>
      <c r="G56" s="8" t="n">
        <v>9</v>
      </c>
      <c r="H56" s="14" t="s">
        <v>268</v>
      </c>
      <c r="I56" s="14" t="s">
        <v>59</v>
      </c>
      <c r="J56" s="14" t="s">
        <v>60</v>
      </c>
      <c r="K56" s="8" t="n">
        <v>8</v>
      </c>
      <c r="L56" s="8" t="n">
        <v>76</v>
      </c>
      <c r="M56" s="8" t="n">
        <v>4</v>
      </c>
      <c r="N56" s="8" t="n">
        <v>23</v>
      </c>
      <c r="O56" s="8" t="n">
        <v>2</v>
      </c>
      <c r="P56" s="9" t="n">
        <v>5.79895090121431</v>
      </c>
      <c r="Q56" s="10" t="n">
        <v>0.172444984797267</v>
      </c>
      <c r="R56" s="9" t="n">
        <v>9</v>
      </c>
      <c r="S56" s="11" t="n">
        <f aca="false">IF(AND(ISNUMBER(R56),R56&gt;1,P56&gt;0),R56/P56-1,"")</f>
        <v>0.552004863175403</v>
      </c>
      <c r="T56" s="9" t="n">
        <f aca="false">IF(AND(ISNUMBER(P56),P56&gt;0),P56*EXP('Read me'!$B$22),"")</f>
        <v>7.08285462517857</v>
      </c>
    </row>
    <row r="57" customFormat="false" ht="15" hidden="false" customHeight="false" outlineLevel="0" collapsed="false">
      <c r="A57" s="14" t="s">
        <v>263</v>
      </c>
      <c r="B57" s="14" t="s">
        <v>56</v>
      </c>
      <c r="C57" s="14" t="s">
        <v>264</v>
      </c>
      <c r="D57" s="14" t="s">
        <v>436</v>
      </c>
      <c r="E57" s="15" t="n">
        <v>14.5</v>
      </c>
      <c r="F57" s="14" t="s">
        <v>419</v>
      </c>
      <c r="G57" s="8" t="n">
        <v>9</v>
      </c>
      <c r="H57" s="14" t="s">
        <v>1054</v>
      </c>
      <c r="I57" s="14" t="s">
        <v>482</v>
      </c>
      <c r="J57" s="14" t="s">
        <v>665</v>
      </c>
      <c r="K57" s="8" t="n">
        <v>3</v>
      </c>
      <c r="L57" s="8" t="n">
        <v>71</v>
      </c>
      <c r="M57" s="8" t="n">
        <v>6</v>
      </c>
      <c r="N57" s="8" t="n">
        <v>14</v>
      </c>
      <c r="O57" s="8" t="n">
        <v>3</v>
      </c>
      <c r="P57" s="9" t="n">
        <v>6.31461475891406</v>
      </c>
      <c r="Q57" s="10" t="n">
        <v>0.158362788258515</v>
      </c>
      <c r="R57" s="9" t="n">
        <v>4.5</v>
      </c>
      <c r="S57" s="11" t="n">
        <f aca="false">IF(AND(ISNUMBER(R57),R57&gt;1,P57&gt;0),R57/P57-1,"")</f>
        <v>-0.287367452836683</v>
      </c>
      <c r="T57" s="9" t="n">
        <f aca="false">IF(AND(ISNUMBER(P57),P57&gt;0),P57*EXP('Read me'!$B$22),"")</f>
        <v>7.71268788325655</v>
      </c>
    </row>
    <row r="58" customFormat="false" ht="15" hidden="false" customHeight="false" outlineLevel="0" collapsed="false">
      <c r="A58" s="14" t="s">
        <v>263</v>
      </c>
      <c r="B58" s="14" t="s">
        <v>56</v>
      </c>
      <c r="C58" s="14" t="s">
        <v>264</v>
      </c>
      <c r="D58" s="14" t="s">
        <v>436</v>
      </c>
      <c r="E58" s="15" t="n">
        <v>14.5</v>
      </c>
      <c r="F58" s="14" t="s">
        <v>419</v>
      </c>
      <c r="G58" s="8" t="n">
        <v>9</v>
      </c>
      <c r="H58" s="14" t="s">
        <v>1055</v>
      </c>
      <c r="I58" s="14" t="s">
        <v>495</v>
      </c>
      <c r="J58" s="14" t="s">
        <v>439</v>
      </c>
      <c r="K58" s="8" t="n">
        <v>2</v>
      </c>
      <c r="L58" s="8" t="n">
        <v>71</v>
      </c>
      <c r="M58" s="8" t="n">
        <v>4</v>
      </c>
      <c r="N58" s="8" t="n">
        <v>14</v>
      </c>
      <c r="O58" s="8" t="n">
        <v>4</v>
      </c>
      <c r="P58" s="9" t="n">
        <v>6.51770800758459</v>
      </c>
      <c r="Q58" s="10" t="n">
        <v>0.153428168128476</v>
      </c>
      <c r="R58" s="9" t="n">
        <v>7</v>
      </c>
      <c r="S58" s="11" t="n">
        <f aca="false">IF(AND(ISNUMBER(R58),R58&gt;1,P58&gt;0),R58/P58-1,"")</f>
        <v>0.0739971768993286</v>
      </c>
      <c r="T58" s="9" t="n">
        <f aca="false">IF(AND(ISNUMBER(P58),P58&gt;0),P58*EXP('Read me'!$B$22),"")</f>
        <v>7.96074653734645</v>
      </c>
    </row>
    <row r="59" customFormat="false" ht="15" hidden="false" customHeight="false" outlineLevel="0" collapsed="false">
      <c r="A59" s="14" t="s">
        <v>263</v>
      </c>
      <c r="B59" s="14" t="s">
        <v>56</v>
      </c>
      <c r="C59" s="14" t="s">
        <v>264</v>
      </c>
      <c r="D59" s="14" t="s">
        <v>436</v>
      </c>
      <c r="E59" s="15" t="n">
        <v>14.5</v>
      </c>
      <c r="F59" s="14" t="s">
        <v>419</v>
      </c>
      <c r="G59" s="8" t="n">
        <v>9</v>
      </c>
      <c r="H59" s="14" t="s">
        <v>1056</v>
      </c>
      <c r="I59" s="14" t="s">
        <v>84</v>
      </c>
      <c r="J59" s="14" t="s">
        <v>1057</v>
      </c>
      <c r="K59" s="8" t="n">
        <v>9</v>
      </c>
      <c r="L59" s="8" t="n">
        <v>78</v>
      </c>
      <c r="M59" s="8" t="n">
        <v>5</v>
      </c>
      <c r="N59" s="8" t="n">
        <v>14</v>
      </c>
      <c r="O59" s="8" t="n">
        <v>5</v>
      </c>
      <c r="P59" s="9" t="n">
        <v>7.0117428203914</v>
      </c>
      <c r="Q59" s="10" t="n">
        <v>0.142617894810948</v>
      </c>
      <c r="R59" s="9" t="n">
        <v>5</v>
      </c>
      <c r="S59" s="11" t="n">
        <f aca="false">IF(AND(ISNUMBER(R59),R59&gt;1,P59&gt;0),R59/P59-1,"")</f>
        <v>-0.286910525945261</v>
      </c>
      <c r="T59" s="9" t="n">
        <f aca="false">IF(AND(ISNUMBER(P59),P59&gt;0),P59*EXP('Read me'!$B$22),"")</f>
        <v>8.56416202033583</v>
      </c>
    </row>
    <row r="60" customFormat="false" ht="15" hidden="false" customHeight="false" outlineLevel="0" collapsed="false">
      <c r="A60" s="14" t="s">
        <v>263</v>
      </c>
      <c r="B60" s="14" t="s">
        <v>56</v>
      </c>
      <c r="C60" s="14" t="s">
        <v>264</v>
      </c>
      <c r="D60" s="14" t="s">
        <v>436</v>
      </c>
      <c r="E60" s="15" t="n">
        <v>14.5</v>
      </c>
      <c r="F60" s="14" t="s">
        <v>419</v>
      </c>
      <c r="G60" s="8" t="n">
        <v>9</v>
      </c>
      <c r="H60" s="14" t="s">
        <v>1058</v>
      </c>
      <c r="I60" s="14" t="s">
        <v>579</v>
      </c>
      <c r="J60" s="14" t="s">
        <v>574</v>
      </c>
      <c r="K60" s="8" t="n">
        <v>5</v>
      </c>
      <c r="L60" s="8" t="n">
        <v>83</v>
      </c>
      <c r="M60" s="8" t="n">
        <v>6</v>
      </c>
      <c r="N60" s="8" t="n">
        <v>20</v>
      </c>
      <c r="O60" s="8" t="n">
        <v>6</v>
      </c>
      <c r="P60" s="9" t="n">
        <v>16.0351376377611</v>
      </c>
      <c r="Q60" s="10" t="n">
        <v>0.0623630443710755</v>
      </c>
      <c r="R60" s="9" t="n">
        <v>29</v>
      </c>
      <c r="S60" s="11" t="n">
        <f aca="false">IF(AND(ISNUMBER(R60),R60&gt;1,P60&gt;0),R60/P60-1,"")</f>
        <v>0.80852828676119</v>
      </c>
      <c r="T60" s="9" t="n">
        <f aca="false">IF(AND(ISNUMBER(P60),P60&gt;0),P60*EXP('Read me'!$B$22),"")</f>
        <v>19.5853613382394</v>
      </c>
    </row>
    <row r="61" customFormat="false" ht="15" hidden="false" customHeight="false" outlineLevel="0" collapsed="false">
      <c r="A61" s="14" t="s">
        <v>263</v>
      </c>
      <c r="B61" s="14" t="s">
        <v>56</v>
      </c>
      <c r="C61" s="14" t="s">
        <v>264</v>
      </c>
      <c r="D61" s="14" t="s">
        <v>436</v>
      </c>
      <c r="E61" s="15" t="n">
        <v>14.5</v>
      </c>
      <c r="F61" s="14" t="s">
        <v>419</v>
      </c>
      <c r="G61" s="8" t="n">
        <v>9</v>
      </c>
      <c r="H61" s="14" t="s">
        <v>1059</v>
      </c>
      <c r="I61" s="14" t="s">
        <v>187</v>
      </c>
      <c r="J61" s="14" t="s">
        <v>1060</v>
      </c>
      <c r="K61" s="8" t="n">
        <v>7</v>
      </c>
      <c r="L61" s="8" t="n">
        <v>74</v>
      </c>
      <c r="M61" s="8" t="n">
        <v>6</v>
      </c>
      <c r="N61" s="8" t="n">
        <v>355</v>
      </c>
      <c r="O61" s="8" t="n">
        <v>7</v>
      </c>
      <c r="P61" s="9" t="n">
        <v>16.7609892963814</v>
      </c>
      <c r="Q61" s="10" t="n">
        <v>0.0596623494184735</v>
      </c>
      <c r="R61" s="9" t="n">
        <v>12</v>
      </c>
      <c r="S61" s="11" t="n">
        <f aca="false">IF(AND(ISNUMBER(R61),R61&gt;1,P61&gt;0),R61/P61-1,"")</f>
        <v>-0.284051806978317</v>
      </c>
      <c r="T61" s="9" t="n">
        <f aca="false">IF(AND(ISNUMBER(P61),P61&gt;0),P61*EXP('Read me'!$B$22),"")</f>
        <v>20.4719185560933</v>
      </c>
    </row>
    <row r="62" customFormat="false" ht="15" hidden="false" customHeight="false" outlineLevel="0" collapsed="false">
      <c r="A62" s="14" t="s">
        <v>263</v>
      </c>
      <c r="B62" s="14" t="s">
        <v>56</v>
      </c>
      <c r="C62" s="14" t="s">
        <v>264</v>
      </c>
      <c r="D62" s="14" t="s">
        <v>436</v>
      </c>
      <c r="E62" s="15" t="n">
        <v>14.5</v>
      </c>
      <c r="F62" s="14" t="s">
        <v>419</v>
      </c>
      <c r="G62" s="8" t="n">
        <v>9</v>
      </c>
      <c r="H62" s="14" t="s">
        <v>1061</v>
      </c>
      <c r="I62" s="14" t="s">
        <v>935</v>
      </c>
      <c r="J62" s="14" t="s">
        <v>1062</v>
      </c>
      <c r="K62" s="8" t="n">
        <v>6</v>
      </c>
      <c r="L62" s="8" t="n">
        <v>78</v>
      </c>
      <c r="M62" s="8" t="n">
        <v>4</v>
      </c>
      <c r="N62" s="8" t="n">
        <v>26</v>
      </c>
      <c r="O62" s="8" t="n">
        <v>8</v>
      </c>
      <c r="P62" s="9" t="n">
        <v>23.6603358559781</v>
      </c>
      <c r="Q62" s="10" t="n">
        <v>0.0422648269275237</v>
      </c>
      <c r="R62" s="9" t="n">
        <v>15</v>
      </c>
      <c r="S62" s="11" t="n">
        <f aca="false">IF(AND(ISNUMBER(R62),R62&gt;1,P62&gt;0),R62/P62-1,"")</f>
        <v>-0.366027596087144</v>
      </c>
      <c r="T62" s="9" t="n">
        <f aca="false">IF(AND(ISNUMBER(P62),P62&gt;0),P62*EXP('Read me'!$B$22),"")</f>
        <v>28.8987994734877</v>
      </c>
    </row>
    <row r="63" customFormat="false" ht="15" hidden="false" customHeight="false" outlineLevel="0" collapsed="false">
      <c r="A63" s="14" t="s">
        <v>263</v>
      </c>
      <c r="B63" s="14" t="s">
        <v>56</v>
      </c>
      <c r="C63" s="14" t="s">
        <v>264</v>
      </c>
      <c r="D63" s="14" t="s">
        <v>436</v>
      </c>
      <c r="E63" s="15" t="n">
        <v>14.5</v>
      </c>
      <c r="F63" s="14" t="s">
        <v>419</v>
      </c>
      <c r="G63" s="8" t="n">
        <v>9</v>
      </c>
      <c r="H63" s="14" t="s">
        <v>1063</v>
      </c>
      <c r="I63" s="14" t="s">
        <v>799</v>
      </c>
      <c r="J63" s="14" t="s">
        <v>1064</v>
      </c>
      <c r="K63" s="8" t="n">
        <v>4</v>
      </c>
      <c r="L63" s="8" t="n">
        <v>85</v>
      </c>
      <c r="M63" s="8" t="n">
        <v>8</v>
      </c>
      <c r="N63" s="8" t="n">
        <v>36</v>
      </c>
      <c r="O63" s="8" t="n">
        <v>9</v>
      </c>
      <c r="P63" s="9" t="n">
        <v>105.192216993022</v>
      </c>
      <c r="Q63" s="10" t="n">
        <v>0.0095064067341249</v>
      </c>
      <c r="R63" s="9" t="n">
        <v>81</v>
      </c>
      <c r="S63" s="11" t="n">
        <f aca="false">IF(AND(ISNUMBER(R63),R63&gt;1,P63&gt;0),R63/P63-1,"")</f>
        <v>-0.229981054535878</v>
      </c>
      <c r="T63" s="9" t="n">
        <f aca="false">IF(AND(ISNUMBER(P63),P63&gt;0),P63*EXP('Read me'!$B$22),"")</f>
        <v>128.48206397226</v>
      </c>
    </row>
  </sheetData>
  <autoFilter ref="A1:T63"/>
  <conditionalFormatting sqref="A2:T63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358</v>
      </c>
      <c r="E1" s="6" t="s">
        <v>359</v>
      </c>
      <c r="F1" s="6" t="s">
        <v>360</v>
      </c>
      <c r="G1" s="6" t="s">
        <v>1</v>
      </c>
      <c r="H1" s="6" t="s">
        <v>361</v>
      </c>
      <c r="I1" s="6" t="s">
        <v>35</v>
      </c>
      <c r="J1" s="6" t="s">
        <v>36</v>
      </c>
      <c r="K1" s="6" t="s">
        <v>362</v>
      </c>
      <c r="L1" s="6" t="s">
        <v>363</v>
      </c>
      <c r="M1" s="6" t="s">
        <v>364</v>
      </c>
      <c r="N1" s="6" t="s">
        <v>365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4" t="s">
        <v>62</v>
      </c>
      <c r="B2" s="14" t="s">
        <v>63</v>
      </c>
      <c r="C2" s="14" t="s">
        <v>64</v>
      </c>
      <c r="D2" s="14" t="s">
        <v>436</v>
      </c>
      <c r="E2" s="15" t="n">
        <v>6</v>
      </c>
      <c r="F2" s="14" t="s">
        <v>388</v>
      </c>
      <c r="G2" s="8" t="n">
        <v>9</v>
      </c>
      <c r="H2" s="14" t="s">
        <v>65</v>
      </c>
      <c r="I2" s="14" t="s">
        <v>66</v>
      </c>
      <c r="J2" s="14" t="s">
        <v>67</v>
      </c>
      <c r="K2" s="8" t="n">
        <v>3</v>
      </c>
      <c r="L2" s="8" t="n">
        <v>78</v>
      </c>
      <c r="M2" s="8" t="n">
        <v>2</v>
      </c>
      <c r="N2" s="8" t="n">
        <v>20</v>
      </c>
      <c r="O2" s="8" t="n">
        <v>1</v>
      </c>
      <c r="P2" s="9" t="n">
        <v>2.19698373468503</v>
      </c>
      <c r="Q2" s="10" t="n">
        <v>0.455169505450784</v>
      </c>
      <c r="R2" s="9" t="n">
        <v>1.90909090909091</v>
      </c>
      <c r="S2" s="11" t="n">
        <f aca="false">IF(AND(ISNUMBER(R2),R2&gt;1,P2&gt;0),R2/P2-1,"")</f>
        <v>-0.131040035048504</v>
      </c>
      <c r="T2" s="9" t="n">
        <f aca="false">IF(AND(ISNUMBER(P2),P2&gt;0),P2*EXP('Read me'!$B$22),"")</f>
        <v>2.68340199317733</v>
      </c>
    </row>
    <row r="3" customFormat="false" ht="15" hidden="false" customHeight="false" outlineLevel="0" collapsed="false">
      <c r="A3" s="14" t="s">
        <v>62</v>
      </c>
      <c r="B3" s="14" t="s">
        <v>63</v>
      </c>
      <c r="C3" s="14" t="s">
        <v>64</v>
      </c>
      <c r="D3" s="14" t="s">
        <v>436</v>
      </c>
      <c r="E3" s="15" t="n">
        <v>6</v>
      </c>
      <c r="F3" s="14" t="s">
        <v>388</v>
      </c>
      <c r="G3" s="8" t="n">
        <v>9</v>
      </c>
      <c r="H3" s="14" t="s">
        <v>68</v>
      </c>
      <c r="I3" s="14" t="s">
        <v>90</v>
      </c>
      <c r="J3" s="14" t="s">
        <v>60</v>
      </c>
      <c r="K3" s="8" t="n">
        <v>9</v>
      </c>
      <c r="L3" s="8" t="n">
        <v>78</v>
      </c>
      <c r="M3" s="8" t="n">
        <v>2</v>
      </c>
      <c r="N3" s="8" t="n">
        <v>28</v>
      </c>
      <c r="O3" s="8" t="n">
        <v>2</v>
      </c>
      <c r="P3" s="9" t="n">
        <v>2.65077833783043</v>
      </c>
      <c r="Q3" s="10" t="n">
        <v>0.377247688246337</v>
      </c>
      <c r="R3" s="9" t="n">
        <v>2.5</v>
      </c>
      <c r="S3" s="11" t="n">
        <f aca="false">IF(AND(ISNUMBER(R3),R3&gt;1,P3&gt;0),R3/P3-1,"")</f>
        <v>-0.0568807793841566</v>
      </c>
      <c r="T3" s="9" t="n">
        <f aca="false">IF(AND(ISNUMBER(P3),P3&gt;0),P3*EXP('Read me'!$B$22),"")</f>
        <v>3.23766797309732</v>
      </c>
    </row>
    <row r="4" customFormat="false" ht="15" hidden="false" customHeight="false" outlineLevel="0" collapsed="false">
      <c r="A4" s="14" t="s">
        <v>62</v>
      </c>
      <c r="B4" s="14" t="s">
        <v>63</v>
      </c>
      <c r="C4" s="14" t="s">
        <v>64</v>
      </c>
      <c r="D4" s="14" t="s">
        <v>436</v>
      </c>
      <c r="E4" s="15" t="n">
        <v>6</v>
      </c>
      <c r="F4" s="14" t="s">
        <v>388</v>
      </c>
      <c r="G4" s="8" t="n">
        <v>9</v>
      </c>
      <c r="H4" s="14" t="s">
        <v>437</v>
      </c>
      <c r="I4" s="14" t="s">
        <v>438</v>
      </c>
      <c r="J4" s="14" t="s">
        <v>439</v>
      </c>
      <c r="K4" s="8" t="n">
        <v>6</v>
      </c>
      <c r="L4" s="8" t="n">
        <v>0</v>
      </c>
      <c r="M4" s="8" t="n">
        <v>2</v>
      </c>
      <c r="N4" s="8" t="n">
        <v>23</v>
      </c>
      <c r="O4" s="8" t="n">
        <v>3</v>
      </c>
      <c r="P4" s="9" t="n">
        <v>8.77464454219732</v>
      </c>
      <c r="Q4" s="10" t="n">
        <v>0.113964730444748</v>
      </c>
      <c r="R4" s="9" t="n">
        <v>6</v>
      </c>
      <c r="S4" s="11" t="n">
        <f aca="false">IF(AND(ISNUMBER(R4),R4&gt;1,P4&gt;0),R4/P4-1,"")</f>
        <v>-0.31621161733151</v>
      </c>
      <c r="T4" s="9" t="n">
        <f aca="false">IF(AND(ISNUMBER(P4),P4&gt;0),P4*EXP('Read me'!$B$22),"")</f>
        <v>10.7173750457149</v>
      </c>
    </row>
    <row r="5" customFormat="false" ht="15" hidden="false" customHeight="false" outlineLevel="0" collapsed="false">
      <c r="A5" s="14" t="s">
        <v>62</v>
      </c>
      <c r="B5" s="14" t="s">
        <v>63</v>
      </c>
      <c r="C5" s="14" t="s">
        <v>64</v>
      </c>
      <c r="D5" s="14" t="s">
        <v>436</v>
      </c>
      <c r="E5" s="15" t="n">
        <v>6</v>
      </c>
      <c r="F5" s="14" t="s">
        <v>388</v>
      </c>
      <c r="G5" s="8" t="n">
        <v>9</v>
      </c>
      <c r="H5" s="14" t="s">
        <v>440</v>
      </c>
      <c r="I5" s="14" t="s">
        <v>441</v>
      </c>
      <c r="J5" s="14" t="s">
        <v>442</v>
      </c>
      <c r="K5" s="8" t="n">
        <v>7</v>
      </c>
      <c r="L5" s="8" t="n">
        <v>0</v>
      </c>
      <c r="M5" s="8" t="n">
        <v>2</v>
      </c>
      <c r="N5" s="8" t="n">
        <v>16</v>
      </c>
      <c r="O5" s="8" t="n">
        <v>4</v>
      </c>
      <c r="P5" s="9" t="n">
        <v>53.0020549779521</v>
      </c>
      <c r="Q5" s="10" t="n">
        <v>0.0188671929874413</v>
      </c>
      <c r="R5" s="9" t="n">
        <v>29</v>
      </c>
      <c r="S5" s="11" t="n">
        <f aca="false">IF(AND(ISNUMBER(R5),R5&gt;1,P5&gt;0),R5/P5-1,"")</f>
        <v>-0.4528514033642</v>
      </c>
      <c r="T5" s="9" t="n">
        <f aca="false">IF(AND(ISNUMBER(P5),P5&gt;0),P5*EXP('Read me'!$B$22),"")</f>
        <v>64.7368561382277</v>
      </c>
    </row>
    <row r="6" customFormat="false" ht="15" hidden="false" customHeight="false" outlineLevel="0" collapsed="false">
      <c r="A6" s="14" t="s">
        <v>62</v>
      </c>
      <c r="B6" s="14" t="s">
        <v>63</v>
      </c>
      <c r="C6" s="14" t="s">
        <v>64</v>
      </c>
      <c r="D6" s="14" t="s">
        <v>436</v>
      </c>
      <c r="E6" s="15" t="n">
        <v>6</v>
      </c>
      <c r="F6" s="14" t="s">
        <v>388</v>
      </c>
      <c r="G6" s="8" t="n">
        <v>9</v>
      </c>
      <c r="H6" s="14" t="s">
        <v>443</v>
      </c>
      <c r="I6" s="14" t="s">
        <v>444</v>
      </c>
      <c r="J6" s="14" t="s">
        <v>445</v>
      </c>
      <c r="K6" s="8" t="n">
        <v>2</v>
      </c>
      <c r="L6" s="8" t="n">
        <v>0</v>
      </c>
      <c r="M6" s="8" t="n">
        <v>2</v>
      </c>
      <c r="N6" s="8" t="n">
        <v>35</v>
      </c>
      <c r="O6" s="8" t="n">
        <v>5</v>
      </c>
      <c r="P6" s="9" t="n">
        <v>55.715171304039</v>
      </c>
      <c r="Q6" s="10" t="n">
        <v>0.0179484326547786</v>
      </c>
      <c r="R6" s="9" t="n">
        <v>34</v>
      </c>
      <c r="S6" s="11" t="n">
        <f aca="false">IF(AND(ISNUMBER(R6),R6&gt;1,P6&gt;0),R6/P6-1,"")</f>
        <v>-0.389753289737526</v>
      </c>
      <c r="T6" s="9" t="n">
        <f aca="false">IF(AND(ISNUMBER(P6),P6&gt;0),P6*EXP('Read me'!$B$22),"")</f>
        <v>68.0506639021196</v>
      </c>
    </row>
    <row r="7" customFormat="false" ht="15" hidden="false" customHeight="false" outlineLevel="0" collapsed="false">
      <c r="A7" s="14" t="s">
        <v>62</v>
      </c>
      <c r="B7" s="14" t="s">
        <v>63</v>
      </c>
      <c r="C7" s="14" t="s">
        <v>64</v>
      </c>
      <c r="D7" s="14" t="s">
        <v>436</v>
      </c>
      <c r="E7" s="15" t="n">
        <v>6</v>
      </c>
      <c r="F7" s="14" t="s">
        <v>388</v>
      </c>
      <c r="G7" s="8" t="n">
        <v>9</v>
      </c>
      <c r="H7" s="14" t="s">
        <v>446</v>
      </c>
      <c r="I7" s="14" t="s">
        <v>300</v>
      </c>
      <c r="J7" s="14" t="s">
        <v>447</v>
      </c>
      <c r="K7" s="8" t="n">
        <v>4</v>
      </c>
      <c r="L7" s="8" t="n">
        <v>0</v>
      </c>
      <c r="M7" s="8" t="n">
        <v>2</v>
      </c>
      <c r="N7" s="8"/>
      <c r="O7" s="8" t="n">
        <v>6</v>
      </c>
      <c r="P7" s="9" t="n">
        <v>93.0290028012246</v>
      </c>
      <c r="Q7" s="10" t="n">
        <v>0.0107493359048113</v>
      </c>
      <c r="R7" s="9" t="n">
        <v>26</v>
      </c>
      <c r="S7" s="11" t="n">
        <f aca="false">IF(AND(ISNUMBER(R7),R7&gt;1,P7&gt;0),R7/P7-1,"")</f>
        <v>-0.720517266474905</v>
      </c>
      <c r="T7" s="9" t="n">
        <f aca="false">IF(AND(ISNUMBER(P7),P7&gt;0),P7*EXP('Read me'!$B$22),"")</f>
        <v>113.625880610306</v>
      </c>
    </row>
    <row r="8" customFormat="false" ht="15" hidden="false" customHeight="false" outlineLevel="0" collapsed="false">
      <c r="A8" s="14" t="s">
        <v>62</v>
      </c>
      <c r="B8" s="14" t="s">
        <v>63</v>
      </c>
      <c r="C8" s="14" t="s">
        <v>64</v>
      </c>
      <c r="D8" s="14" t="s">
        <v>436</v>
      </c>
      <c r="E8" s="15" t="n">
        <v>6</v>
      </c>
      <c r="F8" s="14" t="s">
        <v>388</v>
      </c>
      <c r="G8" s="8" t="n">
        <v>9</v>
      </c>
      <c r="H8" s="14" t="s">
        <v>448</v>
      </c>
      <c r="I8" s="14" t="s">
        <v>449</v>
      </c>
      <c r="J8" s="14" t="s">
        <v>450</v>
      </c>
      <c r="K8" s="8" t="n">
        <v>8</v>
      </c>
      <c r="L8" s="8" t="n">
        <v>0</v>
      </c>
      <c r="M8" s="8" t="n">
        <v>2</v>
      </c>
      <c r="N8" s="8" t="n">
        <v>15</v>
      </c>
      <c r="O8" s="8" t="n">
        <v>7</v>
      </c>
      <c r="P8" s="9" t="n">
        <v>265.237823921817</v>
      </c>
      <c r="Q8" s="10" t="n">
        <v>0.0037702013431341</v>
      </c>
      <c r="R8" s="9" t="n">
        <v>67</v>
      </c>
      <c r="S8" s="11" t="n">
        <f aca="false">IF(AND(ISNUMBER(R8),R8&gt;1,P8&gt;0),R8/P8-1,"")</f>
        <v>-0.747396510010015</v>
      </c>
      <c r="T8" s="9" t="n">
        <f aca="false">IF(AND(ISNUMBER(P8),P8&gt;0),P8*EXP('Read me'!$B$22),"")</f>
        <v>323.962209706508</v>
      </c>
    </row>
    <row r="9" customFormat="false" ht="15" hidden="false" customHeight="false" outlineLevel="0" collapsed="false">
      <c r="A9" s="14" t="s">
        <v>62</v>
      </c>
      <c r="B9" s="14" t="s">
        <v>63</v>
      </c>
      <c r="C9" s="14" t="s">
        <v>64</v>
      </c>
      <c r="D9" s="14" t="s">
        <v>436</v>
      </c>
      <c r="E9" s="15" t="n">
        <v>6</v>
      </c>
      <c r="F9" s="14" t="s">
        <v>388</v>
      </c>
      <c r="G9" s="8" t="n">
        <v>9</v>
      </c>
      <c r="H9" s="14" t="s">
        <v>451</v>
      </c>
      <c r="I9" s="14" t="s">
        <v>452</v>
      </c>
      <c r="J9" s="14" t="s">
        <v>453</v>
      </c>
      <c r="K9" s="8" t="n">
        <v>5</v>
      </c>
      <c r="L9" s="8" t="n">
        <v>0</v>
      </c>
      <c r="M9" s="8" t="n">
        <v>2</v>
      </c>
      <c r="N9" s="8" t="n">
        <v>10</v>
      </c>
      <c r="O9" s="8" t="n">
        <v>8</v>
      </c>
      <c r="P9" s="9" t="n">
        <v>711.807466532219</v>
      </c>
      <c r="Q9" s="10" t="n">
        <v>0.0014048742771297</v>
      </c>
      <c r="R9" s="9" t="n">
        <v>51</v>
      </c>
      <c r="S9" s="11" t="n">
        <f aca="false">IF(AND(ISNUMBER(R9),R9&gt;1,P9&gt;0),R9/P9-1,"")</f>
        <v>-0.928351411866384</v>
      </c>
      <c r="T9" s="9" t="n">
        <f aca="false">IF(AND(ISNUMBER(P9),P9&gt;0),P9*EXP('Read me'!$B$22),"")</f>
        <v>869.403602901455</v>
      </c>
    </row>
    <row r="10" customFormat="false" ht="15" hidden="false" customHeight="false" outlineLevel="0" collapsed="false">
      <c r="A10" s="14" t="s">
        <v>62</v>
      </c>
      <c r="B10" s="14" t="s">
        <v>63</v>
      </c>
      <c r="C10" s="14" t="s">
        <v>64</v>
      </c>
      <c r="D10" s="14" t="s">
        <v>436</v>
      </c>
      <c r="E10" s="15" t="n">
        <v>6</v>
      </c>
      <c r="F10" s="14" t="s">
        <v>388</v>
      </c>
      <c r="G10" s="8" t="n">
        <v>9</v>
      </c>
      <c r="H10" s="14" t="s">
        <v>454</v>
      </c>
      <c r="I10" s="14" t="s">
        <v>455</v>
      </c>
      <c r="J10" s="14" t="s">
        <v>456</v>
      </c>
      <c r="K10" s="8" t="n">
        <v>1</v>
      </c>
      <c r="L10" s="8" t="n">
        <v>0</v>
      </c>
      <c r="M10" s="8" t="n">
        <v>2</v>
      </c>
      <c r="N10" s="8" t="n">
        <v>9</v>
      </c>
      <c r="O10" s="8" t="n">
        <v>9</v>
      </c>
      <c r="P10" s="9" t="n">
        <v>1138.9019760031</v>
      </c>
      <c r="Q10" s="10" t="n">
        <v>0.0008780386908357</v>
      </c>
      <c r="R10" s="9" t="n">
        <v>201</v>
      </c>
      <c r="S10" s="11" t="n">
        <f aca="false">IF(AND(ISNUMBER(R10),R10&gt;1,P10&gt;0),R10/P10-1,"")</f>
        <v>-0.823514223142016</v>
      </c>
      <c r="T10" s="9" t="n">
        <f aca="false">IF(AND(ISNUMBER(P10),P10&gt;0),P10*EXP('Read me'!$B$22),"")</f>
        <v>1391.05801476425</v>
      </c>
    </row>
    <row r="11" customFormat="false" ht="15" hidden="false" customHeight="false" outlineLevel="0" collapsed="false">
      <c r="A11" s="14" t="s">
        <v>87</v>
      </c>
      <c r="B11" s="14" t="s">
        <v>63</v>
      </c>
      <c r="C11" s="14" t="s">
        <v>88</v>
      </c>
      <c r="D11" s="14" t="s">
        <v>436</v>
      </c>
      <c r="E11" s="15" t="n">
        <v>8</v>
      </c>
      <c r="F11" s="14" t="s">
        <v>388</v>
      </c>
      <c r="G11" s="8" t="n">
        <v>6</v>
      </c>
      <c r="H11" s="14" t="s">
        <v>89</v>
      </c>
      <c r="I11" s="14" t="s">
        <v>90</v>
      </c>
      <c r="J11" s="14" t="s">
        <v>91</v>
      </c>
      <c r="K11" s="8" t="n">
        <v>6</v>
      </c>
      <c r="L11" s="8" t="n">
        <v>66</v>
      </c>
      <c r="M11" s="8" t="n">
        <v>2</v>
      </c>
      <c r="N11" s="8" t="n">
        <v>50</v>
      </c>
      <c r="O11" s="8" t="n">
        <v>1</v>
      </c>
      <c r="P11" s="9" t="n">
        <v>3.91379231338235</v>
      </c>
      <c r="Q11" s="10" t="n">
        <v>0.255506659507895</v>
      </c>
      <c r="R11" s="9" t="n">
        <v>2.625</v>
      </c>
      <c r="S11" s="11" t="n">
        <f aca="false">IF(AND(ISNUMBER(R11),R11&gt;1,P11&gt;0),R11/P11-1,"")</f>
        <v>-0.329295018791775</v>
      </c>
      <c r="T11" s="9" t="n">
        <f aca="false">IF(AND(ISNUMBER(P11),P11&gt;0),P11*EXP('Read me'!$B$22),"")</f>
        <v>4.78031672643127</v>
      </c>
    </row>
    <row r="12" customFormat="false" ht="15" hidden="false" customHeight="false" outlineLevel="0" collapsed="false">
      <c r="A12" s="14" t="s">
        <v>87</v>
      </c>
      <c r="B12" s="14" t="s">
        <v>63</v>
      </c>
      <c r="C12" s="14" t="s">
        <v>88</v>
      </c>
      <c r="D12" s="14" t="s">
        <v>436</v>
      </c>
      <c r="E12" s="15" t="n">
        <v>8</v>
      </c>
      <c r="F12" s="14" t="s">
        <v>388</v>
      </c>
      <c r="G12" s="8" t="n">
        <v>6</v>
      </c>
      <c r="H12" s="14" t="s">
        <v>92</v>
      </c>
      <c r="I12" s="14" t="s">
        <v>496</v>
      </c>
      <c r="J12" s="14" t="s">
        <v>230</v>
      </c>
      <c r="K12" s="8" t="n">
        <v>4</v>
      </c>
      <c r="L12" s="8" t="n">
        <v>80</v>
      </c>
      <c r="M12" s="8" t="n">
        <v>2</v>
      </c>
      <c r="N12" s="8" t="n">
        <v>16</v>
      </c>
      <c r="O12" s="8" t="n">
        <v>2</v>
      </c>
      <c r="P12" s="9" t="n">
        <v>4.324991638038</v>
      </c>
      <c r="Q12" s="10" t="n">
        <v>0.23121431986251</v>
      </c>
      <c r="R12" s="9" t="n">
        <v>5.5</v>
      </c>
      <c r="S12" s="11" t="n">
        <f aca="false">IF(AND(ISNUMBER(R12),R12&gt;1,P12&gt;0),R12/P12-1,"")</f>
        <v>0.271678759243806</v>
      </c>
      <c r="T12" s="9" t="n">
        <f aca="false">IF(AND(ISNUMBER(P12),P12&gt;0),P12*EXP('Read me'!$B$22),"")</f>
        <v>5.28255671571928</v>
      </c>
    </row>
    <row r="13" customFormat="false" ht="15" hidden="false" customHeight="false" outlineLevel="0" collapsed="false">
      <c r="A13" s="14" t="s">
        <v>87</v>
      </c>
      <c r="B13" s="14" t="s">
        <v>63</v>
      </c>
      <c r="C13" s="14" t="s">
        <v>88</v>
      </c>
      <c r="D13" s="14" t="s">
        <v>436</v>
      </c>
      <c r="E13" s="15" t="n">
        <v>8</v>
      </c>
      <c r="F13" s="14" t="s">
        <v>388</v>
      </c>
      <c r="G13" s="8" t="n">
        <v>6</v>
      </c>
      <c r="H13" s="14" t="s">
        <v>497</v>
      </c>
      <c r="I13" s="14" t="s">
        <v>272</v>
      </c>
      <c r="J13" s="14" t="s">
        <v>273</v>
      </c>
      <c r="K13" s="8" t="n">
        <v>1</v>
      </c>
      <c r="L13" s="8" t="n">
        <v>77</v>
      </c>
      <c r="M13" s="8" t="n">
        <v>2</v>
      </c>
      <c r="N13" s="8" t="n">
        <v>21</v>
      </c>
      <c r="O13" s="8" t="n">
        <v>3</v>
      </c>
      <c r="P13" s="9" t="n">
        <v>4.43512863829269</v>
      </c>
      <c r="Q13" s="10" t="n">
        <v>0.225472603289575</v>
      </c>
      <c r="R13" s="9" t="n">
        <v>5</v>
      </c>
      <c r="S13" s="11" t="n">
        <f aca="false">IF(AND(ISNUMBER(R13),R13&gt;1,P13&gt;0),R13/P13-1,"")</f>
        <v>0.127363016447873</v>
      </c>
      <c r="T13" s="9" t="n">
        <f aca="false">IF(AND(ISNUMBER(P13),P13&gt;0),P13*EXP('Read me'!$B$22),"")</f>
        <v>5.41707835160586</v>
      </c>
    </row>
    <row r="14" customFormat="false" ht="15" hidden="false" customHeight="false" outlineLevel="0" collapsed="false">
      <c r="A14" s="14" t="s">
        <v>87</v>
      </c>
      <c r="B14" s="14" t="s">
        <v>63</v>
      </c>
      <c r="C14" s="14" t="s">
        <v>88</v>
      </c>
      <c r="D14" s="14" t="s">
        <v>436</v>
      </c>
      <c r="E14" s="15" t="n">
        <v>8</v>
      </c>
      <c r="F14" s="14" t="s">
        <v>388</v>
      </c>
      <c r="G14" s="8" t="n">
        <v>6</v>
      </c>
      <c r="H14" s="14" t="s">
        <v>498</v>
      </c>
      <c r="I14" s="14" t="s">
        <v>300</v>
      </c>
      <c r="J14" s="14" t="s">
        <v>499</v>
      </c>
      <c r="K14" s="8" t="n">
        <v>2</v>
      </c>
      <c r="L14" s="8" t="n">
        <v>75</v>
      </c>
      <c r="M14" s="8" t="n">
        <v>2</v>
      </c>
      <c r="N14" s="8" t="n">
        <v>18</v>
      </c>
      <c r="O14" s="8" t="n">
        <v>4</v>
      </c>
      <c r="P14" s="9" t="n">
        <v>6.24031868857905</v>
      </c>
      <c r="Q14" s="10" t="n">
        <v>0.160248226077009</v>
      </c>
      <c r="R14" s="9" t="n">
        <v>4.5</v>
      </c>
      <c r="S14" s="11" t="n">
        <f aca="false">IF(AND(ISNUMBER(R14),R14&gt;1,P14&gt;0),R14/P14-1,"")</f>
        <v>-0.278882982653459</v>
      </c>
      <c r="T14" s="9" t="n">
        <f aca="false">IF(AND(ISNUMBER(P14),P14&gt;0),P14*EXP('Read me'!$B$22),"")</f>
        <v>7.6219424580289</v>
      </c>
    </row>
    <row r="15" customFormat="false" ht="15" hidden="false" customHeight="false" outlineLevel="0" collapsed="false">
      <c r="A15" s="14" t="s">
        <v>87</v>
      </c>
      <c r="B15" s="14" t="s">
        <v>63</v>
      </c>
      <c r="C15" s="14" t="s">
        <v>88</v>
      </c>
      <c r="D15" s="14" t="s">
        <v>436</v>
      </c>
      <c r="E15" s="15" t="n">
        <v>8</v>
      </c>
      <c r="F15" s="14" t="s">
        <v>388</v>
      </c>
      <c r="G15" s="8" t="n">
        <v>6</v>
      </c>
      <c r="H15" s="14" t="s">
        <v>500</v>
      </c>
      <c r="I15" s="14" t="s">
        <v>455</v>
      </c>
      <c r="J15" s="14" t="s">
        <v>501</v>
      </c>
      <c r="K15" s="8" t="n">
        <v>3</v>
      </c>
      <c r="L15" s="8" t="n">
        <v>72</v>
      </c>
      <c r="M15" s="8" t="n">
        <v>2</v>
      </c>
      <c r="N15" s="8" t="n">
        <v>30</v>
      </c>
      <c r="O15" s="8" t="n">
        <v>5</v>
      </c>
      <c r="P15" s="9" t="n">
        <v>15.5235539224686</v>
      </c>
      <c r="Q15" s="10" t="n">
        <v>0.0644182385679488</v>
      </c>
      <c r="R15" s="9" t="n">
        <v>21</v>
      </c>
      <c r="S15" s="11" t="n">
        <f aca="false">IF(AND(ISNUMBER(R15),R15&gt;1,P15&gt;0),R15/P15-1,"")</f>
        <v>0.352783009926926</v>
      </c>
      <c r="T15" s="9" t="n">
        <f aca="false">IF(AND(ISNUMBER(P15),P15&gt;0),P15*EXP('Read me'!$B$22),"")</f>
        <v>18.9605115773513</v>
      </c>
    </row>
    <row r="16" customFormat="false" ht="15" hidden="false" customHeight="false" outlineLevel="0" collapsed="false">
      <c r="A16" s="14" t="s">
        <v>87</v>
      </c>
      <c r="B16" s="14" t="s">
        <v>63</v>
      </c>
      <c r="C16" s="14" t="s">
        <v>88</v>
      </c>
      <c r="D16" s="14" t="s">
        <v>436</v>
      </c>
      <c r="E16" s="15" t="n">
        <v>8</v>
      </c>
      <c r="F16" s="14" t="s">
        <v>388</v>
      </c>
      <c r="G16" s="8" t="n">
        <v>6</v>
      </c>
      <c r="H16" s="14" t="s">
        <v>502</v>
      </c>
      <c r="I16" s="14" t="s">
        <v>503</v>
      </c>
      <c r="J16" s="14" t="s">
        <v>463</v>
      </c>
      <c r="K16" s="8" t="n">
        <v>5</v>
      </c>
      <c r="L16" s="8" t="n">
        <v>72</v>
      </c>
      <c r="M16" s="8" t="n">
        <v>2</v>
      </c>
      <c r="N16" s="8" t="n">
        <v>42</v>
      </c>
      <c r="O16" s="8" t="n">
        <v>6</v>
      </c>
      <c r="P16" s="9" t="n">
        <v>15.8378325816865</v>
      </c>
      <c r="Q16" s="10" t="n">
        <v>0.063139952695062</v>
      </c>
      <c r="R16" s="9" t="n">
        <v>13</v>
      </c>
      <c r="S16" s="11" t="n">
        <f aca="false">IF(AND(ISNUMBER(R16),R16&gt;1,P16&gt;0),R16/P16-1,"")</f>
        <v>-0.179180614964193</v>
      </c>
      <c r="T16" s="9" t="n">
        <f aca="false">IF(AND(ISNUMBER(P16),P16&gt;0),P16*EXP('Read me'!$B$22),"")</f>
        <v>19.3443723985509</v>
      </c>
    </row>
    <row r="17" customFormat="false" ht="15" hidden="false" customHeight="false" outlineLevel="0" collapsed="false">
      <c r="A17" s="14" t="s">
        <v>123</v>
      </c>
      <c r="B17" s="14" t="s">
        <v>63</v>
      </c>
      <c r="C17" s="14" t="s">
        <v>124</v>
      </c>
      <c r="D17" s="14" t="s">
        <v>436</v>
      </c>
      <c r="E17" s="15" t="n">
        <v>5</v>
      </c>
      <c r="F17" s="14" t="s">
        <v>388</v>
      </c>
      <c r="G17" s="8" t="n">
        <v>14</v>
      </c>
      <c r="H17" s="14" t="s">
        <v>125</v>
      </c>
      <c r="I17" s="14" t="s">
        <v>126</v>
      </c>
      <c r="J17" s="14" t="s">
        <v>127</v>
      </c>
      <c r="K17" s="8" t="n">
        <v>1</v>
      </c>
      <c r="L17" s="8" t="n">
        <v>85</v>
      </c>
      <c r="M17" s="8" t="n">
        <v>4</v>
      </c>
      <c r="N17" s="8" t="n">
        <v>13</v>
      </c>
      <c r="O17" s="8" t="n">
        <v>1</v>
      </c>
      <c r="P17" s="9" t="n">
        <v>6.41144031517265</v>
      </c>
      <c r="Q17" s="10" t="n">
        <v>0.15597119381015</v>
      </c>
      <c r="R17" s="9" t="n">
        <v>7</v>
      </c>
      <c r="S17" s="11" t="n">
        <f aca="false">IF(AND(ISNUMBER(R17),R17&gt;1,P17&gt;0),R17/P17-1,"")</f>
        <v>0.0917983566710474</v>
      </c>
      <c r="T17" s="9" t="n">
        <f aca="false">IF(AND(ISNUMBER(P17),P17&gt;0),P17*EXP('Read me'!$B$22),"")</f>
        <v>7.83095088473118</v>
      </c>
    </row>
    <row r="18" customFormat="false" ht="15" hidden="false" customHeight="false" outlineLevel="0" collapsed="false">
      <c r="A18" s="14" t="s">
        <v>123</v>
      </c>
      <c r="B18" s="14" t="s">
        <v>63</v>
      </c>
      <c r="C18" s="14" t="s">
        <v>124</v>
      </c>
      <c r="D18" s="14" t="s">
        <v>436</v>
      </c>
      <c r="E18" s="15" t="n">
        <v>5</v>
      </c>
      <c r="F18" s="14" t="s">
        <v>388</v>
      </c>
      <c r="G18" s="8" t="n">
        <v>14</v>
      </c>
      <c r="H18" s="14" t="s">
        <v>128</v>
      </c>
      <c r="I18" s="14" t="s">
        <v>300</v>
      </c>
      <c r="J18" s="14" t="s">
        <v>615</v>
      </c>
      <c r="K18" s="8" t="n">
        <v>12</v>
      </c>
      <c r="L18" s="8" t="n">
        <v>81</v>
      </c>
      <c r="M18" s="8" t="n">
        <v>3</v>
      </c>
      <c r="N18" s="8" t="n">
        <v>13</v>
      </c>
      <c r="O18" s="8" t="n">
        <v>2</v>
      </c>
      <c r="P18" s="9" t="n">
        <v>8.51503731580013</v>
      </c>
      <c r="Q18" s="10" t="n">
        <v>0.117439297434956</v>
      </c>
      <c r="R18" s="9" t="n">
        <v>9.5</v>
      </c>
      <c r="S18" s="11" t="n">
        <f aca="false">IF(AND(ISNUMBER(R18),R18&gt;1,P18&gt;0),R18/P18-1,"")</f>
        <v>0.115673325632082</v>
      </c>
      <c r="T18" s="9" t="n">
        <f aca="false">IF(AND(ISNUMBER(P18),P18&gt;0),P18*EXP('Read me'!$B$22),"")</f>
        <v>10.400290063355</v>
      </c>
    </row>
    <row r="19" customFormat="false" ht="15" hidden="false" customHeight="false" outlineLevel="0" collapsed="false">
      <c r="A19" s="14" t="s">
        <v>123</v>
      </c>
      <c r="B19" s="14" t="s">
        <v>63</v>
      </c>
      <c r="C19" s="14" t="s">
        <v>124</v>
      </c>
      <c r="D19" s="14" t="s">
        <v>436</v>
      </c>
      <c r="E19" s="15" t="n">
        <v>5</v>
      </c>
      <c r="F19" s="14" t="s">
        <v>388</v>
      </c>
      <c r="G19" s="8" t="n">
        <v>14</v>
      </c>
      <c r="H19" s="14" t="s">
        <v>616</v>
      </c>
      <c r="I19" s="14" t="s">
        <v>235</v>
      </c>
      <c r="J19" s="14" t="s">
        <v>236</v>
      </c>
      <c r="K19" s="8" t="n">
        <v>14</v>
      </c>
      <c r="L19" s="8" t="n">
        <v>80</v>
      </c>
      <c r="M19" s="8" t="n">
        <v>5</v>
      </c>
      <c r="N19" s="8" t="n">
        <v>13</v>
      </c>
      <c r="O19" s="8" t="n">
        <v>3</v>
      </c>
      <c r="P19" s="9" t="n">
        <v>8.88454633382729</v>
      </c>
      <c r="Q19" s="10" t="n">
        <v>0.112554987325866</v>
      </c>
      <c r="R19" s="9" t="n">
        <v>8.5</v>
      </c>
      <c r="S19" s="11" t="n">
        <f aca="false">IF(AND(ISNUMBER(R19),R19&gt;1,P19&gt;0),R19/P19-1,"")</f>
        <v>-0.0432826077301386</v>
      </c>
      <c r="T19" s="9" t="n">
        <f aca="false">IF(AND(ISNUMBER(P19),P19&gt;0),P19*EXP('Read me'!$B$22),"")</f>
        <v>10.8516093971385</v>
      </c>
    </row>
    <row r="20" customFormat="false" ht="15" hidden="false" customHeight="false" outlineLevel="0" collapsed="false">
      <c r="A20" s="14" t="s">
        <v>123</v>
      </c>
      <c r="B20" s="14" t="s">
        <v>63</v>
      </c>
      <c r="C20" s="14" t="s">
        <v>124</v>
      </c>
      <c r="D20" s="14" t="s">
        <v>436</v>
      </c>
      <c r="E20" s="15" t="n">
        <v>5</v>
      </c>
      <c r="F20" s="14" t="s">
        <v>388</v>
      </c>
      <c r="G20" s="8" t="n">
        <v>14</v>
      </c>
      <c r="H20" s="14" t="s">
        <v>617</v>
      </c>
      <c r="I20" s="14" t="s">
        <v>618</v>
      </c>
      <c r="J20" s="14" t="s">
        <v>619</v>
      </c>
      <c r="K20" s="8" t="n">
        <v>7</v>
      </c>
      <c r="L20" s="8" t="n">
        <v>80</v>
      </c>
      <c r="M20" s="8" t="n">
        <v>8</v>
      </c>
      <c r="N20" s="8" t="n">
        <v>13</v>
      </c>
      <c r="O20" s="8" t="n">
        <v>4</v>
      </c>
      <c r="P20" s="9" t="n">
        <v>9.69679156136217</v>
      </c>
      <c r="Q20" s="10" t="n">
        <v>0.103126894465237</v>
      </c>
      <c r="R20" s="9" t="n">
        <v>7.5</v>
      </c>
      <c r="S20" s="11" t="n">
        <f aca="false">IF(AND(ISNUMBER(R20),R20&gt;1,P20&gt;0),R20/P20-1,"")</f>
        <v>-0.22654829151072</v>
      </c>
      <c r="T20" s="9" t="n">
        <f aca="false">IF(AND(ISNUMBER(P20),P20&gt;0),P20*EXP('Read me'!$B$22),"")</f>
        <v>11.843687958352</v>
      </c>
    </row>
    <row r="21" customFormat="false" ht="15" hidden="false" customHeight="false" outlineLevel="0" collapsed="false">
      <c r="A21" s="14" t="s">
        <v>123</v>
      </c>
      <c r="B21" s="14" t="s">
        <v>63</v>
      </c>
      <c r="C21" s="14" t="s">
        <v>124</v>
      </c>
      <c r="D21" s="14" t="s">
        <v>436</v>
      </c>
      <c r="E21" s="15" t="n">
        <v>5</v>
      </c>
      <c r="F21" s="14" t="s">
        <v>388</v>
      </c>
      <c r="G21" s="8" t="n">
        <v>14</v>
      </c>
      <c r="H21" s="14" t="s">
        <v>620</v>
      </c>
      <c r="I21" s="14" t="s">
        <v>66</v>
      </c>
      <c r="J21" s="14" t="s">
        <v>621</v>
      </c>
      <c r="K21" s="8" t="n">
        <v>9</v>
      </c>
      <c r="L21" s="8" t="n">
        <v>79</v>
      </c>
      <c r="M21" s="8" t="n">
        <v>4</v>
      </c>
      <c r="N21" s="8" t="n">
        <v>13</v>
      </c>
      <c r="O21" s="8" t="n">
        <v>5</v>
      </c>
      <c r="P21" s="9" t="n">
        <v>10.1011945525548</v>
      </c>
      <c r="Q21" s="10" t="n">
        <v>0.0989981922234215</v>
      </c>
      <c r="R21" s="9" t="n">
        <v>9.5</v>
      </c>
      <c r="S21" s="11" t="n">
        <f aca="false">IF(AND(ISNUMBER(R21),R21&gt;1,P21&gt;0),R21/P21-1,"")</f>
        <v>-0.059517173877495</v>
      </c>
      <c r="T21" s="9" t="n">
        <f aca="false">IF(AND(ISNUMBER(P21),P21&gt;0),P21*EXP('Read me'!$B$22),"")</f>
        <v>12.3376268872029</v>
      </c>
    </row>
    <row r="22" customFormat="false" ht="15" hidden="false" customHeight="false" outlineLevel="0" collapsed="false">
      <c r="A22" s="14" t="s">
        <v>123</v>
      </c>
      <c r="B22" s="14" t="s">
        <v>63</v>
      </c>
      <c r="C22" s="14" t="s">
        <v>124</v>
      </c>
      <c r="D22" s="14" t="s">
        <v>436</v>
      </c>
      <c r="E22" s="15" t="n">
        <v>5</v>
      </c>
      <c r="F22" s="14" t="s">
        <v>388</v>
      </c>
      <c r="G22" s="8" t="n">
        <v>14</v>
      </c>
      <c r="H22" s="14" t="s">
        <v>622</v>
      </c>
      <c r="I22" s="14" t="s">
        <v>623</v>
      </c>
      <c r="J22" s="14" t="s">
        <v>621</v>
      </c>
      <c r="K22" s="8" t="n">
        <v>15</v>
      </c>
      <c r="L22" s="8" t="n">
        <v>76</v>
      </c>
      <c r="M22" s="8" t="n">
        <v>5</v>
      </c>
      <c r="N22" s="8" t="n">
        <v>10</v>
      </c>
      <c r="O22" s="8" t="n">
        <v>6</v>
      </c>
      <c r="P22" s="9" t="n">
        <v>10.2222430578241</v>
      </c>
      <c r="Q22" s="10" t="n">
        <v>0.0978258875613997</v>
      </c>
      <c r="R22" s="9" t="n">
        <v>5.5</v>
      </c>
      <c r="S22" s="11" t="n">
        <f aca="false">IF(AND(ISNUMBER(R22),R22&gt;1,P22&gt;0),R22/P22-1,"")</f>
        <v>-0.461957618412301</v>
      </c>
      <c r="T22" s="9" t="n">
        <f aca="false">IF(AND(ISNUMBER(P22),P22&gt;0),P22*EXP('Read me'!$B$22),"")</f>
        <v>12.48547586541</v>
      </c>
    </row>
    <row r="23" customFormat="false" ht="15" hidden="false" customHeight="false" outlineLevel="0" collapsed="false">
      <c r="A23" s="14" t="s">
        <v>123</v>
      </c>
      <c r="B23" s="14" t="s">
        <v>63</v>
      </c>
      <c r="C23" s="14" t="s">
        <v>124</v>
      </c>
      <c r="D23" s="14" t="s">
        <v>436</v>
      </c>
      <c r="E23" s="15" t="n">
        <v>5</v>
      </c>
      <c r="F23" s="14" t="s">
        <v>388</v>
      </c>
      <c r="G23" s="8" t="n">
        <v>14</v>
      </c>
      <c r="H23" s="14" t="s">
        <v>624</v>
      </c>
      <c r="I23" s="14" t="s">
        <v>441</v>
      </c>
      <c r="J23" s="14" t="s">
        <v>625</v>
      </c>
      <c r="K23" s="8" t="n">
        <v>3</v>
      </c>
      <c r="L23" s="8" t="n">
        <v>75</v>
      </c>
      <c r="M23" s="8" t="n">
        <v>5</v>
      </c>
      <c r="N23" s="8" t="n">
        <v>13</v>
      </c>
      <c r="O23" s="8" t="n">
        <v>7</v>
      </c>
      <c r="P23" s="9" t="n">
        <v>13.7981399853767</v>
      </c>
      <c r="Q23" s="10" t="n">
        <v>0.0724735363650318</v>
      </c>
      <c r="R23" s="9" t="n">
        <v>13</v>
      </c>
      <c r="S23" s="11" t="n">
        <f aca="false">IF(AND(ISNUMBER(R23),R23&gt;1,P23&gt;0),R23/P23-1,"")</f>
        <v>-0.0578440272545857</v>
      </c>
      <c r="T23" s="9" t="n">
        <f aca="false">IF(AND(ISNUMBER(P23),P23&gt;0),P23*EXP('Read me'!$B$22),"")</f>
        <v>16.8530862356193</v>
      </c>
    </row>
    <row r="24" customFormat="false" ht="15" hidden="false" customHeight="false" outlineLevel="0" collapsed="false">
      <c r="A24" s="14" t="s">
        <v>123</v>
      </c>
      <c r="B24" s="14" t="s">
        <v>63</v>
      </c>
      <c r="C24" s="14" t="s">
        <v>124</v>
      </c>
      <c r="D24" s="14" t="s">
        <v>436</v>
      </c>
      <c r="E24" s="15" t="n">
        <v>5</v>
      </c>
      <c r="F24" s="14" t="s">
        <v>388</v>
      </c>
      <c r="G24" s="8" t="n">
        <v>14</v>
      </c>
      <c r="H24" s="14" t="s">
        <v>626</v>
      </c>
      <c r="I24" s="14" t="s">
        <v>503</v>
      </c>
      <c r="J24" s="14" t="s">
        <v>627</v>
      </c>
      <c r="K24" s="8" t="n">
        <v>8</v>
      </c>
      <c r="L24" s="8" t="n">
        <v>74</v>
      </c>
      <c r="M24" s="8" t="n">
        <v>8</v>
      </c>
      <c r="N24" s="8" t="n">
        <v>18</v>
      </c>
      <c r="O24" s="8" t="n">
        <v>8</v>
      </c>
      <c r="P24" s="9" t="n">
        <v>17.1487888695462</v>
      </c>
      <c r="Q24" s="10" t="n">
        <v>0.0583131559672916</v>
      </c>
      <c r="R24" s="9" t="n">
        <v>12</v>
      </c>
      <c r="S24" s="11" t="n">
        <f aca="false">IF(AND(ISNUMBER(R24),R24&gt;1,P24&gt;0),R24/P24-1,"")</f>
        <v>-0.3002421283925</v>
      </c>
      <c r="T24" s="9" t="n">
        <f aca="false">IF(AND(ISNUMBER(P24),P24&gt;0),P24*EXP('Read me'!$B$22),"")</f>
        <v>20.9455780243701</v>
      </c>
    </row>
    <row r="25" customFormat="false" ht="15" hidden="false" customHeight="false" outlineLevel="0" collapsed="false">
      <c r="A25" s="14" t="s">
        <v>123</v>
      </c>
      <c r="B25" s="14" t="s">
        <v>63</v>
      </c>
      <c r="C25" s="14" t="s">
        <v>124</v>
      </c>
      <c r="D25" s="14" t="s">
        <v>436</v>
      </c>
      <c r="E25" s="15" t="n">
        <v>5</v>
      </c>
      <c r="F25" s="14" t="s">
        <v>388</v>
      </c>
      <c r="G25" s="8" t="n">
        <v>14</v>
      </c>
      <c r="H25" s="14" t="s">
        <v>628</v>
      </c>
      <c r="I25" s="14" t="s">
        <v>444</v>
      </c>
      <c r="J25" s="14" t="s">
        <v>629</v>
      </c>
      <c r="K25" s="8" t="n">
        <v>11</v>
      </c>
      <c r="L25" s="8" t="n">
        <v>69</v>
      </c>
      <c r="M25" s="8" t="n">
        <v>10</v>
      </c>
      <c r="N25" s="8" t="n">
        <v>26</v>
      </c>
      <c r="O25" s="8" t="n">
        <v>9</v>
      </c>
      <c r="P25" s="9" t="n">
        <v>18.7421510150854</v>
      </c>
      <c r="Q25" s="10" t="n">
        <v>0.053355668684726</v>
      </c>
      <c r="R25" s="9" t="n">
        <v>9.5</v>
      </c>
      <c r="S25" s="11" t="n">
        <f aca="false">IF(AND(ISNUMBER(R25),R25&gt;1,P25&gt;0),R25/P25-1,"")</f>
        <v>-0.493121147495103</v>
      </c>
      <c r="T25" s="9" t="n">
        <f aca="false">IF(AND(ISNUMBER(P25),P25&gt;0),P25*EXP('Read me'!$B$22),"")</f>
        <v>22.8917149436798</v>
      </c>
    </row>
    <row r="26" customFormat="false" ht="15" hidden="false" customHeight="false" outlineLevel="0" collapsed="false">
      <c r="A26" s="14" t="s">
        <v>123</v>
      </c>
      <c r="B26" s="14" t="s">
        <v>63</v>
      </c>
      <c r="C26" s="14" t="s">
        <v>124</v>
      </c>
      <c r="D26" s="14" t="s">
        <v>436</v>
      </c>
      <c r="E26" s="15" t="n">
        <v>5</v>
      </c>
      <c r="F26" s="14" t="s">
        <v>388</v>
      </c>
      <c r="G26" s="8" t="n">
        <v>14</v>
      </c>
      <c r="H26" s="14" t="s">
        <v>630</v>
      </c>
      <c r="I26" s="14" t="s">
        <v>631</v>
      </c>
      <c r="J26" s="14" t="s">
        <v>236</v>
      </c>
      <c r="K26" s="8" t="n">
        <v>6</v>
      </c>
      <c r="L26" s="8" t="n">
        <v>64</v>
      </c>
      <c r="M26" s="8" t="n">
        <v>6</v>
      </c>
      <c r="N26" s="8" t="n">
        <v>11</v>
      </c>
      <c r="O26" s="8" t="n">
        <v>10</v>
      </c>
      <c r="P26" s="9" t="n">
        <v>22.738743183069</v>
      </c>
      <c r="Q26" s="10" t="n">
        <v>0.0439778043996991</v>
      </c>
      <c r="R26" s="9" t="n">
        <v>19</v>
      </c>
      <c r="S26" s="11" t="n">
        <f aca="false">IF(AND(ISNUMBER(R26),R26&gt;1,P26&gt;0),R26/P26-1,"")</f>
        <v>-0.164421716405716</v>
      </c>
      <c r="T26" s="9" t="n">
        <f aca="false">IF(AND(ISNUMBER(P26),P26&gt;0),P26*EXP('Read me'!$B$22),"")</f>
        <v>27.7731636408962</v>
      </c>
    </row>
    <row r="27" customFormat="false" ht="15" hidden="false" customHeight="false" outlineLevel="0" collapsed="false">
      <c r="A27" s="14" t="s">
        <v>123</v>
      </c>
      <c r="B27" s="14" t="s">
        <v>63</v>
      </c>
      <c r="C27" s="14" t="s">
        <v>124</v>
      </c>
      <c r="D27" s="14" t="s">
        <v>436</v>
      </c>
      <c r="E27" s="15" t="n">
        <v>5</v>
      </c>
      <c r="F27" s="14" t="s">
        <v>388</v>
      </c>
      <c r="G27" s="8" t="n">
        <v>14</v>
      </c>
      <c r="H27" s="14" t="s">
        <v>632</v>
      </c>
      <c r="I27" s="14" t="s">
        <v>438</v>
      </c>
      <c r="J27" s="14" t="s">
        <v>625</v>
      </c>
      <c r="K27" s="8" t="n">
        <v>10</v>
      </c>
      <c r="L27" s="8" t="n">
        <v>70</v>
      </c>
      <c r="M27" s="8" t="n">
        <v>7</v>
      </c>
      <c r="N27" s="8" t="n">
        <v>10</v>
      </c>
      <c r="O27" s="8" t="n">
        <v>11</v>
      </c>
      <c r="P27" s="9" t="n">
        <v>34.4877395296972</v>
      </c>
      <c r="Q27" s="10" t="n">
        <v>0.028995811660515</v>
      </c>
      <c r="R27" s="9" t="n">
        <v>17</v>
      </c>
      <c r="S27" s="11" t="n">
        <f aca="false">IF(AND(ISNUMBER(R27),R27&gt;1,P27&gt;0),R27/P27-1,"")</f>
        <v>-0.507071201771244</v>
      </c>
      <c r="T27" s="9" t="n">
        <f aca="false">IF(AND(ISNUMBER(P27),P27&gt;0),P27*EXP('Read me'!$B$22),"")</f>
        <v>42.1234201842817</v>
      </c>
    </row>
    <row r="28" customFormat="false" ht="15" hidden="false" customHeight="false" outlineLevel="0" collapsed="false">
      <c r="A28" s="14" t="s">
        <v>123</v>
      </c>
      <c r="B28" s="14" t="s">
        <v>63</v>
      </c>
      <c r="C28" s="14" t="s">
        <v>124</v>
      </c>
      <c r="D28" s="14" t="s">
        <v>436</v>
      </c>
      <c r="E28" s="15" t="n">
        <v>5</v>
      </c>
      <c r="F28" s="14" t="s">
        <v>388</v>
      </c>
      <c r="G28" s="8" t="n">
        <v>14</v>
      </c>
      <c r="H28" s="14" t="s">
        <v>633</v>
      </c>
      <c r="I28" s="14" t="s">
        <v>634</v>
      </c>
      <c r="J28" s="14" t="s">
        <v>201</v>
      </c>
      <c r="K28" s="8" t="n">
        <v>2</v>
      </c>
      <c r="L28" s="8" t="n">
        <v>63</v>
      </c>
      <c r="M28" s="8" t="n">
        <v>9</v>
      </c>
      <c r="N28" s="8" t="n">
        <v>45</v>
      </c>
      <c r="O28" s="8" t="n">
        <v>12</v>
      </c>
      <c r="P28" s="9" t="n">
        <v>37.1793125255907</v>
      </c>
      <c r="Q28" s="10" t="n">
        <v>0.0268966780736382</v>
      </c>
      <c r="R28" s="9" t="n">
        <v>11</v>
      </c>
      <c r="S28" s="11" t="n">
        <f aca="false">IF(AND(ISNUMBER(R28),R28&gt;1,P28&gt;0),R28/P28-1,"")</f>
        <v>-0.704136541189979</v>
      </c>
      <c r="T28" s="9" t="n">
        <f aca="false">IF(AND(ISNUMBER(P28),P28&gt;0),P28*EXP('Read me'!$B$22),"")</f>
        <v>45.4109148652554</v>
      </c>
    </row>
    <row r="29" customFormat="false" ht="15" hidden="false" customHeight="false" outlineLevel="0" collapsed="false">
      <c r="A29" s="14" t="s">
        <v>123</v>
      </c>
      <c r="B29" s="14" t="s">
        <v>63</v>
      </c>
      <c r="C29" s="14" t="s">
        <v>124</v>
      </c>
      <c r="D29" s="14" t="s">
        <v>436</v>
      </c>
      <c r="E29" s="15" t="n">
        <v>5</v>
      </c>
      <c r="F29" s="14" t="s">
        <v>388</v>
      </c>
      <c r="G29" s="8" t="n">
        <v>14</v>
      </c>
      <c r="H29" s="14" t="s">
        <v>635</v>
      </c>
      <c r="I29" s="14" t="s">
        <v>193</v>
      </c>
      <c r="J29" s="14" t="s">
        <v>621</v>
      </c>
      <c r="K29" s="8" t="n">
        <v>5</v>
      </c>
      <c r="L29" s="8" t="n">
        <v>78</v>
      </c>
      <c r="M29" s="8" t="n">
        <v>3</v>
      </c>
      <c r="N29" s="8" t="n">
        <v>13</v>
      </c>
      <c r="O29" s="8" t="n">
        <v>13</v>
      </c>
      <c r="P29" s="9" t="n">
        <v>65.3451203929823</v>
      </c>
      <c r="Q29" s="10" t="n">
        <v>0.0153033615055883</v>
      </c>
      <c r="R29" s="9" t="n">
        <v>29</v>
      </c>
      <c r="S29" s="11" t="n">
        <f aca="false">IF(AND(ISNUMBER(R29),R29&gt;1,P29&gt;0),R29/P29-1,"")</f>
        <v>-0.556202516337939</v>
      </c>
      <c r="T29" s="9" t="n">
        <f aca="false">IF(AND(ISNUMBER(P29),P29&gt;0),P29*EXP('Read me'!$B$22),"")</f>
        <v>79.8127102802969</v>
      </c>
    </row>
    <row r="30" customFormat="false" ht="15" hidden="false" customHeight="false" outlineLevel="0" collapsed="false">
      <c r="A30" s="14" t="s">
        <v>123</v>
      </c>
      <c r="B30" s="14" t="s">
        <v>63</v>
      </c>
      <c r="C30" s="14" t="s">
        <v>124</v>
      </c>
      <c r="D30" s="14" t="s">
        <v>436</v>
      </c>
      <c r="E30" s="15" t="n">
        <v>5</v>
      </c>
      <c r="F30" s="14" t="s">
        <v>388</v>
      </c>
      <c r="G30" s="8" t="n">
        <v>14</v>
      </c>
      <c r="H30" s="14" t="s">
        <v>636</v>
      </c>
      <c r="I30" s="14" t="s">
        <v>272</v>
      </c>
      <c r="J30" s="14" t="s">
        <v>201</v>
      </c>
      <c r="K30" s="8" t="n">
        <v>4</v>
      </c>
      <c r="L30" s="8" t="n">
        <v>76</v>
      </c>
      <c r="M30" s="8" t="n">
        <v>4</v>
      </c>
      <c r="N30" s="8" t="n">
        <v>43</v>
      </c>
      <c r="O30" s="8" t="n">
        <v>14</v>
      </c>
      <c r="P30" s="9" t="n">
        <v>67.7161288732591</v>
      </c>
      <c r="Q30" s="10" t="n">
        <v>0.0147675305224793</v>
      </c>
      <c r="R30" s="9" t="n">
        <v>34</v>
      </c>
      <c r="S30" s="11" t="n">
        <f aca="false">IF(AND(ISNUMBER(R30),R30&gt;1,P30&gt;0),R30/P30-1,"")</f>
        <v>-0.497903962235701</v>
      </c>
      <c r="T30" s="9" t="n">
        <f aca="false">IF(AND(ISNUMBER(P30),P30&gt;0),P30*EXP('Read me'!$B$22),"")</f>
        <v>82.7086665777282</v>
      </c>
    </row>
    <row r="31" customFormat="false" ht="15" hidden="false" customHeight="false" outlineLevel="0" collapsed="false">
      <c r="A31" s="14" t="s">
        <v>156</v>
      </c>
      <c r="B31" s="14" t="s">
        <v>63</v>
      </c>
      <c r="C31" s="14" t="s">
        <v>157</v>
      </c>
      <c r="D31" s="14" t="s">
        <v>366</v>
      </c>
      <c r="E31" s="15" t="n">
        <v>6</v>
      </c>
      <c r="F31" s="14" t="s">
        <v>388</v>
      </c>
      <c r="G31" s="8" t="n">
        <v>12</v>
      </c>
      <c r="H31" s="14" t="s">
        <v>158</v>
      </c>
      <c r="I31" s="14" t="s">
        <v>159</v>
      </c>
      <c r="J31" s="14" t="s">
        <v>160</v>
      </c>
      <c r="K31" s="8" t="n">
        <v>3</v>
      </c>
      <c r="L31" s="8" t="n">
        <v>99</v>
      </c>
      <c r="M31" s="8" t="n">
        <v>6</v>
      </c>
      <c r="N31" s="8" t="n">
        <v>13</v>
      </c>
      <c r="O31" s="8" t="n">
        <v>1</v>
      </c>
      <c r="P31" s="9" t="n">
        <v>7.33535194452838</v>
      </c>
      <c r="Q31" s="10" t="n">
        <v>0.136326110534604</v>
      </c>
      <c r="R31" s="9" t="n">
        <v>6.5</v>
      </c>
      <c r="S31" s="11" t="n">
        <f aca="false">IF(AND(ISNUMBER(R31),R31&gt;1,P31&gt;0),R31/P31-1,"")</f>
        <v>-0.113880281525073</v>
      </c>
      <c r="T31" s="9" t="n">
        <f aca="false">IF(AND(ISNUMBER(P31),P31&gt;0),P31*EXP('Read me'!$B$22),"")</f>
        <v>8.95941909712253</v>
      </c>
    </row>
    <row r="32" customFormat="false" ht="15" hidden="false" customHeight="false" outlineLevel="0" collapsed="false">
      <c r="A32" s="14" t="s">
        <v>156</v>
      </c>
      <c r="B32" s="14" t="s">
        <v>63</v>
      </c>
      <c r="C32" s="14" t="s">
        <v>157</v>
      </c>
      <c r="D32" s="14" t="s">
        <v>366</v>
      </c>
      <c r="E32" s="15" t="n">
        <v>6</v>
      </c>
      <c r="F32" s="14" t="s">
        <v>388</v>
      </c>
      <c r="G32" s="8" t="n">
        <v>12</v>
      </c>
      <c r="H32" s="14" t="s">
        <v>161</v>
      </c>
      <c r="I32" s="14" t="s">
        <v>66</v>
      </c>
      <c r="J32" s="14" t="s">
        <v>674</v>
      </c>
      <c r="K32" s="8" t="n">
        <v>5</v>
      </c>
      <c r="L32" s="8" t="n">
        <v>95</v>
      </c>
      <c r="M32" s="8" t="n">
        <v>5</v>
      </c>
      <c r="N32" s="8" t="n">
        <v>38</v>
      </c>
      <c r="O32" s="8" t="n">
        <v>2</v>
      </c>
      <c r="P32" s="9" t="n">
        <v>8.19243745821569</v>
      </c>
      <c r="Q32" s="10" t="n">
        <v>0.122063794212693</v>
      </c>
      <c r="R32" s="9" t="n">
        <v>9</v>
      </c>
      <c r="S32" s="11" t="n">
        <f aca="false">IF(AND(ISNUMBER(R32),R32&gt;1,P32&gt;0),R32/P32-1,"")</f>
        <v>0.0985741479142397</v>
      </c>
      <c r="T32" s="9" t="n">
        <f aca="false">IF(AND(ISNUMBER(P32),P32&gt;0),P32*EXP('Read me'!$B$22),"")</f>
        <v>10.0062657075193</v>
      </c>
    </row>
    <row r="33" customFormat="false" ht="15" hidden="false" customHeight="false" outlineLevel="0" collapsed="false">
      <c r="A33" s="14" t="s">
        <v>156</v>
      </c>
      <c r="B33" s="14" t="s">
        <v>63</v>
      </c>
      <c r="C33" s="14" t="s">
        <v>157</v>
      </c>
      <c r="D33" s="14" t="s">
        <v>366</v>
      </c>
      <c r="E33" s="15" t="n">
        <v>6</v>
      </c>
      <c r="F33" s="14" t="s">
        <v>388</v>
      </c>
      <c r="G33" s="8" t="n">
        <v>12</v>
      </c>
      <c r="H33" s="14" t="s">
        <v>686</v>
      </c>
      <c r="I33" s="14" t="s">
        <v>90</v>
      </c>
      <c r="J33" s="14" t="s">
        <v>160</v>
      </c>
      <c r="K33" s="8" t="n">
        <v>9</v>
      </c>
      <c r="L33" s="8" t="n">
        <v>87</v>
      </c>
      <c r="M33" s="8" t="n">
        <v>5</v>
      </c>
      <c r="N33" s="8" t="n">
        <v>8</v>
      </c>
      <c r="O33" s="8" t="n">
        <v>3</v>
      </c>
      <c r="P33" s="9" t="n">
        <v>8.29665489819866</v>
      </c>
      <c r="Q33" s="10" t="n">
        <v>0.120530504434639</v>
      </c>
      <c r="R33" s="9" t="n">
        <v>6</v>
      </c>
      <c r="S33" s="11" t="n">
        <f aca="false">IF(AND(ISNUMBER(R33),R33&gt;1,P33&gt;0),R33/P33-1,"")</f>
        <v>-0.276816973392168</v>
      </c>
      <c r="T33" s="9" t="n">
        <f aca="false">IF(AND(ISNUMBER(P33),P33&gt;0),P33*EXP('Read me'!$B$22),"")</f>
        <v>10.1335571761629</v>
      </c>
    </row>
    <row r="34" customFormat="false" ht="15" hidden="false" customHeight="false" outlineLevel="0" collapsed="false">
      <c r="A34" s="14" t="s">
        <v>156</v>
      </c>
      <c r="B34" s="14" t="s">
        <v>63</v>
      </c>
      <c r="C34" s="14" t="s">
        <v>157</v>
      </c>
      <c r="D34" s="14" t="s">
        <v>366</v>
      </c>
      <c r="E34" s="15" t="n">
        <v>6</v>
      </c>
      <c r="F34" s="14" t="s">
        <v>388</v>
      </c>
      <c r="G34" s="8" t="n">
        <v>12</v>
      </c>
      <c r="H34" s="14" t="s">
        <v>687</v>
      </c>
      <c r="I34" s="14" t="s">
        <v>235</v>
      </c>
      <c r="J34" s="14" t="s">
        <v>236</v>
      </c>
      <c r="K34" s="8" t="n">
        <v>2</v>
      </c>
      <c r="L34" s="8" t="n">
        <v>89</v>
      </c>
      <c r="M34" s="8" t="n">
        <v>4</v>
      </c>
      <c r="N34" s="8" t="n">
        <v>7</v>
      </c>
      <c r="O34" s="8" t="n">
        <v>4</v>
      </c>
      <c r="P34" s="9" t="n">
        <v>8.77919417706893</v>
      </c>
      <c r="Q34" s="10" t="n">
        <v>0.113905670592408</v>
      </c>
      <c r="R34" s="9" t="n">
        <v>8.5</v>
      </c>
      <c r="S34" s="11" t="n">
        <f aca="false">IF(AND(ISNUMBER(R34),R34&gt;1,P34&gt;0),R34/P34-1,"")</f>
        <v>-0.0318017999645325</v>
      </c>
      <c r="T34" s="9" t="n">
        <f aca="false">IF(AND(ISNUMBER(P34),P34&gt;0),P34*EXP('Read me'!$B$22),"")</f>
        <v>10.7229319822957</v>
      </c>
    </row>
    <row r="35" customFormat="false" ht="15" hidden="false" customHeight="false" outlineLevel="0" collapsed="false">
      <c r="A35" s="14" t="s">
        <v>156</v>
      </c>
      <c r="B35" s="14" t="s">
        <v>63</v>
      </c>
      <c r="C35" s="14" t="s">
        <v>157</v>
      </c>
      <c r="D35" s="14" t="s">
        <v>366</v>
      </c>
      <c r="E35" s="15" t="n">
        <v>6</v>
      </c>
      <c r="F35" s="14" t="s">
        <v>388</v>
      </c>
      <c r="G35" s="8" t="n">
        <v>12</v>
      </c>
      <c r="H35" s="14" t="s">
        <v>688</v>
      </c>
      <c r="I35" s="14" t="s">
        <v>126</v>
      </c>
      <c r="J35" s="14" t="s">
        <v>127</v>
      </c>
      <c r="K35" s="8" t="n">
        <v>10</v>
      </c>
      <c r="L35" s="8" t="n">
        <v>85</v>
      </c>
      <c r="M35" s="8" t="n">
        <v>4</v>
      </c>
      <c r="N35" s="8" t="n">
        <v>7</v>
      </c>
      <c r="O35" s="8" t="n">
        <v>5</v>
      </c>
      <c r="P35" s="9" t="n">
        <v>12.430688979598</v>
      </c>
      <c r="Q35" s="10" t="n">
        <v>0.0804460639021103</v>
      </c>
      <c r="R35" s="9" t="n">
        <v>7.5</v>
      </c>
      <c r="S35" s="11" t="n">
        <f aca="false">IF(AND(ISNUMBER(R35),R35&gt;1,P35&gt;0),R35/P35-1,"")</f>
        <v>-0.396654520734172</v>
      </c>
      <c r="T35" s="9" t="n">
        <f aca="false">IF(AND(ISNUMBER(P35),P35&gt;0),P35*EXP('Read me'!$B$22),"")</f>
        <v>15.1828778055122</v>
      </c>
    </row>
    <row r="36" customFormat="false" ht="15" hidden="false" customHeight="false" outlineLevel="0" collapsed="false">
      <c r="A36" s="14" t="s">
        <v>156</v>
      </c>
      <c r="B36" s="14" t="s">
        <v>63</v>
      </c>
      <c r="C36" s="14" t="s">
        <v>157</v>
      </c>
      <c r="D36" s="14" t="s">
        <v>366</v>
      </c>
      <c r="E36" s="15" t="n">
        <v>6</v>
      </c>
      <c r="F36" s="14" t="s">
        <v>388</v>
      </c>
      <c r="G36" s="8" t="n">
        <v>12</v>
      </c>
      <c r="H36" s="14" t="s">
        <v>689</v>
      </c>
      <c r="I36" s="14" t="s">
        <v>690</v>
      </c>
      <c r="J36" s="14" t="s">
        <v>127</v>
      </c>
      <c r="K36" s="8" t="n">
        <v>8</v>
      </c>
      <c r="L36" s="8" t="n">
        <v>92</v>
      </c>
      <c r="M36" s="8" t="n">
        <v>4</v>
      </c>
      <c r="N36" s="8" t="n">
        <v>21</v>
      </c>
      <c r="O36" s="8" t="n">
        <v>6</v>
      </c>
      <c r="P36" s="9" t="n">
        <v>12.5286389983052</v>
      </c>
      <c r="Q36" s="10" t="n">
        <v>0.0798171293893355</v>
      </c>
      <c r="R36" s="9" t="n">
        <v>15</v>
      </c>
      <c r="S36" s="11" t="n">
        <f aca="false">IF(AND(ISNUMBER(R36),R36&gt;1,P36&gt;0),R36/P36-1,"")</f>
        <v>0.197256940840034</v>
      </c>
      <c r="T36" s="9" t="n">
        <f aca="false">IF(AND(ISNUMBER(P36),P36&gt;0),P36*EXP('Read me'!$B$22),"")</f>
        <v>15.302514228523</v>
      </c>
    </row>
    <row r="37" customFormat="false" ht="15" hidden="false" customHeight="false" outlineLevel="0" collapsed="false">
      <c r="A37" s="14" t="s">
        <v>156</v>
      </c>
      <c r="B37" s="14" t="s">
        <v>63</v>
      </c>
      <c r="C37" s="14" t="s">
        <v>157</v>
      </c>
      <c r="D37" s="14" t="s">
        <v>366</v>
      </c>
      <c r="E37" s="15" t="n">
        <v>6</v>
      </c>
      <c r="F37" s="14" t="s">
        <v>388</v>
      </c>
      <c r="G37" s="8" t="n">
        <v>12</v>
      </c>
      <c r="H37" s="14" t="s">
        <v>691</v>
      </c>
      <c r="I37" s="14" t="s">
        <v>449</v>
      </c>
      <c r="J37" s="14" t="s">
        <v>692</v>
      </c>
      <c r="K37" s="8" t="n">
        <v>12</v>
      </c>
      <c r="L37" s="8" t="n">
        <v>91</v>
      </c>
      <c r="M37" s="8" t="n">
        <v>5</v>
      </c>
      <c r="N37" s="8" t="n">
        <v>47</v>
      </c>
      <c r="O37" s="8" t="n">
        <v>7</v>
      </c>
      <c r="P37" s="9" t="n">
        <v>12.9352598956526</v>
      </c>
      <c r="Q37" s="10" t="n">
        <v>0.0773080717408769</v>
      </c>
      <c r="R37" s="9" t="n">
        <v>9.5</v>
      </c>
      <c r="S37" s="11" t="n">
        <f aca="false">IF(AND(ISNUMBER(R37),R37&gt;1,P37&gt;0),R37/P37-1,"")</f>
        <v>-0.265573318461669</v>
      </c>
      <c r="T37" s="9" t="n">
        <f aca="false">IF(AND(ISNUMBER(P37),P37&gt;0),P37*EXP('Read me'!$B$22),"")</f>
        <v>15.7991621140687</v>
      </c>
    </row>
    <row r="38" customFormat="false" ht="15" hidden="false" customHeight="false" outlineLevel="0" collapsed="false">
      <c r="A38" s="14" t="s">
        <v>156</v>
      </c>
      <c r="B38" s="14" t="s">
        <v>63</v>
      </c>
      <c r="C38" s="14" t="s">
        <v>157</v>
      </c>
      <c r="D38" s="14" t="s">
        <v>366</v>
      </c>
      <c r="E38" s="15" t="n">
        <v>6</v>
      </c>
      <c r="F38" s="14" t="s">
        <v>388</v>
      </c>
      <c r="G38" s="8" t="n">
        <v>12</v>
      </c>
      <c r="H38" s="14" t="s">
        <v>693</v>
      </c>
      <c r="I38" s="14" t="s">
        <v>631</v>
      </c>
      <c r="J38" s="14" t="s">
        <v>236</v>
      </c>
      <c r="K38" s="8" t="n">
        <v>4</v>
      </c>
      <c r="L38" s="8" t="n">
        <v>82</v>
      </c>
      <c r="M38" s="8" t="n">
        <v>4</v>
      </c>
      <c r="N38" s="8" t="n">
        <v>1</v>
      </c>
      <c r="O38" s="8" t="n">
        <v>8</v>
      </c>
      <c r="P38" s="9" t="n">
        <v>13.9047326730541</v>
      </c>
      <c r="Q38" s="10" t="n">
        <v>0.0719179594108913</v>
      </c>
      <c r="R38" s="9" t="n">
        <v>10</v>
      </c>
      <c r="S38" s="11" t="n">
        <f aca="false">IF(AND(ISNUMBER(R38),R38&gt;1,P38&gt;0),R38/P38-1,"")</f>
        <v>-0.280820405891087</v>
      </c>
      <c r="T38" s="9" t="n">
        <f aca="false">IF(AND(ISNUMBER(P38),P38&gt;0),P38*EXP('Read me'!$B$22),"")</f>
        <v>16.9832788383481</v>
      </c>
    </row>
    <row r="39" customFormat="false" ht="15" hidden="false" customHeight="false" outlineLevel="0" collapsed="false">
      <c r="A39" s="14" t="s">
        <v>156</v>
      </c>
      <c r="B39" s="14" t="s">
        <v>63</v>
      </c>
      <c r="C39" s="14" t="s">
        <v>157</v>
      </c>
      <c r="D39" s="14" t="s">
        <v>366</v>
      </c>
      <c r="E39" s="15" t="n">
        <v>6</v>
      </c>
      <c r="F39" s="14" t="s">
        <v>388</v>
      </c>
      <c r="G39" s="8" t="n">
        <v>12</v>
      </c>
      <c r="H39" s="14" t="s">
        <v>694</v>
      </c>
      <c r="I39" s="14" t="s">
        <v>695</v>
      </c>
      <c r="J39" s="14" t="s">
        <v>67</v>
      </c>
      <c r="K39" s="8" t="n">
        <v>1</v>
      </c>
      <c r="L39" s="8" t="n">
        <v>83</v>
      </c>
      <c r="M39" s="8" t="n">
        <v>3</v>
      </c>
      <c r="N39" s="8" t="n">
        <v>25</v>
      </c>
      <c r="O39" s="8" t="n">
        <v>9</v>
      </c>
      <c r="P39" s="9" t="n">
        <v>15.1413750253872</v>
      </c>
      <c r="Q39" s="10" t="n">
        <v>0.0660441999701691</v>
      </c>
      <c r="R39" s="9" t="n">
        <v>12</v>
      </c>
      <c r="S39" s="11" t="n">
        <f aca="false">IF(AND(ISNUMBER(R39),R39&gt;1,P39&gt;0),R39/P39-1,"")</f>
        <v>-0.20746960035797</v>
      </c>
      <c r="T39" s="9" t="n">
        <f aca="false">IF(AND(ISNUMBER(P39),P39&gt;0),P39*EXP('Read me'!$B$22),"")</f>
        <v>18.4937172183455</v>
      </c>
    </row>
    <row r="40" customFormat="false" ht="15" hidden="false" customHeight="false" outlineLevel="0" collapsed="false">
      <c r="A40" s="14" t="s">
        <v>156</v>
      </c>
      <c r="B40" s="14" t="s">
        <v>63</v>
      </c>
      <c r="C40" s="14" t="s">
        <v>157</v>
      </c>
      <c r="D40" s="14" t="s">
        <v>366</v>
      </c>
      <c r="E40" s="15" t="n">
        <v>6</v>
      </c>
      <c r="F40" s="14" t="s">
        <v>388</v>
      </c>
      <c r="G40" s="8" t="n">
        <v>12</v>
      </c>
      <c r="H40" s="14" t="s">
        <v>696</v>
      </c>
      <c r="I40" s="14" t="s">
        <v>444</v>
      </c>
      <c r="J40" s="14" t="s">
        <v>697</v>
      </c>
      <c r="K40" s="8" t="n">
        <v>6</v>
      </c>
      <c r="L40" s="8" t="n">
        <v>91</v>
      </c>
      <c r="M40" s="8" t="n">
        <v>3</v>
      </c>
      <c r="N40" s="8" t="n">
        <v>14</v>
      </c>
      <c r="O40" s="8" t="n">
        <v>10</v>
      </c>
      <c r="P40" s="9" t="n">
        <v>17.8219003286451</v>
      </c>
      <c r="Q40" s="10" t="n">
        <v>0.0561107391220621</v>
      </c>
      <c r="R40" s="9" t="n">
        <v>12</v>
      </c>
      <c r="S40" s="11" t="n">
        <f aca="false">IF(AND(ISNUMBER(R40),R40&gt;1,P40&gt;0),R40/P40-1,"")</f>
        <v>-0.326671130535254</v>
      </c>
      <c r="T40" s="9" t="n">
        <f aca="false">IF(AND(ISNUMBER(P40),P40&gt;0),P40*EXP('Read me'!$B$22),"")</f>
        <v>21.7677182170628</v>
      </c>
    </row>
    <row r="41" customFormat="false" ht="15" hidden="false" customHeight="false" outlineLevel="0" collapsed="false">
      <c r="A41" s="14" t="s">
        <v>156</v>
      </c>
      <c r="B41" s="14" t="s">
        <v>63</v>
      </c>
      <c r="C41" s="14" t="s">
        <v>157</v>
      </c>
      <c r="D41" s="14" t="s">
        <v>366</v>
      </c>
      <c r="E41" s="15" t="n">
        <v>6</v>
      </c>
      <c r="F41" s="14" t="s">
        <v>388</v>
      </c>
      <c r="G41" s="8" t="n">
        <v>12</v>
      </c>
      <c r="H41" s="14" t="s">
        <v>698</v>
      </c>
      <c r="I41" s="14" t="s">
        <v>699</v>
      </c>
      <c r="J41" s="14" t="s">
        <v>643</v>
      </c>
      <c r="K41" s="8" t="n">
        <v>11</v>
      </c>
      <c r="L41" s="8" t="n">
        <v>85</v>
      </c>
      <c r="M41" s="8" t="n">
        <v>6</v>
      </c>
      <c r="N41" s="8" t="n">
        <v>7</v>
      </c>
      <c r="O41" s="8" t="n">
        <v>11</v>
      </c>
      <c r="P41" s="9" t="n">
        <v>19.6010213259328</v>
      </c>
      <c r="Q41" s="10" t="n">
        <v>0.0510177497065915</v>
      </c>
      <c r="R41" s="9" t="n">
        <v>17</v>
      </c>
      <c r="S41" s="11" t="n">
        <f aca="false">IF(AND(ISNUMBER(R41),R41&gt;1,P41&gt;0),R41/P41-1,"")</f>
        <v>-0.132698254987944</v>
      </c>
      <c r="T41" s="9" t="n">
        <f aca="false">IF(AND(ISNUMBER(P41),P41&gt;0),P41*EXP('Read me'!$B$22),"")</f>
        <v>23.9407415102506</v>
      </c>
    </row>
    <row r="42" customFormat="false" ht="15" hidden="false" customHeight="false" outlineLevel="0" collapsed="false">
      <c r="A42" s="14" t="s">
        <v>156</v>
      </c>
      <c r="B42" s="14" t="s">
        <v>63</v>
      </c>
      <c r="C42" s="14" t="s">
        <v>157</v>
      </c>
      <c r="D42" s="14" t="s">
        <v>366</v>
      </c>
      <c r="E42" s="15" t="n">
        <v>6</v>
      </c>
      <c r="F42" s="14" t="s">
        <v>388</v>
      </c>
      <c r="G42" s="8" t="n">
        <v>12</v>
      </c>
      <c r="H42" s="14" t="s">
        <v>700</v>
      </c>
      <c r="I42" s="14" t="s">
        <v>634</v>
      </c>
      <c r="J42" s="14" t="s">
        <v>701</v>
      </c>
      <c r="K42" s="8" t="n">
        <v>7</v>
      </c>
      <c r="L42" s="8" t="n">
        <v>85</v>
      </c>
      <c r="M42" s="8" t="n">
        <v>4</v>
      </c>
      <c r="N42" s="8" t="n">
        <v>27</v>
      </c>
      <c r="O42" s="8" t="n">
        <v>12</v>
      </c>
      <c r="P42" s="9" t="n">
        <v>40.7963330243946</v>
      </c>
      <c r="Q42" s="10" t="n">
        <v>0.0245120069836188</v>
      </c>
      <c r="R42" s="9" t="n">
        <v>23</v>
      </c>
      <c r="S42" s="11" t="n">
        <f aca="false">IF(AND(ISNUMBER(R42),R42&gt;1,P42&gt;0),R42/P42-1,"")</f>
        <v>-0.436223839376767</v>
      </c>
      <c r="T42" s="9" t="n">
        <f aca="false">IF(AND(ISNUMBER(P42),P42&gt;0),P42*EXP('Read me'!$B$22),"")</f>
        <v>49.8287536788164</v>
      </c>
    </row>
    <row r="43" customFormat="false" ht="15" hidden="false" customHeight="false" outlineLevel="0" collapsed="false">
      <c r="A43" s="14" t="s">
        <v>190</v>
      </c>
      <c r="B43" s="14" t="s">
        <v>63</v>
      </c>
      <c r="C43" s="14" t="s">
        <v>191</v>
      </c>
      <c r="D43" s="14" t="s">
        <v>803</v>
      </c>
      <c r="E43" s="15" t="n">
        <v>6</v>
      </c>
      <c r="F43" s="14" t="s">
        <v>388</v>
      </c>
      <c r="G43" s="8" t="n">
        <v>11</v>
      </c>
      <c r="H43" s="14" t="s">
        <v>192</v>
      </c>
      <c r="I43" s="14" t="s">
        <v>193</v>
      </c>
      <c r="J43" s="14" t="s">
        <v>194</v>
      </c>
      <c r="K43" s="8" t="n">
        <v>2</v>
      </c>
      <c r="L43" s="8" t="n">
        <v>61</v>
      </c>
      <c r="M43" s="8" t="n">
        <v>6</v>
      </c>
      <c r="N43" s="8" t="n">
        <v>9</v>
      </c>
      <c r="O43" s="8" t="n">
        <v>1</v>
      </c>
      <c r="P43" s="9" t="n">
        <v>5.35720501389036</v>
      </c>
      <c r="Q43" s="10" t="n">
        <v>0.18666450087446</v>
      </c>
      <c r="R43" s="9" t="n">
        <v>4.5</v>
      </c>
      <c r="S43" s="11" t="n">
        <f aca="false">IF(AND(ISNUMBER(R43),R43&gt;1,P43&gt;0),R43/P43-1,"")</f>
        <v>-0.160009746064928</v>
      </c>
      <c r="T43" s="9" t="n">
        <f aca="false">IF(AND(ISNUMBER(P43),P43&gt;0),P43*EXP('Read me'!$B$22),"")</f>
        <v>6.54330497999517</v>
      </c>
    </row>
    <row r="44" customFormat="false" ht="15" hidden="false" customHeight="false" outlineLevel="0" collapsed="false">
      <c r="A44" s="14" t="s">
        <v>190</v>
      </c>
      <c r="B44" s="14" t="s">
        <v>63</v>
      </c>
      <c r="C44" s="14" t="s">
        <v>191</v>
      </c>
      <c r="D44" s="14" t="s">
        <v>803</v>
      </c>
      <c r="E44" s="15" t="n">
        <v>6</v>
      </c>
      <c r="F44" s="14" t="s">
        <v>388</v>
      </c>
      <c r="G44" s="8" t="n">
        <v>11</v>
      </c>
      <c r="H44" s="14" t="s">
        <v>195</v>
      </c>
      <c r="I44" s="14" t="s">
        <v>444</v>
      </c>
      <c r="J44" s="14" t="s">
        <v>697</v>
      </c>
      <c r="K44" s="8" t="n">
        <v>10</v>
      </c>
      <c r="L44" s="8" t="n">
        <v>59</v>
      </c>
      <c r="M44" s="8" t="n">
        <v>7</v>
      </c>
      <c r="N44" s="8" t="n">
        <v>18</v>
      </c>
      <c r="O44" s="8" t="n">
        <v>2</v>
      </c>
      <c r="P44" s="9" t="n">
        <v>8.18969922431517</v>
      </c>
      <c r="Q44" s="10" t="n">
        <v>0.122104606361001</v>
      </c>
      <c r="R44" s="9" t="n">
        <v>7</v>
      </c>
      <c r="S44" s="11" t="n">
        <f aca="false">IF(AND(ISNUMBER(R44),R44&gt;1,P44&gt;0),R44/P44-1,"")</f>
        <v>-0.145267755472992</v>
      </c>
      <c r="T44" s="9" t="n">
        <f aca="false">IF(AND(ISNUMBER(P44),P44&gt;0),P44*EXP('Read me'!$B$22),"")</f>
        <v>10.0029212210808</v>
      </c>
    </row>
    <row r="45" customFormat="false" ht="15" hidden="false" customHeight="false" outlineLevel="0" collapsed="false">
      <c r="A45" s="14" t="s">
        <v>190</v>
      </c>
      <c r="B45" s="14" t="s">
        <v>63</v>
      </c>
      <c r="C45" s="14" t="s">
        <v>191</v>
      </c>
      <c r="D45" s="14" t="s">
        <v>803</v>
      </c>
      <c r="E45" s="15" t="n">
        <v>6</v>
      </c>
      <c r="F45" s="14" t="s">
        <v>388</v>
      </c>
      <c r="G45" s="8" t="n">
        <v>11</v>
      </c>
      <c r="H45" s="14" t="s">
        <v>804</v>
      </c>
      <c r="I45" s="14" t="s">
        <v>455</v>
      </c>
      <c r="J45" s="14" t="s">
        <v>805</v>
      </c>
      <c r="K45" s="8" t="n">
        <v>1</v>
      </c>
      <c r="L45" s="8" t="n">
        <v>60</v>
      </c>
      <c r="M45" s="8" t="n">
        <v>4</v>
      </c>
      <c r="N45" s="8" t="n">
        <v>24</v>
      </c>
      <c r="O45" s="8" t="n">
        <v>3</v>
      </c>
      <c r="P45" s="9" t="n">
        <v>8.61787781610394</v>
      </c>
      <c r="Q45" s="10" t="n">
        <v>0.116037848451661</v>
      </c>
      <c r="R45" s="9" t="n">
        <v>8</v>
      </c>
      <c r="S45" s="11" t="n">
        <f aca="false">IF(AND(ISNUMBER(R45),R45&gt;1,P45&gt;0),R45/P45-1,"")</f>
        <v>-0.0716972123867122</v>
      </c>
      <c r="T45" s="9" t="n">
        <f aca="false">IF(AND(ISNUMBER(P45),P45&gt;0),P45*EXP('Read me'!$B$22),"")</f>
        <v>10.5258997340767</v>
      </c>
    </row>
    <row r="46" customFormat="false" ht="15" hidden="false" customHeight="false" outlineLevel="0" collapsed="false">
      <c r="A46" s="14" t="s">
        <v>190</v>
      </c>
      <c r="B46" s="14" t="s">
        <v>63</v>
      </c>
      <c r="C46" s="14" t="s">
        <v>191</v>
      </c>
      <c r="D46" s="14" t="s">
        <v>803</v>
      </c>
      <c r="E46" s="15" t="n">
        <v>6</v>
      </c>
      <c r="F46" s="14" t="s">
        <v>388</v>
      </c>
      <c r="G46" s="8" t="n">
        <v>11</v>
      </c>
      <c r="H46" s="14" t="s">
        <v>806</v>
      </c>
      <c r="I46" s="14" t="s">
        <v>441</v>
      </c>
      <c r="J46" s="14" t="s">
        <v>625</v>
      </c>
      <c r="K46" s="8" t="n">
        <v>4</v>
      </c>
      <c r="L46" s="8" t="n">
        <v>57</v>
      </c>
      <c r="M46" s="8" t="n">
        <v>8</v>
      </c>
      <c r="N46" s="8" t="n">
        <v>17</v>
      </c>
      <c r="O46" s="8" t="n">
        <v>4</v>
      </c>
      <c r="P46" s="9" t="n">
        <v>9.84392269384769</v>
      </c>
      <c r="Q46" s="10" t="n">
        <v>0.10158551942154</v>
      </c>
      <c r="R46" s="9" t="n">
        <v>9.5</v>
      </c>
      <c r="S46" s="11" t="n">
        <f aca="false">IF(AND(ISNUMBER(R46),R46&gt;1,P46&gt;0),R46/P46-1,"")</f>
        <v>-0.0349375654953724</v>
      </c>
      <c r="T46" s="9" t="n">
        <f aca="false">IF(AND(ISNUMBER(P46),P46&gt;0),P46*EXP('Read me'!$B$22),"")</f>
        <v>12.0233943293811</v>
      </c>
    </row>
    <row r="47" customFormat="false" ht="15" hidden="false" customHeight="false" outlineLevel="0" collapsed="false">
      <c r="A47" s="14" t="s">
        <v>190</v>
      </c>
      <c r="B47" s="14" t="s">
        <v>63</v>
      </c>
      <c r="C47" s="14" t="s">
        <v>191</v>
      </c>
      <c r="D47" s="14" t="s">
        <v>803</v>
      </c>
      <c r="E47" s="15" t="n">
        <v>6</v>
      </c>
      <c r="F47" s="14" t="s">
        <v>388</v>
      </c>
      <c r="G47" s="8" t="n">
        <v>11</v>
      </c>
      <c r="H47" s="14" t="s">
        <v>807</v>
      </c>
      <c r="I47" s="14" t="s">
        <v>695</v>
      </c>
      <c r="J47" s="14" t="s">
        <v>808</v>
      </c>
      <c r="K47" s="8" t="n">
        <v>5</v>
      </c>
      <c r="L47" s="8" t="n">
        <v>49</v>
      </c>
      <c r="M47" s="8" t="n">
        <v>7</v>
      </c>
      <c r="N47" s="8" t="n">
        <v>18</v>
      </c>
      <c r="O47" s="8" t="n">
        <v>5</v>
      </c>
      <c r="P47" s="9" t="n">
        <v>10.5849652961938</v>
      </c>
      <c r="Q47" s="10" t="n">
        <v>0.0944736210292146</v>
      </c>
      <c r="R47" s="9" t="n">
        <v>9</v>
      </c>
      <c r="S47" s="11" t="n">
        <f aca="false">IF(AND(ISNUMBER(R47),R47&gt;1,P47&gt;0),R47/P47-1,"")</f>
        <v>-0.149737410737068</v>
      </c>
      <c r="T47" s="9" t="n">
        <f aca="false">IF(AND(ISNUMBER(P47),P47&gt;0),P47*EXP('Read me'!$B$22),"")</f>
        <v>12.9285058078008</v>
      </c>
    </row>
    <row r="48" customFormat="false" ht="15" hidden="false" customHeight="false" outlineLevel="0" collapsed="false">
      <c r="A48" s="14" t="s">
        <v>190</v>
      </c>
      <c r="B48" s="14" t="s">
        <v>63</v>
      </c>
      <c r="C48" s="14" t="s">
        <v>191</v>
      </c>
      <c r="D48" s="14" t="s">
        <v>803</v>
      </c>
      <c r="E48" s="15" t="n">
        <v>6</v>
      </c>
      <c r="F48" s="14" t="s">
        <v>388</v>
      </c>
      <c r="G48" s="8" t="n">
        <v>11</v>
      </c>
      <c r="H48" s="14" t="s">
        <v>809</v>
      </c>
      <c r="I48" s="14" t="s">
        <v>300</v>
      </c>
      <c r="J48" s="14" t="s">
        <v>810</v>
      </c>
      <c r="K48" s="8" t="n">
        <v>11</v>
      </c>
      <c r="L48" s="8" t="n">
        <v>65</v>
      </c>
      <c r="M48" s="8" t="n">
        <v>3</v>
      </c>
      <c r="N48" s="8" t="n">
        <v>87</v>
      </c>
      <c r="O48" s="8" t="n">
        <v>6</v>
      </c>
      <c r="P48" s="9" t="n">
        <v>11.6563794877497</v>
      </c>
      <c r="Q48" s="10" t="n">
        <v>0.0857899316894199</v>
      </c>
      <c r="R48" s="9" t="n">
        <v>17</v>
      </c>
      <c r="S48" s="11" t="n">
        <f aca="false">IF(AND(ISNUMBER(R48),R48&gt;1,P48&gt;0),R48/P48-1,"")</f>
        <v>0.45842883872014</v>
      </c>
      <c r="T48" s="9" t="n">
        <f aca="false">IF(AND(ISNUMBER(P48),P48&gt;0),P48*EXP('Read me'!$B$22),"")</f>
        <v>14.2371340564991</v>
      </c>
    </row>
    <row r="49" customFormat="false" ht="15" hidden="false" customHeight="false" outlineLevel="0" collapsed="false">
      <c r="A49" s="14" t="s">
        <v>190</v>
      </c>
      <c r="B49" s="14" t="s">
        <v>63</v>
      </c>
      <c r="C49" s="14" t="s">
        <v>191</v>
      </c>
      <c r="D49" s="14" t="s">
        <v>803</v>
      </c>
      <c r="E49" s="15" t="n">
        <v>6</v>
      </c>
      <c r="F49" s="14" t="s">
        <v>388</v>
      </c>
      <c r="G49" s="8" t="n">
        <v>11</v>
      </c>
      <c r="H49" s="14" t="s">
        <v>811</v>
      </c>
      <c r="I49" s="14" t="s">
        <v>496</v>
      </c>
      <c r="J49" s="14" t="s">
        <v>201</v>
      </c>
      <c r="K49" s="8" t="n">
        <v>6</v>
      </c>
      <c r="L49" s="8" t="n">
        <v>56</v>
      </c>
      <c r="M49" s="8" t="n">
        <v>3</v>
      </c>
      <c r="N49" s="8" t="n">
        <v>27</v>
      </c>
      <c r="O49" s="8" t="n">
        <v>7</v>
      </c>
      <c r="P49" s="9" t="n">
        <v>12.8252627828151</v>
      </c>
      <c r="Q49" s="10" t="n">
        <v>0.0779711119322973</v>
      </c>
      <c r="R49" s="9" t="n">
        <v>10</v>
      </c>
      <c r="S49" s="11" t="n">
        <f aca="false">IF(AND(ISNUMBER(R49),R49&gt;1,P49&gt;0),R49/P49-1,"")</f>
        <v>-0.220288880677027</v>
      </c>
      <c r="T49" s="9" t="n">
        <f aca="false">IF(AND(ISNUMBER(P49),P49&gt;0),P49*EXP('Read me'!$B$22),"")</f>
        <v>15.6648113370593</v>
      </c>
    </row>
    <row r="50" customFormat="false" ht="15" hidden="false" customHeight="false" outlineLevel="0" collapsed="false">
      <c r="A50" s="14" t="s">
        <v>190</v>
      </c>
      <c r="B50" s="14" t="s">
        <v>63</v>
      </c>
      <c r="C50" s="14" t="s">
        <v>191</v>
      </c>
      <c r="D50" s="14" t="s">
        <v>803</v>
      </c>
      <c r="E50" s="15" t="n">
        <v>6</v>
      </c>
      <c r="F50" s="14" t="s">
        <v>388</v>
      </c>
      <c r="G50" s="8" t="n">
        <v>11</v>
      </c>
      <c r="H50" s="14" t="s">
        <v>812</v>
      </c>
      <c r="I50" s="14" t="s">
        <v>438</v>
      </c>
      <c r="J50" s="14" t="s">
        <v>813</v>
      </c>
      <c r="K50" s="8" t="n">
        <v>7</v>
      </c>
      <c r="L50" s="8" t="n">
        <v>65</v>
      </c>
      <c r="M50" s="8" t="n">
        <v>4</v>
      </c>
      <c r="N50" s="8" t="n">
        <v>26</v>
      </c>
      <c r="O50" s="8" t="n">
        <v>8</v>
      </c>
      <c r="P50" s="9" t="n">
        <v>13.8320002258458</v>
      </c>
      <c r="Q50" s="10" t="n">
        <v>0.0722961237472688</v>
      </c>
      <c r="R50" s="9" t="n">
        <v>9</v>
      </c>
      <c r="S50" s="11" t="n">
        <f aca="false">IF(AND(ISNUMBER(R50),R50&gt;1,P50&gt;0),R50/P50-1,"")</f>
        <v>-0.34933488627458</v>
      </c>
      <c r="T50" s="9" t="n">
        <f aca="false">IF(AND(ISNUMBER(P50),P50&gt;0),P50*EXP('Read me'!$B$22),"")</f>
        <v>16.8944432267202</v>
      </c>
    </row>
    <row r="51" customFormat="false" ht="15" hidden="false" customHeight="false" outlineLevel="0" collapsed="false">
      <c r="A51" s="14" t="s">
        <v>190</v>
      </c>
      <c r="B51" s="14" t="s">
        <v>63</v>
      </c>
      <c r="C51" s="14" t="s">
        <v>191</v>
      </c>
      <c r="D51" s="14" t="s">
        <v>803</v>
      </c>
      <c r="E51" s="15" t="n">
        <v>6</v>
      </c>
      <c r="F51" s="14" t="s">
        <v>388</v>
      </c>
      <c r="G51" s="8" t="n">
        <v>11</v>
      </c>
      <c r="H51" s="14" t="s">
        <v>814</v>
      </c>
      <c r="I51" s="14" t="s">
        <v>90</v>
      </c>
      <c r="J51" s="14" t="s">
        <v>815</v>
      </c>
      <c r="K51" s="8" t="n">
        <v>8</v>
      </c>
      <c r="L51" s="8" t="n">
        <v>62</v>
      </c>
      <c r="M51" s="8" t="n">
        <v>4</v>
      </c>
      <c r="N51" s="8" t="n">
        <v>9</v>
      </c>
      <c r="O51" s="8" t="n">
        <v>9</v>
      </c>
      <c r="P51" s="9" t="n">
        <v>14.1101119738196</v>
      </c>
      <c r="Q51" s="10" t="n">
        <v>0.0708711597650984</v>
      </c>
      <c r="R51" s="9" t="n">
        <v>8.5</v>
      </c>
      <c r="S51" s="11" t="n">
        <f aca="false">IF(AND(ISNUMBER(R51),R51&gt;1,P51&gt;0),R51/P51-1,"")</f>
        <v>-0.397595141996663</v>
      </c>
      <c r="T51" s="9" t="n">
        <f aca="false">IF(AND(ISNUMBER(P51),P51&gt;0),P51*EXP('Read me'!$B$22),"")</f>
        <v>17.2341296827721</v>
      </c>
    </row>
    <row r="52" customFormat="false" ht="15" hidden="false" customHeight="false" outlineLevel="0" collapsed="false">
      <c r="A52" s="14" t="s">
        <v>190</v>
      </c>
      <c r="B52" s="14" t="s">
        <v>63</v>
      </c>
      <c r="C52" s="14" t="s">
        <v>191</v>
      </c>
      <c r="D52" s="14" t="s">
        <v>803</v>
      </c>
      <c r="E52" s="15" t="n">
        <v>6</v>
      </c>
      <c r="F52" s="14" t="s">
        <v>388</v>
      </c>
      <c r="G52" s="8" t="n">
        <v>11</v>
      </c>
      <c r="H52" s="14" t="s">
        <v>816</v>
      </c>
      <c r="I52" s="14" t="s">
        <v>631</v>
      </c>
      <c r="J52" s="14" t="s">
        <v>236</v>
      </c>
      <c r="K52" s="8" t="n">
        <v>3</v>
      </c>
      <c r="L52" s="8" t="n">
        <v>60</v>
      </c>
      <c r="M52" s="8" t="n">
        <v>3</v>
      </c>
      <c r="N52" s="8" t="n">
        <v>18</v>
      </c>
      <c r="O52" s="8" t="n">
        <v>10</v>
      </c>
      <c r="P52" s="9" t="n">
        <v>19.0492459174023</v>
      </c>
      <c r="Q52" s="10" t="n">
        <v>0.0524955163231137</v>
      </c>
      <c r="R52" s="9" t="n">
        <v>23</v>
      </c>
      <c r="S52" s="11" t="n">
        <f aca="false">IF(AND(ISNUMBER(R52),R52&gt;1,P52&gt;0),R52/P52-1,"")</f>
        <v>0.207396875431616</v>
      </c>
      <c r="T52" s="9" t="n">
        <f aca="false">IF(AND(ISNUMBER(P52),P52&gt;0),P52*EXP('Read me'!$B$22),"")</f>
        <v>23.2668015043865</v>
      </c>
    </row>
    <row r="53" customFormat="false" ht="15" hidden="false" customHeight="false" outlineLevel="0" collapsed="false">
      <c r="A53" s="14" t="s">
        <v>190</v>
      </c>
      <c r="B53" s="14" t="s">
        <v>63</v>
      </c>
      <c r="C53" s="14" t="s">
        <v>191</v>
      </c>
      <c r="D53" s="14" t="s">
        <v>803</v>
      </c>
      <c r="E53" s="15" t="n">
        <v>6</v>
      </c>
      <c r="F53" s="14" t="s">
        <v>388</v>
      </c>
      <c r="G53" s="8" t="n">
        <v>11</v>
      </c>
      <c r="H53" s="14" t="s">
        <v>817</v>
      </c>
      <c r="I53" s="14" t="s">
        <v>272</v>
      </c>
      <c r="J53" s="14" t="s">
        <v>818</v>
      </c>
      <c r="K53" s="8" t="n">
        <v>9</v>
      </c>
      <c r="L53" s="8" t="n">
        <v>54</v>
      </c>
      <c r="M53" s="8" t="n">
        <v>3</v>
      </c>
      <c r="N53" s="8" t="n">
        <v>36</v>
      </c>
      <c r="O53" s="8" t="n">
        <v>11</v>
      </c>
      <c r="P53" s="9" t="n">
        <v>50.735511685704</v>
      </c>
      <c r="Q53" s="10" t="n">
        <v>0.0197100604049249</v>
      </c>
      <c r="R53" s="9" t="n">
        <v>21</v>
      </c>
      <c r="S53" s="11" t="n">
        <f aca="false">IF(AND(ISNUMBER(R53),R53&gt;1,P53&gt;0),R53/P53-1,"")</f>
        <v>-0.586088731496576</v>
      </c>
      <c r="T53" s="9" t="n">
        <f aca="false">IF(AND(ISNUMBER(P53),P53&gt;0),P53*EXP('Read me'!$B$22),"")</f>
        <v>61.9684939095864</v>
      </c>
    </row>
    <row r="54" customFormat="false" ht="15" hidden="false" customHeight="false" outlineLevel="0" collapsed="false">
      <c r="A54" s="14" t="s">
        <v>232</v>
      </c>
      <c r="B54" s="14" t="s">
        <v>63</v>
      </c>
      <c r="C54" s="14" t="s">
        <v>233</v>
      </c>
      <c r="D54" s="14" t="s">
        <v>803</v>
      </c>
      <c r="E54" s="15" t="n">
        <v>6</v>
      </c>
      <c r="F54" s="14" t="s">
        <v>388</v>
      </c>
      <c r="G54" s="8" t="n">
        <v>10</v>
      </c>
      <c r="H54" s="14" t="s">
        <v>234</v>
      </c>
      <c r="I54" s="14" t="s">
        <v>235</v>
      </c>
      <c r="J54" s="14" t="s">
        <v>236</v>
      </c>
      <c r="K54" s="8" t="n">
        <v>9</v>
      </c>
      <c r="L54" s="8" t="n">
        <v>62</v>
      </c>
      <c r="M54" s="8" t="n">
        <v>5</v>
      </c>
      <c r="N54" s="8" t="n">
        <v>18</v>
      </c>
      <c r="O54" s="8" t="n">
        <v>1</v>
      </c>
      <c r="P54" s="9" t="n">
        <v>4.51066895635256</v>
      </c>
      <c r="Q54" s="10" t="n">
        <v>0.221696606351849</v>
      </c>
      <c r="R54" s="9" t="n">
        <v>3.5</v>
      </c>
      <c r="S54" s="11" t="n">
        <f aca="false">IF(AND(ISNUMBER(R54),R54&gt;1,P54&gt;0),R54/P54-1,"")</f>
        <v>-0.224061877768527</v>
      </c>
      <c r="T54" s="9" t="n">
        <f aca="false">IF(AND(ISNUMBER(P54),P54&gt;0),P54*EXP('Read me'!$B$22),"")</f>
        <v>5.50934350443647</v>
      </c>
    </row>
    <row r="55" customFormat="false" ht="15" hidden="false" customHeight="false" outlineLevel="0" collapsed="false">
      <c r="A55" s="14" t="s">
        <v>232</v>
      </c>
      <c r="B55" s="14" t="s">
        <v>63</v>
      </c>
      <c r="C55" s="14" t="s">
        <v>233</v>
      </c>
      <c r="D55" s="14" t="s">
        <v>803</v>
      </c>
      <c r="E55" s="15" t="n">
        <v>6</v>
      </c>
      <c r="F55" s="14" t="s">
        <v>388</v>
      </c>
      <c r="G55" s="8" t="n">
        <v>10</v>
      </c>
      <c r="H55" s="14" t="s">
        <v>237</v>
      </c>
      <c r="I55" s="14" t="s">
        <v>126</v>
      </c>
      <c r="J55" s="14" t="s">
        <v>447</v>
      </c>
      <c r="K55" s="8" t="n">
        <v>6</v>
      </c>
      <c r="L55" s="8" t="n">
        <v>65</v>
      </c>
      <c r="M55" s="8" t="n">
        <v>5</v>
      </c>
      <c r="N55" s="8" t="n">
        <v>18</v>
      </c>
      <c r="O55" s="8" t="n">
        <v>2</v>
      </c>
      <c r="P55" s="9" t="n">
        <v>4.88244188774174</v>
      </c>
      <c r="Q55" s="10" t="n">
        <v>0.204815545784719</v>
      </c>
      <c r="R55" s="9" t="n">
        <v>6</v>
      </c>
      <c r="S55" s="11" t="n">
        <f aca="false">IF(AND(ISNUMBER(R55),R55&gt;1,P55&gt;0),R55/P55-1,"")</f>
        <v>0.228893274708315</v>
      </c>
      <c r="T55" s="9" t="n">
        <f aca="false">IF(AND(ISNUMBER(P55),P55&gt;0),P55*EXP('Read me'!$B$22),"")</f>
        <v>5.96342798824451</v>
      </c>
    </row>
    <row r="56" customFormat="false" ht="15" hidden="false" customHeight="false" outlineLevel="0" collapsed="false">
      <c r="A56" s="14" t="s">
        <v>232</v>
      </c>
      <c r="B56" s="14" t="s">
        <v>63</v>
      </c>
      <c r="C56" s="14" t="s">
        <v>233</v>
      </c>
      <c r="D56" s="14" t="s">
        <v>803</v>
      </c>
      <c r="E56" s="15" t="n">
        <v>6</v>
      </c>
      <c r="F56" s="14" t="s">
        <v>388</v>
      </c>
      <c r="G56" s="8" t="n">
        <v>10</v>
      </c>
      <c r="H56" s="14" t="s">
        <v>940</v>
      </c>
      <c r="I56" s="14" t="s">
        <v>690</v>
      </c>
      <c r="J56" s="14" t="s">
        <v>941</v>
      </c>
      <c r="K56" s="8" t="n">
        <v>7</v>
      </c>
      <c r="L56" s="8" t="n">
        <v>57</v>
      </c>
      <c r="M56" s="8" t="n">
        <v>9</v>
      </c>
      <c r="N56" s="8" t="n">
        <v>17</v>
      </c>
      <c r="O56" s="8" t="n">
        <v>3</v>
      </c>
      <c r="P56" s="9" t="n">
        <v>7.91966158408915</v>
      </c>
      <c r="Q56" s="10" t="n">
        <v>0.126268021604488</v>
      </c>
      <c r="R56" s="9" t="n">
        <v>5.5</v>
      </c>
      <c r="S56" s="11" t="n">
        <f aca="false">IF(AND(ISNUMBER(R56),R56&gt;1,P56&gt;0),R56/P56-1,"")</f>
        <v>-0.305525881175318</v>
      </c>
      <c r="T56" s="9" t="n">
        <f aca="false">IF(AND(ISNUMBER(P56),P56&gt;0),P56*EXP('Read me'!$B$22),"")</f>
        <v>9.67309650250163</v>
      </c>
    </row>
    <row r="57" customFormat="false" ht="15" hidden="false" customHeight="false" outlineLevel="0" collapsed="false">
      <c r="A57" s="14" t="s">
        <v>232</v>
      </c>
      <c r="B57" s="14" t="s">
        <v>63</v>
      </c>
      <c r="C57" s="14" t="s">
        <v>233</v>
      </c>
      <c r="D57" s="14" t="s">
        <v>803</v>
      </c>
      <c r="E57" s="15" t="n">
        <v>6</v>
      </c>
      <c r="F57" s="14" t="s">
        <v>388</v>
      </c>
      <c r="G57" s="8" t="n">
        <v>10</v>
      </c>
      <c r="H57" s="14" t="s">
        <v>942</v>
      </c>
      <c r="I57" s="14" t="s">
        <v>438</v>
      </c>
      <c r="J57" s="14" t="s">
        <v>805</v>
      </c>
      <c r="K57" s="8" t="n">
        <v>4</v>
      </c>
      <c r="L57" s="8" t="n">
        <v>65</v>
      </c>
      <c r="M57" s="8" t="n">
        <v>3</v>
      </c>
      <c r="N57" s="8" t="n">
        <v>35</v>
      </c>
      <c r="O57" s="8" t="n">
        <v>4</v>
      </c>
      <c r="P57" s="9" t="n">
        <v>9.44660336051542</v>
      </c>
      <c r="Q57" s="10" t="n">
        <v>0.10585815470773</v>
      </c>
      <c r="R57" s="9" t="n">
        <v>10</v>
      </c>
      <c r="S57" s="11" t="n">
        <f aca="false">IF(AND(ISNUMBER(R57),R57&gt;1,P57&gt;0),R57/P57-1,"")</f>
        <v>0.0585815470772959</v>
      </c>
      <c r="T57" s="9" t="n">
        <f aca="false">IF(AND(ISNUMBER(P57),P57&gt;0),P57*EXP('Read me'!$B$22),"")</f>
        <v>11.5381073997787</v>
      </c>
    </row>
    <row r="58" customFormat="false" ht="15" hidden="false" customHeight="false" outlineLevel="0" collapsed="false">
      <c r="A58" s="14" t="s">
        <v>232</v>
      </c>
      <c r="B58" s="14" t="s">
        <v>63</v>
      </c>
      <c r="C58" s="14" t="s">
        <v>233</v>
      </c>
      <c r="D58" s="14" t="s">
        <v>803</v>
      </c>
      <c r="E58" s="15" t="n">
        <v>6</v>
      </c>
      <c r="F58" s="14" t="s">
        <v>388</v>
      </c>
      <c r="G58" s="8" t="n">
        <v>10</v>
      </c>
      <c r="H58" s="14" t="s">
        <v>943</v>
      </c>
      <c r="I58" s="14" t="s">
        <v>90</v>
      </c>
      <c r="J58" s="14" t="s">
        <v>944</v>
      </c>
      <c r="K58" s="8" t="n">
        <v>10</v>
      </c>
      <c r="L58" s="8" t="n">
        <v>54</v>
      </c>
      <c r="M58" s="8" t="n">
        <v>3</v>
      </c>
      <c r="N58" s="8" t="n">
        <v>12</v>
      </c>
      <c r="O58" s="8" t="n">
        <v>5</v>
      </c>
      <c r="P58" s="9" t="n">
        <v>11.3893698776608</v>
      </c>
      <c r="Q58" s="10" t="n">
        <v>0.0878011699278826</v>
      </c>
      <c r="R58" s="9" t="n">
        <v>9</v>
      </c>
      <c r="S58" s="11" t="n">
        <f aca="false">IF(AND(ISNUMBER(R58),R58&gt;1,P58&gt;0),R58/P58-1,"")</f>
        <v>-0.209789470649056</v>
      </c>
      <c r="T58" s="9" t="n">
        <f aca="false">IF(AND(ISNUMBER(P58),P58&gt;0),P58*EXP('Read me'!$B$22),"")</f>
        <v>13.9110077822812</v>
      </c>
    </row>
    <row r="59" customFormat="false" ht="15" hidden="false" customHeight="false" outlineLevel="0" collapsed="false">
      <c r="A59" s="14" t="s">
        <v>232</v>
      </c>
      <c r="B59" s="14" t="s">
        <v>63</v>
      </c>
      <c r="C59" s="14" t="s">
        <v>233</v>
      </c>
      <c r="D59" s="14" t="s">
        <v>803</v>
      </c>
      <c r="E59" s="15" t="n">
        <v>6</v>
      </c>
      <c r="F59" s="14" t="s">
        <v>388</v>
      </c>
      <c r="G59" s="8" t="n">
        <v>10</v>
      </c>
      <c r="H59" s="14" t="s">
        <v>945</v>
      </c>
      <c r="I59" s="14" t="s">
        <v>300</v>
      </c>
      <c r="J59" s="14" t="s">
        <v>615</v>
      </c>
      <c r="K59" s="8" t="n">
        <v>3</v>
      </c>
      <c r="L59" s="8" t="n">
        <v>59</v>
      </c>
      <c r="M59" s="8" t="n">
        <v>5</v>
      </c>
      <c r="N59" s="8" t="n">
        <v>18</v>
      </c>
      <c r="O59" s="8" t="n">
        <v>6</v>
      </c>
      <c r="P59" s="9" t="n">
        <v>17.2778796389886</v>
      </c>
      <c r="Q59" s="10" t="n">
        <v>0.0578774722879442</v>
      </c>
      <c r="R59" s="9" t="n">
        <v>8.5</v>
      </c>
      <c r="S59" s="11" t="n">
        <f aca="false">IF(AND(ISNUMBER(R59),R59&gt;1,P59&gt;0),R59/P59-1,"")</f>
        <v>-0.508041485552474</v>
      </c>
      <c r="T59" s="9" t="n">
        <f aca="false">IF(AND(ISNUMBER(P59),P59&gt;0),P59*EXP('Read me'!$B$22),"")</f>
        <v>21.1032498462201</v>
      </c>
    </row>
    <row r="60" customFormat="false" ht="15" hidden="false" customHeight="false" outlineLevel="0" collapsed="false">
      <c r="A60" s="14" t="s">
        <v>232</v>
      </c>
      <c r="B60" s="14" t="s">
        <v>63</v>
      </c>
      <c r="C60" s="14" t="s">
        <v>233</v>
      </c>
      <c r="D60" s="14" t="s">
        <v>803</v>
      </c>
      <c r="E60" s="15" t="n">
        <v>6</v>
      </c>
      <c r="F60" s="14" t="s">
        <v>388</v>
      </c>
      <c r="G60" s="8" t="n">
        <v>10</v>
      </c>
      <c r="H60" s="14" t="s">
        <v>946</v>
      </c>
      <c r="I60" s="14" t="s">
        <v>631</v>
      </c>
      <c r="J60" s="14" t="s">
        <v>236</v>
      </c>
      <c r="K60" s="8" t="n">
        <v>5</v>
      </c>
      <c r="L60" s="8" t="n">
        <v>60</v>
      </c>
      <c r="M60" s="8" t="n">
        <v>7</v>
      </c>
      <c r="N60" s="8" t="n">
        <v>18</v>
      </c>
      <c r="O60" s="8" t="n">
        <v>7</v>
      </c>
      <c r="P60" s="9" t="n">
        <v>17.8055608414118</v>
      </c>
      <c r="Q60" s="10" t="n">
        <v>0.0561622298172278</v>
      </c>
      <c r="R60" s="9" t="n">
        <v>17</v>
      </c>
      <c r="S60" s="11" t="n">
        <f aca="false">IF(AND(ISNUMBER(R60),R60&gt;1,P60&gt;0),R60/P60-1,"")</f>
        <v>-0.0452420931071262</v>
      </c>
      <c r="T60" s="9" t="n">
        <f aca="false">IF(AND(ISNUMBER(P60),P60&gt;0),P60*EXP('Read me'!$B$22),"")</f>
        <v>21.747761122289</v>
      </c>
    </row>
    <row r="61" customFormat="false" ht="15" hidden="false" customHeight="false" outlineLevel="0" collapsed="false">
      <c r="A61" s="14" t="s">
        <v>232</v>
      </c>
      <c r="B61" s="14" t="s">
        <v>63</v>
      </c>
      <c r="C61" s="14" t="s">
        <v>233</v>
      </c>
      <c r="D61" s="14" t="s">
        <v>803</v>
      </c>
      <c r="E61" s="15" t="n">
        <v>6</v>
      </c>
      <c r="F61" s="14" t="s">
        <v>388</v>
      </c>
      <c r="G61" s="8" t="n">
        <v>10</v>
      </c>
      <c r="H61" s="14" t="s">
        <v>947</v>
      </c>
      <c r="I61" s="14" t="s">
        <v>441</v>
      </c>
      <c r="J61" s="14" t="s">
        <v>948</v>
      </c>
      <c r="K61" s="8" t="n">
        <v>1</v>
      </c>
      <c r="L61" s="8" t="n">
        <v>58</v>
      </c>
      <c r="M61" s="8" t="n">
        <v>3</v>
      </c>
      <c r="N61" s="8" t="n">
        <v>9</v>
      </c>
      <c r="O61" s="8" t="n">
        <v>8</v>
      </c>
      <c r="P61" s="9" t="n">
        <v>18.1802916548631</v>
      </c>
      <c r="Q61" s="10" t="n">
        <v>0.0550046181317727</v>
      </c>
      <c r="R61" s="9" t="n">
        <v>19</v>
      </c>
      <c r="S61" s="11" t="n">
        <f aca="false">IF(AND(ISNUMBER(R61),R61&gt;1,P61&gt;0),R61/P61-1,"")</f>
        <v>0.0450877445036819</v>
      </c>
      <c r="T61" s="9" t="n">
        <f aca="false">IF(AND(ISNUMBER(P61),P61&gt;0),P61*EXP('Read me'!$B$22),"")</f>
        <v>22.2054583714061</v>
      </c>
    </row>
    <row r="62" customFormat="false" ht="15" hidden="false" customHeight="false" outlineLevel="0" collapsed="false">
      <c r="A62" s="14" t="s">
        <v>232</v>
      </c>
      <c r="B62" s="14" t="s">
        <v>63</v>
      </c>
      <c r="C62" s="14" t="s">
        <v>233</v>
      </c>
      <c r="D62" s="14" t="s">
        <v>803</v>
      </c>
      <c r="E62" s="15" t="n">
        <v>6</v>
      </c>
      <c r="F62" s="14" t="s">
        <v>388</v>
      </c>
      <c r="G62" s="8" t="n">
        <v>10</v>
      </c>
      <c r="H62" s="14" t="s">
        <v>949</v>
      </c>
      <c r="I62" s="14" t="s">
        <v>272</v>
      </c>
      <c r="J62" s="14" t="s">
        <v>950</v>
      </c>
      <c r="K62" s="8" t="n">
        <v>8</v>
      </c>
      <c r="L62" s="8" t="n">
        <v>52</v>
      </c>
      <c r="M62" s="8" t="n">
        <v>4</v>
      </c>
      <c r="N62" s="8" t="n">
        <v>11</v>
      </c>
      <c r="O62" s="8" t="n">
        <v>9</v>
      </c>
      <c r="P62" s="9" t="n">
        <v>20.8921178958789</v>
      </c>
      <c r="Q62" s="10" t="n">
        <v>0.0478649414570486</v>
      </c>
      <c r="R62" s="9" t="n">
        <v>17</v>
      </c>
      <c r="S62" s="11" t="n">
        <f aca="false">IF(AND(ISNUMBER(R62),R62&gt;1,P62&gt;0),R62/P62-1,"")</f>
        <v>-0.186295995230174</v>
      </c>
      <c r="T62" s="9" t="n">
        <f aca="false">IF(AND(ISNUMBER(P62),P62&gt;0),P62*EXP('Read me'!$B$22),"")</f>
        <v>25.5176904218339</v>
      </c>
    </row>
    <row r="63" customFormat="false" ht="15" hidden="false" customHeight="false" outlineLevel="0" collapsed="false">
      <c r="A63" s="14" t="s">
        <v>232</v>
      </c>
      <c r="B63" s="14" t="s">
        <v>63</v>
      </c>
      <c r="C63" s="14" t="s">
        <v>233</v>
      </c>
      <c r="D63" s="14" t="s">
        <v>803</v>
      </c>
      <c r="E63" s="15" t="n">
        <v>6</v>
      </c>
      <c r="F63" s="14" t="s">
        <v>388</v>
      </c>
      <c r="G63" s="8" t="n">
        <v>10</v>
      </c>
      <c r="H63" s="14" t="s">
        <v>951</v>
      </c>
      <c r="I63" s="14" t="s">
        <v>66</v>
      </c>
      <c r="J63" s="14" t="s">
        <v>952</v>
      </c>
      <c r="K63" s="8" t="n">
        <v>2</v>
      </c>
      <c r="L63" s="8" t="n">
        <v>61</v>
      </c>
      <c r="M63" s="8" t="n">
        <v>3</v>
      </c>
      <c r="N63" s="8" t="n">
        <v>74</v>
      </c>
      <c r="O63" s="8" t="n">
        <v>10</v>
      </c>
      <c r="P63" s="9" t="n">
        <v>27.2842065351119</v>
      </c>
      <c r="Q63" s="10" t="n">
        <v>0.036651239929338</v>
      </c>
      <c r="R63" s="9" t="n">
        <v>34</v>
      </c>
      <c r="S63" s="11" t="n">
        <f aca="false">IF(AND(ISNUMBER(R63),R63&gt;1,P63&gt;0),R63/P63-1,"")</f>
        <v>0.246142157597494</v>
      </c>
      <c r="T63" s="9" t="n">
        <f aca="false">IF(AND(ISNUMBER(P63),P63&gt;0),P63*EXP('Read me'!$B$22),"")</f>
        <v>33.3250051161974</v>
      </c>
    </row>
    <row r="64" customFormat="false" ht="15" hidden="false" customHeight="false" outlineLevel="0" collapsed="false">
      <c r="A64" s="14" t="s">
        <v>269</v>
      </c>
      <c r="B64" s="14" t="s">
        <v>63</v>
      </c>
      <c r="C64" s="14" t="s">
        <v>270</v>
      </c>
      <c r="D64" s="14" t="s">
        <v>570</v>
      </c>
      <c r="E64" s="15" t="n">
        <v>12</v>
      </c>
      <c r="F64" s="14" t="s">
        <v>388</v>
      </c>
      <c r="G64" s="8" t="n">
        <v>10</v>
      </c>
      <c r="H64" s="14" t="s">
        <v>271</v>
      </c>
      <c r="I64" s="14" t="s">
        <v>272</v>
      </c>
      <c r="J64" s="14" t="s">
        <v>273</v>
      </c>
      <c r="K64" s="8" t="n">
        <v>1</v>
      </c>
      <c r="L64" s="8" t="n">
        <v>79</v>
      </c>
      <c r="M64" s="8" t="n">
        <v>3</v>
      </c>
      <c r="N64" s="8" t="n">
        <v>23</v>
      </c>
      <c r="O64" s="8" t="n">
        <v>1</v>
      </c>
      <c r="P64" s="9" t="n">
        <v>2.71392874178648</v>
      </c>
      <c r="Q64" s="10" t="n">
        <v>0.368469512335735</v>
      </c>
      <c r="R64" s="9" t="n">
        <v>3</v>
      </c>
      <c r="S64" s="11" t="n">
        <f aca="false">IF(AND(ISNUMBER(R64),R64&gt;1,P64&gt;0),R64/P64-1,"")</f>
        <v>0.105408537007206</v>
      </c>
      <c r="T64" s="9" t="n">
        <f aca="false">IF(AND(ISNUMBER(P64),P64&gt;0),P64*EXP('Read me'!$B$22),"")</f>
        <v>3.31480005066816</v>
      </c>
    </row>
    <row r="65" customFormat="false" ht="15" hidden="false" customHeight="false" outlineLevel="0" collapsed="false">
      <c r="A65" s="14" t="s">
        <v>269</v>
      </c>
      <c r="B65" s="14" t="s">
        <v>63</v>
      </c>
      <c r="C65" s="14" t="s">
        <v>270</v>
      </c>
      <c r="D65" s="14" t="s">
        <v>570</v>
      </c>
      <c r="E65" s="15" t="n">
        <v>12</v>
      </c>
      <c r="F65" s="14" t="s">
        <v>388</v>
      </c>
      <c r="G65" s="8" t="n">
        <v>10</v>
      </c>
      <c r="H65" s="14" t="s">
        <v>274</v>
      </c>
      <c r="I65" s="14" t="s">
        <v>90</v>
      </c>
      <c r="J65" s="14" t="s">
        <v>91</v>
      </c>
      <c r="K65" s="8" t="n">
        <v>2</v>
      </c>
      <c r="L65" s="8" t="n">
        <v>77</v>
      </c>
      <c r="M65" s="8" t="n">
        <v>3</v>
      </c>
      <c r="N65" s="8" t="n">
        <v>51</v>
      </c>
      <c r="O65" s="8" t="n">
        <v>2</v>
      </c>
      <c r="P65" s="9" t="n">
        <v>3.26090078112105</v>
      </c>
      <c r="Q65" s="10" t="n">
        <v>0.306663731012452</v>
      </c>
      <c r="R65" s="9" t="n">
        <v>2.5</v>
      </c>
      <c r="S65" s="11" t="n">
        <f aca="false">IF(AND(ISNUMBER(R65),R65&gt;1,P65&gt;0),R65/P65-1,"")</f>
        <v>-0.23334067246887</v>
      </c>
      <c r="T65" s="9" t="n">
        <f aca="false">IF(AND(ISNUMBER(P65),P65&gt;0),P65*EXP('Read me'!$B$22),"")</f>
        <v>3.9828732081479</v>
      </c>
    </row>
    <row r="66" customFormat="false" ht="15" hidden="false" customHeight="false" outlineLevel="0" collapsed="false">
      <c r="A66" s="14" t="s">
        <v>269</v>
      </c>
      <c r="B66" s="14" t="s">
        <v>63</v>
      </c>
      <c r="C66" s="14" t="s">
        <v>270</v>
      </c>
      <c r="D66" s="14" t="s">
        <v>570</v>
      </c>
      <c r="E66" s="15" t="n">
        <v>12</v>
      </c>
      <c r="F66" s="14" t="s">
        <v>388</v>
      </c>
      <c r="G66" s="8" t="n">
        <v>10</v>
      </c>
      <c r="H66" s="14" t="s">
        <v>1065</v>
      </c>
      <c r="I66" s="14" t="s">
        <v>300</v>
      </c>
      <c r="J66" s="14" t="s">
        <v>463</v>
      </c>
      <c r="K66" s="8" t="n">
        <v>4</v>
      </c>
      <c r="L66" s="8" t="n">
        <v>0</v>
      </c>
      <c r="M66" s="8" t="n">
        <v>3</v>
      </c>
      <c r="N66" s="8" t="n">
        <v>17</v>
      </c>
      <c r="O66" s="8" t="n">
        <v>3</v>
      </c>
      <c r="P66" s="9" t="n">
        <v>6.28530088465923</v>
      </c>
      <c r="Q66" s="10" t="n">
        <v>0.159101372925636</v>
      </c>
      <c r="R66" s="9" t="n">
        <v>4.5</v>
      </c>
      <c r="S66" s="11" t="n">
        <f aca="false">IF(AND(ISNUMBER(R66),R66&gt;1,P66&gt;0),R66/P66-1,"")</f>
        <v>-0.284043821834636</v>
      </c>
      <c r="T66" s="9" t="n">
        <f aca="false">IF(AND(ISNUMBER(P66),P66&gt;0),P66*EXP('Read me'!$B$22),"")</f>
        <v>7.67688383638934</v>
      </c>
    </row>
    <row r="67" customFormat="false" ht="15" hidden="false" customHeight="false" outlineLevel="0" collapsed="false">
      <c r="A67" s="14" t="s">
        <v>269</v>
      </c>
      <c r="B67" s="14" t="s">
        <v>63</v>
      </c>
      <c r="C67" s="14" t="s">
        <v>270</v>
      </c>
      <c r="D67" s="14" t="s">
        <v>570</v>
      </c>
      <c r="E67" s="15" t="n">
        <v>12</v>
      </c>
      <c r="F67" s="14" t="s">
        <v>388</v>
      </c>
      <c r="G67" s="8" t="n">
        <v>10</v>
      </c>
      <c r="H67" s="14" t="s">
        <v>1066</v>
      </c>
      <c r="I67" s="14" t="s">
        <v>1067</v>
      </c>
      <c r="J67" s="14" t="s">
        <v>1068</v>
      </c>
      <c r="K67" s="8" t="n">
        <v>8</v>
      </c>
      <c r="L67" s="8" t="n">
        <v>74</v>
      </c>
      <c r="M67" s="8" t="n">
        <v>3</v>
      </c>
      <c r="N67" s="8" t="n">
        <v>30</v>
      </c>
      <c r="O67" s="8" t="n">
        <v>4</v>
      </c>
      <c r="P67" s="9" t="n">
        <v>14.5496943753231</v>
      </c>
      <c r="Q67" s="10" t="n">
        <v>0.0687299660188082</v>
      </c>
      <c r="R67" s="9" t="n">
        <v>13</v>
      </c>
      <c r="S67" s="11" t="n">
        <f aca="false">IF(AND(ISNUMBER(R67),R67&gt;1,P67&gt;0),R67/P67-1,"")</f>
        <v>-0.106510441755493</v>
      </c>
      <c r="T67" s="9" t="n">
        <f aca="false">IF(AND(ISNUMBER(P67),P67&gt;0),P67*EXP('Read me'!$B$22),"")</f>
        <v>17.7710368404071</v>
      </c>
    </row>
    <row r="68" customFormat="false" ht="15" hidden="false" customHeight="false" outlineLevel="0" collapsed="false">
      <c r="A68" s="14" t="s">
        <v>269</v>
      </c>
      <c r="B68" s="14" t="s">
        <v>63</v>
      </c>
      <c r="C68" s="14" t="s">
        <v>270</v>
      </c>
      <c r="D68" s="14" t="s">
        <v>570</v>
      </c>
      <c r="E68" s="15" t="n">
        <v>12</v>
      </c>
      <c r="F68" s="14" t="s">
        <v>388</v>
      </c>
      <c r="G68" s="8" t="n">
        <v>10</v>
      </c>
      <c r="H68" s="14" t="s">
        <v>1069</v>
      </c>
      <c r="I68" s="14" t="s">
        <v>66</v>
      </c>
      <c r="J68" s="14" t="s">
        <v>760</v>
      </c>
      <c r="K68" s="8" t="n">
        <v>10</v>
      </c>
      <c r="L68" s="8" t="n">
        <v>0</v>
      </c>
      <c r="M68" s="8" t="n">
        <v>3</v>
      </c>
      <c r="N68" s="8" t="n">
        <v>17</v>
      </c>
      <c r="O68" s="8" t="n">
        <v>5</v>
      </c>
      <c r="P68" s="9" t="n">
        <v>28.6495786819836</v>
      </c>
      <c r="Q68" s="10" t="n">
        <v>0.0349045272567604</v>
      </c>
      <c r="R68" s="9" t="n">
        <v>34</v>
      </c>
      <c r="S68" s="11" t="n">
        <f aca="false">IF(AND(ISNUMBER(R68),R68&gt;1,P68&gt;0),R68/P68-1,"")</f>
        <v>0.186753926729856</v>
      </c>
      <c r="T68" s="9" t="n">
        <f aca="false">IF(AND(ISNUMBER(P68),P68&gt;0),P68*EXP('Read me'!$B$22),"")</f>
        <v>34.9926744223016</v>
      </c>
    </row>
    <row r="69" customFormat="false" ht="15" hidden="false" customHeight="false" outlineLevel="0" collapsed="false">
      <c r="A69" s="14" t="s">
        <v>269</v>
      </c>
      <c r="B69" s="14" t="s">
        <v>63</v>
      </c>
      <c r="C69" s="14" t="s">
        <v>270</v>
      </c>
      <c r="D69" s="14" t="s">
        <v>570</v>
      </c>
      <c r="E69" s="15" t="n">
        <v>12</v>
      </c>
      <c r="F69" s="14" t="s">
        <v>388</v>
      </c>
      <c r="G69" s="8" t="n">
        <v>10</v>
      </c>
      <c r="H69" s="14" t="s">
        <v>1070</v>
      </c>
      <c r="I69" s="14" t="s">
        <v>455</v>
      </c>
      <c r="J69" s="14" t="s">
        <v>379</v>
      </c>
      <c r="K69" s="8" t="n">
        <v>3</v>
      </c>
      <c r="L69" s="8" t="n">
        <v>0</v>
      </c>
      <c r="M69" s="8" t="n">
        <v>3</v>
      </c>
      <c r="N69" s="8" t="n">
        <v>324</v>
      </c>
      <c r="O69" s="8" t="n">
        <v>6</v>
      </c>
      <c r="P69" s="9" t="n">
        <v>48.9167569602325</v>
      </c>
      <c r="Q69" s="10" t="n">
        <v>0.0204428924185011</v>
      </c>
      <c r="R69" s="9" t="n">
        <v>17</v>
      </c>
      <c r="S69" s="11" t="n">
        <f aca="false">IF(AND(ISNUMBER(R69),R69&gt;1,P69&gt;0),R69/P69-1,"")</f>
        <v>-0.652470828885481</v>
      </c>
      <c r="T69" s="9" t="n">
        <f aca="false">IF(AND(ISNUMBER(P69),P69&gt;0),P69*EXP('Read me'!$B$22),"")</f>
        <v>59.7470618714787</v>
      </c>
    </row>
    <row r="70" customFormat="false" ht="15" hidden="false" customHeight="false" outlineLevel="0" collapsed="false">
      <c r="A70" s="14" t="s">
        <v>269</v>
      </c>
      <c r="B70" s="14" t="s">
        <v>63</v>
      </c>
      <c r="C70" s="14" t="s">
        <v>270</v>
      </c>
      <c r="D70" s="14" t="s">
        <v>570</v>
      </c>
      <c r="E70" s="15" t="n">
        <v>12</v>
      </c>
      <c r="F70" s="14" t="s">
        <v>388</v>
      </c>
      <c r="G70" s="8" t="n">
        <v>10</v>
      </c>
      <c r="H70" s="14" t="s">
        <v>1071</v>
      </c>
      <c r="I70" s="14" t="s">
        <v>444</v>
      </c>
      <c r="J70" s="14" t="s">
        <v>697</v>
      </c>
      <c r="K70" s="8" t="n">
        <v>9</v>
      </c>
      <c r="L70" s="8" t="n">
        <v>0</v>
      </c>
      <c r="M70" s="8" t="n">
        <v>3</v>
      </c>
      <c r="N70" s="8"/>
      <c r="O70" s="8" t="n">
        <v>7</v>
      </c>
      <c r="P70" s="9" t="n">
        <v>51.4379623837687</v>
      </c>
      <c r="Q70" s="10" t="n">
        <v>0.0194408945000424</v>
      </c>
      <c r="R70" s="9" t="n">
        <v>67</v>
      </c>
      <c r="S70" s="11" t="n">
        <f aca="false">IF(AND(ISNUMBER(R70),R70&gt;1,P70&gt;0),R70/P70-1,"")</f>
        <v>0.302539931502845</v>
      </c>
      <c r="T70" s="9" t="n">
        <f aca="false">IF(AND(ISNUMBER(P70),P70&gt;0),P70*EXP('Read me'!$B$22),"")</f>
        <v>62.8264691296742</v>
      </c>
    </row>
    <row r="71" customFormat="false" ht="15" hidden="false" customHeight="false" outlineLevel="0" collapsed="false">
      <c r="A71" s="14" t="s">
        <v>269</v>
      </c>
      <c r="B71" s="14" t="s">
        <v>63</v>
      </c>
      <c r="C71" s="14" t="s">
        <v>270</v>
      </c>
      <c r="D71" s="14" t="s">
        <v>570</v>
      </c>
      <c r="E71" s="15" t="n">
        <v>12</v>
      </c>
      <c r="F71" s="14" t="s">
        <v>388</v>
      </c>
      <c r="G71" s="8" t="n">
        <v>10</v>
      </c>
      <c r="H71" s="14" t="s">
        <v>1072</v>
      </c>
      <c r="I71" s="14" t="s">
        <v>1073</v>
      </c>
      <c r="J71" s="14" t="s">
        <v>1074</v>
      </c>
      <c r="K71" s="8" t="n">
        <v>5</v>
      </c>
      <c r="L71" s="8" t="n">
        <v>0</v>
      </c>
      <c r="M71" s="8" t="n">
        <v>6</v>
      </c>
      <c r="N71" s="8" t="n">
        <v>17</v>
      </c>
      <c r="O71" s="8" t="n">
        <v>8</v>
      </c>
      <c r="P71" s="9" t="n">
        <v>91.6311392934962</v>
      </c>
      <c r="Q71" s="10" t="n">
        <v>0.0109133205994196</v>
      </c>
      <c r="R71" s="9" t="n">
        <v>17</v>
      </c>
      <c r="S71" s="11" t="n">
        <f aca="false">IF(AND(ISNUMBER(R71),R71&gt;1,P71&gt;0),R71/P71-1,"")</f>
        <v>-0.814473549809867</v>
      </c>
      <c r="T71" s="9" t="n">
        <f aca="false">IF(AND(ISNUMBER(P71),P71&gt;0),P71*EXP('Read me'!$B$22),"")</f>
        <v>111.918526266435</v>
      </c>
    </row>
    <row r="72" customFormat="false" ht="15" hidden="false" customHeight="false" outlineLevel="0" collapsed="false">
      <c r="A72" s="14" t="s">
        <v>269</v>
      </c>
      <c r="B72" s="14" t="s">
        <v>63</v>
      </c>
      <c r="C72" s="14" t="s">
        <v>270</v>
      </c>
      <c r="D72" s="14" t="s">
        <v>570</v>
      </c>
      <c r="E72" s="15" t="n">
        <v>12</v>
      </c>
      <c r="F72" s="14" t="s">
        <v>388</v>
      </c>
      <c r="G72" s="8" t="n">
        <v>10</v>
      </c>
      <c r="H72" s="14" t="s">
        <v>1075</v>
      </c>
      <c r="I72" s="14" t="s">
        <v>503</v>
      </c>
      <c r="J72" s="14" t="s">
        <v>463</v>
      </c>
      <c r="K72" s="8" t="n">
        <v>7</v>
      </c>
      <c r="L72" s="8" t="n">
        <v>0</v>
      </c>
      <c r="M72" s="8" t="n">
        <v>3</v>
      </c>
      <c r="N72" s="8" t="n">
        <v>32</v>
      </c>
      <c r="O72" s="8" t="n">
        <v>9</v>
      </c>
      <c r="P72" s="9" t="n">
        <v>95.36287626399</v>
      </c>
      <c r="Q72" s="10" t="n">
        <v>0.0104862608928838</v>
      </c>
      <c r="R72" s="9" t="n">
        <v>51</v>
      </c>
      <c r="S72" s="11" t="n">
        <f aca="false">IF(AND(ISNUMBER(R72),R72&gt;1,P72&gt;0),R72/P72-1,"")</f>
        <v>-0.465200694462923</v>
      </c>
      <c r="T72" s="9" t="n">
        <f aca="false">IF(AND(ISNUMBER(P72),P72&gt;0),P72*EXP('Read me'!$B$22),"")</f>
        <v>116.476480094924</v>
      </c>
    </row>
    <row r="73" customFormat="false" ht="15" hidden="false" customHeight="false" outlineLevel="0" collapsed="false">
      <c r="A73" s="14" t="s">
        <v>269</v>
      </c>
      <c r="B73" s="14" t="s">
        <v>63</v>
      </c>
      <c r="C73" s="14" t="s">
        <v>270</v>
      </c>
      <c r="D73" s="14" t="s">
        <v>570</v>
      </c>
      <c r="E73" s="15" t="n">
        <v>12</v>
      </c>
      <c r="F73" s="14" t="s">
        <v>388</v>
      </c>
      <c r="G73" s="8" t="n">
        <v>10</v>
      </c>
      <c r="H73" s="14" t="s">
        <v>1076</v>
      </c>
      <c r="I73" s="14" t="s">
        <v>623</v>
      </c>
      <c r="J73" s="14" t="s">
        <v>1077</v>
      </c>
      <c r="K73" s="8" t="n">
        <v>6</v>
      </c>
      <c r="L73" s="8" t="n">
        <v>0</v>
      </c>
      <c r="M73" s="8" t="n">
        <v>3</v>
      </c>
      <c r="N73" s="8" t="n">
        <v>23</v>
      </c>
      <c r="O73" s="8" t="n">
        <v>10</v>
      </c>
      <c r="P73" s="9" t="n">
        <v>1179.91031865367</v>
      </c>
      <c r="Q73" s="10" t="n">
        <v>0.0008475220397606</v>
      </c>
      <c r="R73" s="9" t="n">
        <v>251</v>
      </c>
      <c r="S73" s="11" t="n">
        <f aca="false">IF(AND(ISNUMBER(R73),R73&gt;1,P73&gt;0),R73/P73-1,"")</f>
        <v>-0.787271968020077</v>
      </c>
      <c r="T73" s="9" t="n">
        <f aca="false">IF(AND(ISNUMBER(P73),P73&gt;0),P73*EXP('Read me'!$B$22),"")</f>
        <v>1441.14571758524</v>
      </c>
    </row>
    <row r="74" customFormat="false" ht="15" hidden="false" customHeight="false" outlineLevel="0" collapsed="false">
      <c r="A74" s="14" t="s">
        <v>297</v>
      </c>
      <c r="B74" s="14" t="s">
        <v>63</v>
      </c>
      <c r="C74" s="14" t="s">
        <v>298</v>
      </c>
      <c r="D74" s="14" t="s">
        <v>436</v>
      </c>
      <c r="E74" s="15" t="n">
        <v>16</v>
      </c>
      <c r="F74" s="14" t="s">
        <v>388</v>
      </c>
      <c r="G74" s="8" t="n">
        <v>5</v>
      </c>
      <c r="H74" s="14" t="s">
        <v>299</v>
      </c>
      <c r="I74" s="14" t="s">
        <v>300</v>
      </c>
      <c r="J74" s="14" t="s">
        <v>301</v>
      </c>
      <c r="K74" s="8" t="n">
        <v>5</v>
      </c>
      <c r="L74" s="8" t="n">
        <v>79</v>
      </c>
      <c r="M74" s="8" t="n">
        <v>4</v>
      </c>
      <c r="N74" s="8" t="n">
        <v>46</v>
      </c>
      <c r="O74" s="8" t="n">
        <v>1</v>
      </c>
      <c r="P74" s="9" t="n">
        <v>2.75538507394132</v>
      </c>
      <c r="Q74" s="10" t="n">
        <v>0.362925679411333</v>
      </c>
      <c r="R74" s="9" t="n">
        <v>2.625</v>
      </c>
      <c r="S74" s="11" t="n">
        <f aca="false">IF(AND(ISNUMBER(R74),R74&gt;1,P74&gt;0),R74/P74-1,"")</f>
        <v>-0.0473200915452497</v>
      </c>
      <c r="T74" s="9" t="n">
        <f aca="false">IF(AND(ISNUMBER(P74),P74&gt;0),P74*EXP('Read me'!$B$22),"")</f>
        <v>3.36543492910529</v>
      </c>
    </row>
    <row r="75" customFormat="false" ht="15" hidden="false" customHeight="false" outlineLevel="0" collapsed="false">
      <c r="A75" s="14" t="s">
        <v>297</v>
      </c>
      <c r="B75" s="14" t="s">
        <v>63</v>
      </c>
      <c r="C75" s="14" t="s">
        <v>298</v>
      </c>
      <c r="D75" s="14" t="s">
        <v>436</v>
      </c>
      <c r="E75" s="15" t="n">
        <v>16</v>
      </c>
      <c r="F75" s="14" t="s">
        <v>388</v>
      </c>
      <c r="G75" s="8" t="n">
        <v>5</v>
      </c>
      <c r="H75" s="14" t="s">
        <v>302</v>
      </c>
      <c r="I75" s="14" t="s">
        <v>235</v>
      </c>
      <c r="J75" s="14" t="s">
        <v>236</v>
      </c>
      <c r="K75" s="8" t="n">
        <v>4</v>
      </c>
      <c r="L75" s="8" t="n">
        <v>71</v>
      </c>
      <c r="M75" s="8" t="n">
        <v>7</v>
      </c>
      <c r="N75" s="8" t="n">
        <v>7</v>
      </c>
      <c r="O75" s="8" t="n">
        <v>2</v>
      </c>
      <c r="P75" s="9" t="n">
        <v>3.56348517877959</v>
      </c>
      <c r="Q75" s="10" t="n">
        <v>0.280624150187283</v>
      </c>
      <c r="R75" s="9" t="n">
        <v>4</v>
      </c>
      <c r="S75" s="11" t="n">
        <f aca="false">IF(AND(ISNUMBER(R75),R75&gt;1,P75&gt;0),R75/P75-1,"")</f>
        <v>0.122496600749132</v>
      </c>
      <c r="T75" s="9" t="n">
        <f aca="false">IF(AND(ISNUMBER(P75),P75&gt;0),P75*EXP('Read me'!$B$22),"")</f>
        <v>4.35245062602428</v>
      </c>
    </row>
    <row r="76" customFormat="false" ht="15" hidden="false" customHeight="false" outlineLevel="0" collapsed="false">
      <c r="A76" s="14" t="s">
        <v>297</v>
      </c>
      <c r="B76" s="14" t="s">
        <v>63</v>
      </c>
      <c r="C76" s="14" t="s">
        <v>298</v>
      </c>
      <c r="D76" s="14" t="s">
        <v>436</v>
      </c>
      <c r="E76" s="15" t="n">
        <v>16</v>
      </c>
      <c r="F76" s="14" t="s">
        <v>388</v>
      </c>
      <c r="G76" s="8" t="n">
        <v>5</v>
      </c>
      <c r="H76" s="14" t="s">
        <v>1158</v>
      </c>
      <c r="I76" s="14" t="s">
        <v>503</v>
      </c>
      <c r="J76" s="14" t="s">
        <v>463</v>
      </c>
      <c r="K76" s="8" t="n">
        <v>2</v>
      </c>
      <c r="L76" s="8" t="n">
        <v>82</v>
      </c>
      <c r="M76" s="8" t="n">
        <v>6</v>
      </c>
      <c r="N76" s="8" t="n">
        <v>14</v>
      </c>
      <c r="O76" s="8" t="n">
        <v>3</v>
      </c>
      <c r="P76" s="9" t="n">
        <v>5.40652901868237</v>
      </c>
      <c r="Q76" s="10" t="n">
        <v>0.184961552327654</v>
      </c>
      <c r="R76" s="9" t="n">
        <v>5</v>
      </c>
      <c r="S76" s="11" t="n">
        <f aca="false">IF(AND(ISNUMBER(R76),R76&gt;1,P76&gt;0),R76/P76-1,"")</f>
        <v>-0.0751922383617293</v>
      </c>
      <c r="T76" s="9" t="n">
        <f aca="false">IF(AND(ISNUMBER(P76),P76&gt;0),P76*EXP('Read me'!$B$22),"")</f>
        <v>6.60354945549164</v>
      </c>
    </row>
    <row r="77" customFormat="false" ht="15" hidden="false" customHeight="false" outlineLevel="0" collapsed="false">
      <c r="A77" s="14" t="s">
        <v>297</v>
      </c>
      <c r="B77" s="14" t="s">
        <v>63</v>
      </c>
      <c r="C77" s="14" t="s">
        <v>298</v>
      </c>
      <c r="D77" s="14" t="s">
        <v>436</v>
      </c>
      <c r="E77" s="15" t="n">
        <v>16</v>
      </c>
      <c r="F77" s="14" t="s">
        <v>388</v>
      </c>
      <c r="G77" s="8" t="n">
        <v>5</v>
      </c>
      <c r="H77" s="14" t="s">
        <v>1159</v>
      </c>
      <c r="I77" s="14" t="s">
        <v>438</v>
      </c>
      <c r="J77" s="14" t="s">
        <v>1160</v>
      </c>
      <c r="K77" s="8" t="n">
        <v>1</v>
      </c>
      <c r="L77" s="8" t="n">
        <v>72</v>
      </c>
      <c r="M77" s="8" t="n">
        <v>7</v>
      </c>
      <c r="N77" s="8" t="n">
        <v>23</v>
      </c>
      <c r="O77" s="8" t="n">
        <v>4</v>
      </c>
      <c r="P77" s="9" t="n">
        <v>10.8185099523647</v>
      </c>
      <c r="Q77" s="10" t="n">
        <v>0.0924341711014852</v>
      </c>
      <c r="R77" s="9" t="n">
        <v>7.5</v>
      </c>
      <c r="S77" s="11" t="n">
        <f aca="false">IF(AND(ISNUMBER(R77),R77&gt;1,P77&gt;0),R77/P77-1,"")</f>
        <v>-0.306743716738861</v>
      </c>
      <c r="T77" s="9" t="n">
        <f aca="false">IF(AND(ISNUMBER(P77),P77&gt;0),P77*EXP('Read me'!$B$22),"")</f>
        <v>13.2137578950015</v>
      </c>
    </row>
    <row r="78" customFormat="false" ht="15" hidden="false" customHeight="false" outlineLevel="0" collapsed="false">
      <c r="A78" s="14" t="s">
        <v>297</v>
      </c>
      <c r="B78" s="14" t="s">
        <v>63</v>
      </c>
      <c r="C78" s="14" t="s">
        <v>298</v>
      </c>
      <c r="D78" s="14" t="s">
        <v>436</v>
      </c>
      <c r="E78" s="15" t="n">
        <v>16</v>
      </c>
      <c r="F78" s="14" t="s">
        <v>388</v>
      </c>
      <c r="G78" s="8" t="n">
        <v>5</v>
      </c>
      <c r="H78" s="14" t="s">
        <v>1161</v>
      </c>
      <c r="I78" s="14" t="s">
        <v>159</v>
      </c>
      <c r="J78" s="14" t="s">
        <v>236</v>
      </c>
      <c r="K78" s="8" t="n">
        <v>3</v>
      </c>
      <c r="L78" s="8" t="n">
        <v>68</v>
      </c>
      <c r="M78" s="8" t="n">
        <v>7</v>
      </c>
      <c r="N78" s="8" t="n">
        <v>46</v>
      </c>
      <c r="O78" s="8" t="n">
        <v>5</v>
      </c>
      <c r="P78" s="9" t="n">
        <v>12.6495097783822</v>
      </c>
      <c r="Q78" s="10" t="n">
        <v>0.0790544469722442</v>
      </c>
      <c r="R78" s="9" t="n">
        <v>8</v>
      </c>
      <c r="S78" s="11" t="n">
        <f aca="false">IF(AND(ISNUMBER(R78),R78&gt;1,P78&gt;0),R78/P78-1,"")</f>
        <v>-0.367564424222047</v>
      </c>
      <c r="T78" s="9" t="n">
        <f aca="false">IF(AND(ISNUMBER(P78),P78&gt;0),P78*EXP('Read me'!$B$22),"")</f>
        <v>15.4501461326901</v>
      </c>
    </row>
  </sheetData>
  <autoFilter ref="A1:T78"/>
  <conditionalFormatting sqref="A2:T78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358</v>
      </c>
      <c r="E1" s="6" t="s">
        <v>359</v>
      </c>
      <c r="F1" s="6" t="s">
        <v>360</v>
      </c>
      <c r="G1" s="6" t="s">
        <v>1</v>
      </c>
      <c r="H1" s="6" t="s">
        <v>361</v>
      </c>
      <c r="I1" s="6" t="s">
        <v>35</v>
      </c>
      <c r="J1" s="6" t="s">
        <v>36</v>
      </c>
      <c r="K1" s="6" t="s">
        <v>362</v>
      </c>
      <c r="L1" s="6" t="s">
        <v>363</v>
      </c>
      <c r="M1" s="6" t="s">
        <v>364</v>
      </c>
      <c r="N1" s="6" t="s">
        <v>365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4" t="s">
        <v>97</v>
      </c>
      <c r="B2" s="14" t="s">
        <v>98</v>
      </c>
      <c r="C2" s="14" t="s">
        <v>99</v>
      </c>
      <c r="D2" s="14" t="s">
        <v>436</v>
      </c>
      <c r="E2" s="15" t="n">
        <v>17.5</v>
      </c>
      <c r="F2" s="14" t="s">
        <v>388</v>
      </c>
      <c r="G2" s="8" t="n">
        <v>9</v>
      </c>
      <c r="H2" s="14" t="s">
        <v>100</v>
      </c>
      <c r="I2" s="14" t="s">
        <v>101</v>
      </c>
      <c r="J2" s="14" t="s">
        <v>102</v>
      </c>
      <c r="K2" s="8" t="n">
        <v>1</v>
      </c>
      <c r="L2" s="8" t="n">
        <v>98</v>
      </c>
      <c r="M2" s="8" t="n">
        <v>5</v>
      </c>
      <c r="N2" s="8" t="n">
        <v>22</v>
      </c>
      <c r="O2" s="8" t="n">
        <v>1</v>
      </c>
      <c r="P2" s="9" t="n">
        <v>1.75227007036663</v>
      </c>
      <c r="Q2" s="10" t="n">
        <v>0.570688284249909</v>
      </c>
      <c r="R2" s="9" t="n">
        <v>2.2</v>
      </c>
      <c r="S2" s="11" t="n">
        <f aca="false">IF(AND(ISNUMBER(R2),R2&gt;1,P2&gt;0),R2/P2-1,"")</f>
        <v>0.255514225349801</v>
      </c>
      <c r="T2" s="9" t="n">
        <f aca="false">IF(AND(ISNUMBER(P2),P2&gt;0),P2*EXP('Read me'!$B$22),"")</f>
        <v>2.14022749698732</v>
      </c>
    </row>
    <row r="3" customFormat="false" ht="15" hidden="false" customHeight="false" outlineLevel="0" collapsed="false">
      <c r="A3" s="14" t="s">
        <v>97</v>
      </c>
      <c r="B3" s="14" t="s">
        <v>98</v>
      </c>
      <c r="C3" s="14" t="s">
        <v>99</v>
      </c>
      <c r="D3" s="14" t="s">
        <v>436</v>
      </c>
      <c r="E3" s="15" t="n">
        <v>17.5</v>
      </c>
      <c r="F3" s="14" t="s">
        <v>388</v>
      </c>
      <c r="G3" s="8" t="n">
        <v>9</v>
      </c>
      <c r="H3" s="14" t="s">
        <v>103</v>
      </c>
      <c r="I3" s="14" t="s">
        <v>510</v>
      </c>
      <c r="J3" s="14" t="s">
        <v>511</v>
      </c>
      <c r="K3" s="8" t="n">
        <v>6</v>
      </c>
      <c r="L3" s="8" t="n">
        <v>0</v>
      </c>
      <c r="M3" s="8" t="n">
        <v>4</v>
      </c>
      <c r="N3" s="8" t="n">
        <v>178</v>
      </c>
      <c r="O3" s="8" t="n">
        <v>2</v>
      </c>
      <c r="P3" s="9" t="n">
        <v>3.63165835807926</v>
      </c>
      <c r="Q3" s="10" t="n">
        <v>0.275356297702212</v>
      </c>
      <c r="R3" s="9" t="n">
        <v>2.5</v>
      </c>
      <c r="S3" s="11" t="n">
        <f aca="false">IF(AND(ISNUMBER(R3),R3&gt;1,P3&gt;0),R3/P3-1,"")</f>
        <v>-0.31160925574447</v>
      </c>
      <c r="T3" s="9" t="n">
        <f aca="false">IF(AND(ISNUMBER(P3),P3&gt;0),P3*EXP('Read me'!$B$22),"")</f>
        <v>4.43571753525345</v>
      </c>
    </row>
    <row r="4" customFormat="false" ht="15" hidden="false" customHeight="false" outlineLevel="0" collapsed="false">
      <c r="A4" s="14" t="s">
        <v>97</v>
      </c>
      <c r="B4" s="14" t="s">
        <v>98</v>
      </c>
      <c r="C4" s="14" t="s">
        <v>99</v>
      </c>
      <c r="D4" s="14" t="s">
        <v>436</v>
      </c>
      <c r="E4" s="15" t="n">
        <v>17.5</v>
      </c>
      <c r="F4" s="14" t="s">
        <v>388</v>
      </c>
      <c r="G4" s="8" t="n">
        <v>9</v>
      </c>
      <c r="H4" s="14" t="s">
        <v>512</v>
      </c>
      <c r="I4" s="14" t="s">
        <v>513</v>
      </c>
      <c r="J4" s="14" t="s">
        <v>514</v>
      </c>
      <c r="K4" s="8" t="n">
        <v>7</v>
      </c>
      <c r="L4" s="8" t="n">
        <v>0</v>
      </c>
      <c r="M4" s="8" t="n">
        <v>4</v>
      </c>
      <c r="N4" s="8"/>
      <c r="O4" s="8" t="n">
        <v>3</v>
      </c>
      <c r="P4" s="9" t="n">
        <v>9.66122976854201</v>
      </c>
      <c r="Q4" s="10" t="n">
        <v>0.103506491819096</v>
      </c>
      <c r="R4" s="9" t="n">
        <v>5</v>
      </c>
      <c r="S4" s="11" t="n">
        <f aca="false">IF(AND(ISNUMBER(R4),R4&gt;1,P4&gt;0),R4/P4-1,"")</f>
        <v>-0.48246754090452</v>
      </c>
      <c r="T4" s="9" t="n">
        <f aca="false">IF(AND(ISNUMBER(P4),P4&gt;0),P4*EXP('Read me'!$B$22),"")</f>
        <v>11.8002526865163</v>
      </c>
    </row>
    <row r="5" customFormat="false" ht="15" hidden="false" customHeight="false" outlineLevel="0" collapsed="false">
      <c r="A5" s="14" t="s">
        <v>97</v>
      </c>
      <c r="B5" s="14" t="s">
        <v>98</v>
      </c>
      <c r="C5" s="14" t="s">
        <v>99</v>
      </c>
      <c r="D5" s="14" t="s">
        <v>436</v>
      </c>
      <c r="E5" s="15" t="n">
        <v>17.5</v>
      </c>
      <c r="F5" s="14" t="s">
        <v>388</v>
      </c>
      <c r="G5" s="8" t="n">
        <v>9</v>
      </c>
      <c r="H5" s="14" t="s">
        <v>515</v>
      </c>
      <c r="I5" s="14" t="s">
        <v>516</v>
      </c>
      <c r="J5" s="14" t="s">
        <v>517</v>
      </c>
      <c r="K5" s="8" t="n">
        <v>9</v>
      </c>
      <c r="L5" s="8" t="n">
        <v>0</v>
      </c>
      <c r="M5" s="8" t="n">
        <v>3</v>
      </c>
      <c r="N5" s="8" t="n">
        <v>38</v>
      </c>
      <c r="O5" s="8" t="n">
        <v>4</v>
      </c>
      <c r="P5" s="9" t="n">
        <v>55.9438831244989</v>
      </c>
      <c r="Q5" s="10" t="n">
        <v>0.0178750552187193</v>
      </c>
      <c r="R5" s="9" t="n">
        <v>41</v>
      </c>
      <c r="S5" s="11" t="n">
        <f aca="false">IF(AND(ISNUMBER(R5),R5&gt;1,P5&gt;0),R5/P5-1,"")</f>
        <v>-0.267122736032506</v>
      </c>
      <c r="T5" s="9" t="n">
        <f aca="false">IF(AND(ISNUMBER(P5),P5&gt;0),P5*EXP('Read me'!$B$22),"")</f>
        <v>68.3300131504531</v>
      </c>
    </row>
    <row r="6" customFormat="false" ht="15" hidden="false" customHeight="false" outlineLevel="0" collapsed="false">
      <c r="A6" s="14" t="s">
        <v>97</v>
      </c>
      <c r="B6" s="14" t="s">
        <v>98</v>
      </c>
      <c r="C6" s="14" t="s">
        <v>99</v>
      </c>
      <c r="D6" s="14" t="s">
        <v>436</v>
      </c>
      <c r="E6" s="15" t="n">
        <v>17.5</v>
      </c>
      <c r="F6" s="14" t="s">
        <v>388</v>
      </c>
      <c r="G6" s="8" t="n">
        <v>9</v>
      </c>
      <c r="H6" s="14" t="s">
        <v>518</v>
      </c>
      <c r="I6" s="14" t="s">
        <v>138</v>
      </c>
      <c r="J6" s="14" t="s">
        <v>139</v>
      </c>
      <c r="K6" s="8" t="n">
        <v>5</v>
      </c>
      <c r="L6" s="8" t="n">
        <v>0</v>
      </c>
      <c r="M6" s="8" t="n">
        <v>4</v>
      </c>
      <c r="N6" s="8" t="n">
        <v>12</v>
      </c>
      <c r="O6" s="8" t="n">
        <v>5</v>
      </c>
      <c r="P6" s="9" t="n">
        <v>63.3287901479834</v>
      </c>
      <c r="Q6" s="10" t="n">
        <v>0.0157906064155536</v>
      </c>
      <c r="R6" s="9" t="n">
        <v>34</v>
      </c>
      <c r="S6" s="11" t="n">
        <f aca="false">IF(AND(ISNUMBER(R6),R6&gt;1,P6&gt;0),R6/P6-1,"")</f>
        <v>-0.463119381871174</v>
      </c>
      <c r="T6" s="9" t="n">
        <f aca="false">IF(AND(ISNUMBER(P6),P6&gt;0),P6*EXP('Read me'!$B$22),"")</f>
        <v>77.3499589576935</v>
      </c>
    </row>
    <row r="7" customFormat="false" ht="15" hidden="false" customHeight="false" outlineLevel="0" collapsed="false">
      <c r="A7" s="14" t="s">
        <v>97</v>
      </c>
      <c r="B7" s="14" t="s">
        <v>98</v>
      </c>
      <c r="C7" s="14" t="s">
        <v>99</v>
      </c>
      <c r="D7" s="14" t="s">
        <v>436</v>
      </c>
      <c r="E7" s="15" t="n">
        <v>17.5</v>
      </c>
      <c r="F7" s="14" t="s">
        <v>388</v>
      </c>
      <c r="G7" s="8" t="n">
        <v>9</v>
      </c>
      <c r="H7" s="14" t="s">
        <v>519</v>
      </c>
      <c r="I7" s="14" t="s">
        <v>520</v>
      </c>
      <c r="J7" s="14" t="s">
        <v>521</v>
      </c>
      <c r="K7" s="8" t="n">
        <v>4</v>
      </c>
      <c r="L7" s="8" t="n">
        <v>0</v>
      </c>
      <c r="M7" s="8" t="n">
        <v>4</v>
      </c>
      <c r="N7" s="8" t="n">
        <v>22</v>
      </c>
      <c r="O7" s="8" t="n">
        <v>6</v>
      </c>
      <c r="P7" s="9" t="n">
        <v>128.795515114166</v>
      </c>
      <c r="Q7" s="10" t="n">
        <v>0.0077642455105178</v>
      </c>
      <c r="R7" s="9" t="n">
        <v>34</v>
      </c>
      <c r="S7" s="11" t="n">
        <f aca="false">IF(AND(ISNUMBER(R7),R7&gt;1,P7&gt;0),R7/P7-1,"")</f>
        <v>-0.736015652642392</v>
      </c>
      <c r="T7" s="9" t="n">
        <f aca="false">IF(AND(ISNUMBER(P7),P7&gt;0),P7*EXP('Read me'!$B$22),"")</f>
        <v>157.311197399102</v>
      </c>
    </row>
    <row r="8" customFormat="false" ht="15" hidden="false" customHeight="false" outlineLevel="0" collapsed="false">
      <c r="A8" s="14" t="s">
        <v>97</v>
      </c>
      <c r="B8" s="14" t="s">
        <v>98</v>
      </c>
      <c r="C8" s="14" t="s">
        <v>99</v>
      </c>
      <c r="D8" s="14" t="s">
        <v>436</v>
      </c>
      <c r="E8" s="15" t="n">
        <v>17.5</v>
      </c>
      <c r="F8" s="14" t="s">
        <v>388</v>
      </c>
      <c r="G8" s="8" t="n">
        <v>9</v>
      </c>
      <c r="H8" s="14" t="s">
        <v>522</v>
      </c>
      <c r="I8" s="14" t="s">
        <v>523</v>
      </c>
      <c r="J8" s="14" t="s">
        <v>524</v>
      </c>
      <c r="K8" s="8" t="n">
        <v>3</v>
      </c>
      <c r="L8" s="8" t="n">
        <v>0</v>
      </c>
      <c r="M8" s="8" t="n">
        <v>4</v>
      </c>
      <c r="N8" s="8" t="n">
        <v>16</v>
      </c>
      <c r="O8" s="8" t="n">
        <v>7</v>
      </c>
      <c r="P8" s="9" t="n">
        <v>179.575985540862</v>
      </c>
      <c r="Q8" s="10" t="n">
        <v>0.0055686733222603</v>
      </c>
      <c r="R8" s="9" t="n">
        <v>34</v>
      </c>
      <c r="S8" s="11" t="n">
        <f aca="false">IF(AND(ISNUMBER(R8),R8&gt;1,P8&gt;0),R8/P8-1,"")</f>
        <v>-0.81066510704315</v>
      </c>
      <c r="T8" s="9" t="n">
        <f aca="false">IF(AND(ISNUMBER(P8),P8&gt;0),P8*EXP('Read me'!$B$22),"")</f>
        <v>219.33460403894</v>
      </c>
    </row>
    <row r="9" customFormat="false" ht="15" hidden="false" customHeight="false" outlineLevel="0" collapsed="false">
      <c r="A9" s="14" t="s">
        <v>97</v>
      </c>
      <c r="B9" s="14" t="s">
        <v>98</v>
      </c>
      <c r="C9" s="14" t="s">
        <v>99</v>
      </c>
      <c r="D9" s="14" t="s">
        <v>436</v>
      </c>
      <c r="E9" s="15" t="n">
        <v>17.5</v>
      </c>
      <c r="F9" s="14" t="s">
        <v>388</v>
      </c>
      <c r="G9" s="8" t="n">
        <v>9</v>
      </c>
      <c r="H9" s="14" t="s">
        <v>525</v>
      </c>
      <c r="I9" s="14" t="s">
        <v>526</v>
      </c>
      <c r="J9" s="14" t="s">
        <v>527</v>
      </c>
      <c r="K9" s="8" t="n">
        <v>2</v>
      </c>
      <c r="L9" s="8" t="n">
        <v>0</v>
      </c>
      <c r="M9" s="8" t="n">
        <v>5</v>
      </c>
      <c r="N9" s="8" t="n">
        <v>8</v>
      </c>
      <c r="O9" s="8" t="n">
        <v>8</v>
      </c>
      <c r="P9" s="9" t="n">
        <v>476.59982659415</v>
      </c>
      <c r="Q9" s="10" t="n">
        <v>0.0020981963152318</v>
      </c>
      <c r="R9" s="9" t="n">
        <v>201</v>
      </c>
      <c r="S9" s="11" t="n">
        <f aca="false">IF(AND(ISNUMBER(R9),R9&gt;1,P9&gt;0),R9/P9-1,"")</f>
        <v>-0.578262540638391</v>
      </c>
      <c r="T9" s="9" t="n">
        <f aca="false">IF(AND(ISNUMBER(P9),P9&gt;0),P9*EXP('Read me'!$B$22),"")</f>
        <v>582.120342740753</v>
      </c>
    </row>
    <row r="10" customFormat="false" ht="15" hidden="false" customHeight="false" outlineLevel="0" collapsed="false">
      <c r="A10" s="14" t="s">
        <v>97</v>
      </c>
      <c r="B10" s="14" t="s">
        <v>98</v>
      </c>
      <c r="C10" s="14" t="s">
        <v>99</v>
      </c>
      <c r="D10" s="14" t="s">
        <v>436</v>
      </c>
      <c r="E10" s="15" t="n">
        <v>17.5</v>
      </c>
      <c r="F10" s="14" t="s">
        <v>388</v>
      </c>
      <c r="G10" s="8" t="n">
        <v>9</v>
      </c>
      <c r="H10" s="14" t="s">
        <v>528</v>
      </c>
      <c r="I10" s="14" t="s">
        <v>529</v>
      </c>
      <c r="J10" s="14" t="s">
        <v>530</v>
      </c>
      <c r="K10" s="8" t="n">
        <v>8</v>
      </c>
      <c r="L10" s="8" t="n">
        <v>0</v>
      </c>
      <c r="M10" s="8" t="n">
        <v>4</v>
      </c>
      <c r="N10" s="8" t="n">
        <v>12</v>
      </c>
      <c r="O10" s="8" t="n">
        <v>9</v>
      </c>
      <c r="P10" s="9" t="n">
        <v>739.563221054271</v>
      </c>
      <c r="Q10" s="10" t="n">
        <v>0.0013521494464996</v>
      </c>
      <c r="R10" s="9" t="n">
        <v>201</v>
      </c>
      <c r="S10" s="11" t="n">
        <f aca="false">IF(AND(ISNUMBER(R10),R10&gt;1,P10&gt;0),R10/P10-1,"")</f>
        <v>-0.728217961253579</v>
      </c>
      <c r="T10" s="9" t="n">
        <f aca="false">IF(AND(ISNUMBER(P10),P10&gt;0),P10*EXP('Read me'!$B$22),"")</f>
        <v>903.304558029506</v>
      </c>
    </row>
    <row r="11" customFormat="false" ht="15" hidden="false" customHeight="false" outlineLevel="0" collapsed="false">
      <c r="A11" s="14" t="s">
        <v>135</v>
      </c>
      <c r="B11" s="14" t="s">
        <v>98</v>
      </c>
      <c r="C11" s="14" t="s">
        <v>136</v>
      </c>
      <c r="D11" s="14" t="s">
        <v>570</v>
      </c>
      <c r="E11" s="15" t="n">
        <v>17.5</v>
      </c>
      <c r="F11" s="14" t="s">
        <v>388</v>
      </c>
      <c r="G11" s="8" t="n">
        <v>7</v>
      </c>
      <c r="H11" s="14" t="s">
        <v>137</v>
      </c>
      <c r="I11" s="14" t="s">
        <v>138</v>
      </c>
      <c r="J11" s="14" t="s">
        <v>139</v>
      </c>
      <c r="K11" s="8" t="n">
        <v>1</v>
      </c>
      <c r="L11" s="8" t="n">
        <v>0</v>
      </c>
      <c r="M11" s="8" t="n">
        <v>3</v>
      </c>
      <c r="N11" s="8" t="n">
        <v>19</v>
      </c>
      <c r="O11" s="8" t="n">
        <v>1</v>
      </c>
      <c r="P11" s="9" t="n">
        <v>2.34186490265621</v>
      </c>
      <c r="Q11" s="10" t="n">
        <v>0.427010114403171</v>
      </c>
      <c r="R11" s="9" t="n">
        <v>1.90909090909091</v>
      </c>
      <c r="S11" s="11" t="n">
        <f aca="false">IF(AND(ISNUMBER(R11),R11&gt;1,P11&gt;0),R11/P11-1,"")</f>
        <v>-0.184798872503037</v>
      </c>
      <c r="T11" s="9" t="n">
        <f aca="false">IF(AND(ISNUMBER(P11),P11&gt;0),P11*EXP('Read me'!$B$22),"")</f>
        <v>2.8603602513428</v>
      </c>
    </row>
    <row r="12" customFormat="false" ht="15" hidden="false" customHeight="false" outlineLevel="0" collapsed="false">
      <c r="A12" s="14" t="s">
        <v>135</v>
      </c>
      <c r="B12" s="14" t="s">
        <v>98</v>
      </c>
      <c r="C12" s="14" t="s">
        <v>136</v>
      </c>
      <c r="D12" s="14" t="s">
        <v>570</v>
      </c>
      <c r="E12" s="15" t="n">
        <v>17.5</v>
      </c>
      <c r="F12" s="14" t="s">
        <v>388</v>
      </c>
      <c r="G12" s="8" t="n">
        <v>7</v>
      </c>
      <c r="H12" s="14" t="s">
        <v>140</v>
      </c>
      <c r="I12" s="14" t="s">
        <v>513</v>
      </c>
      <c r="J12" s="14" t="s">
        <v>514</v>
      </c>
      <c r="K12" s="8" t="n">
        <v>5</v>
      </c>
      <c r="L12" s="8" t="n">
        <v>0</v>
      </c>
      <c r="M12" s="8" t="n">
        <v>3</v>
      </c>
      <c r="N12" s="8" t="n">
        <v>80</v>
      </c>
      <c r="O12" s="8" t="n">
        <v>2</v>
      </c>
      <c r="P12" s="9" t="n">
        <v>3.35096897382682</v>
      </c>
      <c r="Q12" s="10" t="n">
        <v>0.298421145588226</v>
      </c>
      <c r="R12" s="9" t="n">
        <v>4</v>
      </c>
      <c r="S12" s="11" t="n">
        <f aca="false">IF(AND(ISNUMBER(R12),R12&gt;1,P12&gt;0),R12/P12-1,"")</f>
        <v>0.193684582352903</v>
      </c>
      <c r="T12" s="9" t="n">
        <f aca="false">IF(AND(ISNUMBER(P12),P12&gt;0),P12*EXP('Read me'!$B$22),"")</f>
        <v>4.09288274714123</v>
      </c>
    </row>
    <row r="13" customFormat="false" ht="15" hidden="false" customHeight="false" outlineLevel="0" collapsed="false">
      <c r="A13" s="14" t="s">
        <v>135</v>
      </c>
      <c r="B13" s="14" t="s">
        <v>98</v>
      </c>
      <c r="C13" s="14" t="s">
        <v>136</v>
      </c>
      <c r="D13" s="14" t="s">
        <v>570</v>
      </c>
      <c r="E13" s="15" t="n">
        <v>17.5</v>
      </c>
      <c r="F13" s="14" t="s">
        <v>388</v>
      </c>
      <c r="G13" s="8" t="n">
        <v>7</v>
      </c>
      <c r="H13" s="14" t="s">
        <v>645</v>
      </c>
      <c r="I13" s="14" t="s">
        <v>646</v>
      </c>
      <c r="J13" s="14" t="s">
        <v>643</v>
      </c>
      <c r="K13" s="8" t="n">
        <v>2</v>
      </c>
      <c r="L13" s="8" t="n">
        <v>108</v>
      </c>
      <c r="M13" s="8" t="n">
        <v>3</v>
      </c>
      <c r="N13" s="8" t="n">
        <v>26</v>
      </c>
      <c r="O13" s="8" t="n">
        <v>3</v>
      </c>
      <c r="P13" s="9" t="n">
        <v>5.05987351980447</v>
      </c>
      <c r="Q13" s="10" t="n">
        <v>0.197633398559465</v>
      </c>
      <c r="R13" s="9" t="n">
        <v>5.5</v>
      </c>
      <c r="S13" s="11" t="n">
        <f aca="false">IF(AND(ISNUMBER(R13),R13&gt;1,P13&gt;0),R13/P13-1,"")</f>
        <v>0.0869836920770573</v>
      </c>
      <c r="T13" s="9" t="n">
        <f aca="false">IF(AND(ISNUMBER(P13),P13&gt;0),P13*EXP('Read me'!$B$22),"")</f>
        <v>6.18014347303079</v>
      </c>
    </row>
    <row r="14" customFormat="false" ht="15" hidden="false" customHeight="false" outlineLevel="0" collapsed="false">
      <c r="A14" s="14" t="s">
        <v>135</v>
      </c>
      <c r="B14" s="14" t="s">
        <v>98</v>
      </c>
      <c r="C14" s="14" t="s">
        <v>136</v>
      </c>
      <c r="D14" s="14" t="s">
        <v>570</v>
      </c>
      <c r="E14" s="15" t="n">
        <v>17.5</v>
      </c>
      <c r="F14" s="14" t="s">
        <v>388</v>
      </c>
      <c r="G14" s="8" t="n">
        <v>7</v>
      </c>
      <c r="H14" s="14" t="s">
        <v>647</v>
      </c>
      <c r="I14" s="14" t="s">
        <v>648</v>
      </c>
      <c r="J14" s="14" t="s">
        <v>649</v>
      </c>
      <c r="K14" s="8" t="n">
        <v>3</v>
      </c>
      <c r="L14" s="8" t="n">
        <v>0</v>
      </c>
      <c r="M14" s="8" t="n">
        <v>3</v>
      </c>
      <c r="N14" s="8" t="n">
        <v>23</v>
      </c>
      <c r="O14" s="8" t="n">
        <v>4</v>
      </c>
      <c r="P14" s="9" t="n">
        <v>14.5364446896306</v>
      </c>
      <c r="Q14" s="10" t="n">
        <v>0.0687926120417421</v>
      </c>
      <c r="R14" s="9" t="n">
        <v>6.5</v>
      </c>
      <c r="S14" s="11" t="n">
        <f aca="false">IF(AND(ISNUMBER(R14),R14&gt;1,P14&gt;0),R14/P14-1,"")</f>
        <v>-0.552848021728676</v>
      </c>
      <c r="T14" s="9" t="n">
        <f aca="false">IF(AND(ISNUMBER(P14),P14&gt;0),P14*EXP('Read me'!$B$22),"")</f>
        <v>17.7548536377576</v>
      </c>
    </row>
    <row r="15" customFormat="false" ht="15" hidden="false" customHeight="false" outlineLevel="0" collapsed="false">
      <c r="A15" s="14" t="s">
        <v>135</v>
      </c>
      <c r="B15" s="14" t="s">
        <v>98</v>
      </c>
      <c r="C15" s="14" t="s">
        <v>136</v>
      </c>
      <c r="D15" s="14" t="s">
        <v>570</v>
      </c>
      <c r="E15" s="15" t="n">
        <v>17.5</v>
      </c>
      <c r="F15" s="14" t="s">
        <v>388</v>
      </c>
      <c r="G15" s="8" t="n">
        <v>7</v>
      </c>
      <c r="H15" s="14" t="s">
        <v>650</v>
      </c>
      <c r="I15" s="14" t="s">
        <v>651</v>
      </c>
      <c r="J15" s="14" t="s">
        <v>652</v>
      </c>
      <c r="K15" s="8" t="n">
        <v>7</v>
      </c>
      <c r="L15" s="8" t="n">
        <v>0</v>
      </c>
      <c r="M15" s="8" t="n">
        <v>3</v>
      </c>
      <c r="N15" s="8"/>
      <c r="O15" s="8" t="n">
        <v>5</v>
      </c>
      <c r="P15" s="9" t="n">
        <v>251.880314788666</v>
      </c>
      <c r="Q15" s="10" t="n">
        <v>0.0039701395515525</v>
      </c>
      <c r="R15" s="9" t="n">
        <v>126</v>
      </c>
      <c r="S15" s="11" t="n">
        <f aca="false">IF(AND(ISNUMBER(R15),R15&gt;1,P15&gt;0),R15/P15-1,"")</f>
        <v>-0.499762416504373</v>
      </c>
      <c r="T15" s="9" t="n">
        <f aca="false">IF(AND(ISNUMBER(P15),P15&gt;0),P15*EXP('Read me'!$B$22),"")</f>
        <v>307.647311209128</v>
      </c>
    </row>
    <row r="16" customFormat="false" ht="15" hidden="false" customHeight="false" outlineLevel="0" collapsed="false">
      <c r="A16" s="14" t="s">
        <v>135</v>
      </c>
      <c r="B16" s="14" t="s">
        <v>98</v>
      </c>
      <c r="C16" s="14" t="s">
        <v>136</v>
      </c>
      <c r="D16" s="14" t="s">
        <v>570</v>
      </c>
      <c r="E16" s="15" t="n">
        <v>17.5</v>
      </c>
      <c r="F16" s="14" t="s">
        <v>388</v>
      </c>
      <c r="G16" s="8" t="n">
        <v>7</v>
      </c>
      <c r="H16" s="14" t="s">
        <v>653</v>
      </c>
      <c r="I16" s="14" t="s">
        <v>654</v>
      </c>
      <c r="J16" s="14" t="s">
        <v>655</v>
      </c>
      <c r="K16" s="8" t="n">
        <v>6</v>
      </c>
      <c r="L16" s="8" t="n">
        <v>0</v>
      </c>
      <c r="M16" s="8" t="n">
        <v>3</v>
      </c>
      <c r="N16" s="8" t="n">
        <v>66</v>
      </c>
      <c r="O16" s="8" t="n">
        <v>6</v>
      </c>
      <c r="P16" s="9" t="n">
        <v>371.892148504602</v>
      </c>
      <c r="Q16" s="10" t="n">
        <v>0.0026889516329426</v>
      </c>
      <c r="R16" s="9" t="n">
        <v>81</v>
      </c>
      <c r="S16" s="11" t="n">
        <f aca="false">IF(AND(ISNUMBER(R16),R16&gt;1,P16&gt;0),R16/P16-1,"")</f>
        <v>-0.782194917731646</v>
      </c>
      <c r="T16" s="9" t="n">
        <f aca="false">IF(AND(ISNUMBER(P16),P16&gt;0),P16*EXP('Read me'!$B$22),"")</f>
        <v>454.230095921633</v>
      </c>
    </row>
    <row r="17" customFormat="false" ht="15" hidden="false" customHeight="false" outlineLevel="0" collapsed="false">
      <c r="A17" s="14" t="s">
        <v>135</v>
      </c>
      <c r="B17" s="14" t="s">
        <v>98</v>
      </c>
      <c r="C17" s="14" t="s">
        <v>136</v>
      </c>
      <c r="D17" s="14" t="s">
        <v>570</v>
      </c>
      <c r="E17" s="15" t="n">
        <v>17.5</v>
      </c>
      <c r="F17" s="14" t="s">
        <v>388</v>
      </c>
      <c r="G17" s="8" t="n">
        <v>7</v>
      </c>
      <c r="H17" s="14" t="s">
        <v>656</v>
      </c>
      <c r="I17" s="14" t="s">
        <v>529</v>
      </c>
      <c r="J17" s="14" t="s">
        <v>530</v>
      </c>
      <c r="K17" s="8" t="n">
        <v>4</v>
      </c>
      <c r="L17" s="8" t="n">
        <v>0</v>
      </c>
      <c r="M17" s="8" t="n">
        <v>3</v>
      </c>
      <c r="N17" s="8" t="n">
        <v>26</v>
      </c>
      <c r="O17" s="8" t="n">
        <v>7</v>
      </c>
      <c r="P17" s="9" t="n">
        <v>674.018763175905</v>
      </c>
      <c r="Q17" s="10" t="n">
        <v>0.0014836382229006</v>
      </c>
      <c r="R17" s="9" t="n">
        <v>126</v>
      </c>
      <c r="S17" s="11" t="n">
        <f aca="false">IF(AND(ISNUMBER(R17),R17&gt;1,P17&gt;0),R17/P17-1,"")</f>
        <v>-0.813061583914517</v>
      </c>
      <c r="T17" s="9" t="n">
        <f aca="false">IF(AND(ISNUMBER(P17),P17&gt;0),P17*EXP('Read me'!$B$22),"")</f>
        <v>823.248376394757</v>
      </c>
    </row>
    <row r="18" customFormat="false" ht="15" hidden="false" customHeight="false" outlineLevel="0" collapsed="false">
      <c r="A18" s="14" t="s">
        <v>174</v>
      </c>
      <c r="B18" s="14" t="s">
        <v>98</v>
      </c>
      <c r="C18" s="14" t="s">
        <v>175</v>
      </c>
      <c r="D18" s="14" t="s">
        <v>570</v>
      </c>
      <c r="E18" s="15" t="n">
        <v>22.5</v>
      </c>
      <c r="F18" s="14" t="s">
        <v>388</v>
      </c>
      <c r="G18" s="8" t="n">
        <v>4</v>
      </c>
      <c r="H18" s="14" t="s">
        <v>176</v>
      </c>
      <c r="I18" s="14" t="s">
        <v>177</v>
      </c>
      <c r="J18" s="14" t="s">
        <v>178</v>
      </c>
      <c r="K18" s="8" t="n">
        <v>4</v>
      </c>
      <c r="L18" s="8" t="n">
        <v>118</v>
      </c>
      <c r="M18" s="8" t="n">
        <v>7</v>
      </c>
      <c r="N18" s="8" t="n">
        <v>70</v>
      </c>
      <c r="O18" s="8" t="n">
        <v>1</v>
      </c>
      <c r="P18" s="9" t="n">
        <v>3.03344045606776</v>
      </c>
      <c r="Q18" s="10" t="n">
        <v>0.32965868771207</v>
      </c>
      <c r="R18" s="9" t="n">
        <v>2.75</v>
      </c>
      <c r="S18" s="11" t="n">
        <f aca="false">IF(AND(ISNUMBER(R18),R18&gt;1,P18&gt;0),R18/P18-1,"")</f>
        <v>-0.093438608791808</v>
      </c>
      <c r="T18" s="9" t="n">
        <f aca="false">IF(AND(ISNUMBER(P18),P18&gt;0),P18*EXP('Read me'!$B$22),"")</f>
        <v>3.7050525397558</v>
      </c>
    </row>
    <row r="19" customFormat="false" ht="15" hidden="false" customHeight="false" outlineLevel="0" collapsed="false">
      <c r="A19" s="14" t="s">
        <v>174</v>
      </c>
      <c r="B19" s="14" t="s">
        <v>98</v>
      </c>
      <c r="C19" s="14" t="s">
        <v>175</v>
      </c>
      <c r="D19" s="14" t="s">
        <v>570</v>
      </c>
      <c r="E19" s="15" t="n">
        <v>22.5</v>
      </c>
      <c r="F19" s="14" t="s">
        <v>388</v>
      </c>
      <c r="G19" s="8" t="n">
        <v>4</v>
      </c>
      <c r="H19" s="14" t="s">
        <v>179</v>
      </c>
      <c r="I19" s="14" t="s">
        <v>648</v>
      </c>
      <c r="J19" s="14" t="s">
        <v>760</v>
      </c>
      <c r="K19" s="8" t="n">
        <v>2</v>
      </c>
      <c r="L19" s="8" t="n">
        <v>131</v>
      </c>
      <c r="M19" s="8" t="n">
        <v>7</v>
      </c>
      <c r="N19" s="8" t="n">
        <v>148</v>
      </c>
      <c r="O19" s="8" t="n">
        <v>2</v>
      </c>
      <c r="P19" s="9" t="n">
        <v>3.50635945716669</v>
      </c>
      <c r="Q19" s="10" t="n">
        <v>0.285196087912803</v>
      </c>
      <c r="R19" s="9" t="n">
        <v>3.5</v>
      </c>
      <c r="S19" s="11" t="n">
        <f aca="false">IF(AND(ISNUMBER(R19),R19&gt;1,P19&gt;0),R19/P19-1,"")</f>
        <v>-0.0018136923051888</v>
      </c>
      <c r="T19" s="9" t="n">
        <f aca="false">IF(AND(ISNUMBER(P19),P19&gt;0),P19*EXP('Read me'!$B$22),"")</f>
        <v>4.28267711208439</v>
      </c>
    </row>
    <row r="20" customFormat="false" ht="15" hidden="false" customHeight="false" outlineLevel="0" collapsed="false">
      <c r="A20" s="14" t="s">
        <v>174</v>
      </c>
      <c r="B20" s="14" t="s">
        <v>98</v>
      </c>
      <c r="C20" s="14" t="s">
        <v>175</v>
      </c>
      <c r="D20" s="14" t="s">
        <v>570</v>
      </c>
      <c r="E20" s="15" t="n">
        <v>22.5</v>
      </c>
      <c r="F20" s="14" t="s">
        <v>388</v>
      </c>
      <c r="G20" s="8" t="n">
        <v>4</v>
      </c>
      <c r="H20" s="14" t="s">
        <v>761</v>
      </c>
      <c r="I20" s="14" t="s">
        <v>762</v>
      </c>
      <c r="J20" s="14" t="s">
        <v>219</v>
      </c>
      <c r="K20" s="8" t="n">
        <v>1</v>
      </c>
      <c r="L20" s="8" t="n">
        <v>132</v>
      </c>
      <c r="M20" s="8" t="n">
        <v>10</v>
      </c>
      <c r="N20" s="8" t="n">
        <v>22</v>
      </c>
      <c r="O20" s="8" t="n">
        <v>3</v>
      </c>
      <c r="P20" s="9" t="n">
        <v>5.09343881954867</v>
      </c>
      <c r="Q20" s="10" t="n">
        <v>0.196331012392255</v>
      </c>
      <c r="R20" s="9" t="n">
        <v>4.5</v>
      </c>
      <c r="S20" s="11" t="n">
        <f aca="false">IF(AND(ISNUMBER(R20),R20&gt;1,P20&gt;0),R20/P20-1,"")</f>
        <v>-0.116510444234854</v>
      </c>
      <c r="T20" s="9" t="n">
        <f aca="false">IF(AND(ISNUMBER(P20),P20&gt;0),P20*EXP('Read me'!$B$22),"")</f>
        <v>6.22114022271682</v>
      </c>
    </row>
    <row r="21" customFormat="false" ht="15" hidden="false" customHeight="false" outlineLevel="0" collapsed="false">
      <c r="A21" s="14" t="s">
        <v>174</v>
      </c>
      <c r="B21" s="14" t="s">
        <v>98</v>
      </c>
      <c r="C21" s="14" t="s">
        <v>175</v>
      </c>
      <c r="D21" s="14" t="s">
        <v>570</v>
      </c>
      <c r="E21" s="15" t="n">
        <v>22.5</v>
      </c>
      <c r="F21" s="14" t="s">
        <v>388</v>
      </c>
      <c r="G21" s="8" t="n">
        <v>4</v>
      </c>
      <c r="H21" s="14" t="s">
        <v>763</v>
      </c>
      <c r="I21" s="14" t="s">
        <v>764</v>
      </c>
      <c r="J21" s="14" t="s">
        <v>765</v>
      </c>
      <c r="K21" s="8" t="n">
        <v>3</v>
      </c>
      <c r="L21" s="8" t="n">
        <v>127</v>
      </c>
      <c r="M21" s="8" t="n">
        <v>9</v>
      </c>
      <c r="N21" s="8" t="n">
        <v>83</v>
      </c>
      <c r="O21" s="8" t="n">
        <v>4</v>
      </c>
      <c r="P21" s="9" t="n">
        <v>5.29621149540752</v>
      </c>
      <c r="Q21" s="10" t="n">
        <v>0.188814211982872</v>
      </c>
      <c r="R21" s="9" t="n">
        <v>4.5</v>
      </c>
      <c r="S21" s="11" t="n">
        <f aca="false">IF(AND(ISNUMBER(R21),R21&gt;1,P21&gt;0),R21/P21-1,"")</f>
        <v>-0.150336046077075</v>
      </c>
      <c r="T21" s="9" t="n">
        <f aca="false">IF(AND(ISNUMBER(P21),P21&gt;0),P21*EXP('Read me'!$B$22),"")</f>
        <v>6.46880732829034</v>
      </c>
    </row>
    <row r="22" customFormat="false" ht="15" hidden="false" customHeight="false" outlineLevel="0" collapsed="false">
      <c r="A22" s="14" t="s">
        <v>215</v>
      </c>
      <c r="B22" s="14" t="s">
        <v>98</v>
      </c>
      <c r="C22" s="14" t="s">
        <v>216</v>
      </c>
      <c r="D22" s="14" t="s">
        <v>877</v>
      </c>
      <c r="E22" s="15" t="n">
        <v>25</v>
      </c>
      <c r="F22" s="14" t="s">
        <v>388</v>
      </c>
      <c r="G22" s="8" t="n">
        <v>8</v>
      </c>
      <c r="H22" s="14" t="s">
        <v>217</v>
      </c>
      <c r="I22" s="14" t="s">
        <v>218</v>
      </c>
      <c r="J22" s="14" t="s">
        <v>219</v>
      </c>
      <c r="K22" s="8" t="n">
        <v>3</v>
      </c>
      <c r="L22" s="8" t="n">
        <v>95</v>
      </c>
      <c r="M22" s="8" t="n">
        <v>7</v>
      </c>
      <c r="N22" s="8" t="n">
        <v>83</v>
      </c>
      <c r="O22" s="8" t="n">
        <v>1</v>
      </c>
      <c r="P22" s="9" t="n">
        <v>2.97780434713153</v>
      </c>
      <c r="Q22" s="10" t="n">
        <v>0.33581789917235</v>
      </c>
      <c r="R22" s="9" t="n">
        <v>2.1</v>
      </c>
      <c r="S22" s="11" t="n">
        <f aca="false">IF(AND(ISNUMBER(R22),R22&gt;1,P22&gt;0),R22/P22-1,"")</f>
        <v>-0.294782411738066</v>
      </c>
      <c r="T22" s="9" t="n">
        <f aca="false">IF(AND(ISNUMBER(P22),P22&gt;0),P22*EXP('Read me'!$B$22),"")</f>
        <v>3.63709844284779</v>
      </c>
    </row>
    <row r="23" customFormat="false" ht="15" hidden="false" customHeight="false" outlineLevel="0" collapsed="false">
      <c r="A23" s="14" t="s">
        <v>215</v>
      </c>
      <c r="B23" s="14" t="s">
        <v>98</v>
      </c>
      <c r="C23" s="14" t="s">
        <v>216</v>
      </c>
      <c r="D23" s="14" t="s">
        <v>877</v>
      </c>
      <c r="E23" s="15" t="n">
        <v>25</v>
      </c>
      <c r="F23" s="14" t="s">
        <v>388</v>
      </c>
      <c r="G23" s="8" t="n">
        <v>8</v>
      </c>
      <c r="H23" s="14" t="s">
        <v>220</v>
      </c>
      <c r="I23" s="14" t="s">
        <v>878</v>
      </c>
      <c r="J23" s="14" t="s">
        <v>879</v>
      </c>
      <c r="K23" s="8" t="n">
        <v>1</v>
      </c>
      <c r="L23" s="8" t="n">
        <v>98</v>
      </c>
      <c r="M23" s="8" t="n">
        <v>7</v>
      </c>
      <c r="N23" s="8" t="n">
        <v>21</v>
      </c>
      <c r="O23" s="8" t="n">
        <v>2</v>
      </c>
      <c r="P23" s="9" t="n">
        <v>3.71331973218848</v>
      </c>
      <c r="Q23" s="10" t="n">
        <v>0.269300806857975</v>
      </c>
      <c r="R23" s="9" t="n">
        <v>4.5</v>
      </c>
      <c r="S23" s="11" t="n">
        <f aca="false">IF(AND(ISNUMBER(R23),R23&gt;1,P23&gt;0),R23/P23-1,"")</f>
        <v>0.21185363086089</v>
      </c>
      <c r="T23" s="9" t="n">
        <f aca="false">IF(AND(ISNUMBER(P23),P23&gt;0),P23*EXP('Read me'!$B$22),"")</f>
        <v>4.5354589628256</v>
      </c>
    </row>
    <row r="24" customFormat="false" ht="15" hidden="false" customHeight="false" outlineLevel="0" collapsed="false">
      <c r="A24" s="14" t="s">
        <v>215</v>
      </c>
      <c r="B24" s="14" t="s">
        <v>98</v>
      </c>
      <c r="C24" s="14" t="s">
        <v>216</v>
      </c>
      <c r="D24" s="14" t="s">
        <v>877</v>
      </c>
      <c r="E24" s="15" t="n">
        <v>25</v>
      </c>
      <c r="F24" s="14" t="s">
        <v>388</v>
      </c>
      <c r="G24" s="8" t="n">
        <v>8</v>
      </c>
      <c r="H24" s="14" t="s">
        <v>880</v>
      </c>
      <c r="I24" s="14" t="s">
        <v>881</v>
      </c>
      <c r="J24" s="14" t="s">
        <v>882</v>
      </c>
      <c r="K24" s="8" t="n">
        <v>7</v>
      </c>
      <c r="L24" s="8" t="n">
        <v>76</v>
      </c>
      <c r="M24" s="8" t="n">
        <v>8</v>
      </c>
      <c r="N24" s="8" t="n">
        <v>35</v>
      </c>
      <c r="O24" s="8" t="n">
        <v>3</v>
      </c>
      <c r="P24" s="9" t="n">
        <v>7.11516486091616</v>
      </c>
      <c r="Q24" s="10" t="n">
        <v>0.140544881186525</v>
      </c>
      <c r="R24" s="9" t="n">
        <v>7.5</v>
      </c>
      <c r="S24" s="11" t="n">
        <f aca="false">IF(AND(ISNUMBER(R24),R24&gt;1,P24&gt;0),R24/P24-1,"")</f>
        <v>0.0540866088989376</v>
      </c>
      <c r="T24" s="9" t="n">
        <f aca="false">IF(AND(ISNUMBER(P24),P24&gt;0),P24*EXP('Read me'!$B$22),"")</f>
        <v>8.69048198588732</v>
      </c>
    </row>
    <row r="25" customFormat="false" ht="15" hidden="false" customHeight="false" outlineLevel="0" collapsed="false">
      <c r="A25" s="14" t="s">
        <v>215</v>
      </c>
      <c r="B25" s="14" t="s">
        <v>98</v>
      </c>
      <c r="C25" s="14" t="s">
        <v>216</v>
      </c>
      <c r="D25" s="14" t="s">
        <v>877</v>
      </c>
      <c r="E25" s="15" t="n">
        <v>25</v>
      </c>
      <c r="F25" s="14" t="s">
        <v>388</v>
      </c>
      <c r="G25" s="8" t="n">
        <v>8</v>
      </c>
      <c r="H25" s="14" t="s">
        <v>883</v>
      </c>
      <c r="I25" s="14" t="s">
        <v>884</v>
      </c>
      <c r="J25" s="14" t="s">
        <v>885</v>
      </c>
      <c r="K25" s="8" t="n">
        <v>2</v>
      </c>
      <c r="L25" s="8" t="n">
        <v>97</v>
      </c>
      <c r="M25" s="8" t="n">
        <v>11</v>
      </c>
      <c r="N25" s="8" t="n">
        <v>42</v>
      </c>
      <c r="O25" s="8" t="n">
        <v>4</v>
      </c>
      <c r="P25" s="9" t="n">
        <v>9.67235887869844</v>
      </c>
      <c r="Q25" s="10" t="n">
        <v>0.103387396243362</v>
      </c>
      <c r="R25" s="9" t="n">
        <v>9.5</v>
      </c>
      <c r="S25" s="11" t="n">
        <f aca="false">IF(AND(ISNUMBER(R25),R25&gt;1,P25&gt;0),R25/P25-1,"")</f>
        <v>-0.0178197356880572</v>
      </c>
      <c r="T25" s="9" t="n">
        <f aca="false">IF(AND(ISNUMBER(P25),P25&gt;0),P25*EXP('Read me'!$B$22),"")</f>
        <v>11.8138458123573</v>
      </c>
    </row>
    <row r="26" customFormat="false" ht="15" hidden="false" customHeight="false" outlineLevel="0" collapsed="false">
      <c r="A26" s="14" t="s">
        <v>215</v>
      </c>
      <c r="B26" s="14" t="s">
        <v>98</v>
      </c>
      <c r="C26" s="14" t="s">
        <v>216</v>
      </c>
      <c r="D26" s="14" t="s">
        <v>877</v>
      </c>
      <c r="E26" s="15" t="n">
        <v>25</v>
      </c>
      <c r="F26" s="14" t="s">
        <v>388</v>
      </c>
      <c r="G26" s="8" t="n">
        <v>8</v>
      </c>
      <c r="H26" s="14" t="s">
        <v>886</v>
      </c>
      <c r="I26" s="14" t="s">
        <v>887</v>
      </c>
      <c r="J26" s="14" t="s">
        <v>888</v>
      </c>
      <c r="K26" s="8" t="n">
        <v>8</v>
      </c>
      <c r="L26" s="8" t="n">
        <v>75</v>
      </c>
      <c r="M26" s="8" t="n">
        <v>8</v>
      </c>
      <c r="N26" s="8" t="n">
        <v>18</v>
      </c>
      <c r="O26" s="8" t="n">
        <v>5</v>
      </c>
      <c r="P26" s="9" t="n">
        <v>11.4206985941703</v>
      </c>
      <c r="Q26" s="10" t="n">
        <v>0.0875603179397845</v>
      </c>
      <c r="R26" s="9" t="n">
        <v>7</v>
      </c>
      <c r="S26" s="11" t="n">
        <f aca="false">IF(AND(ISNUMBER(R26),R26&gt;1,P26&gt;0),R26/P26-1,"")</f>
        <v>-0.387077774421508</v>
      </c>
      <c r="T26" s="9" t="n">
        <f aca="false">IF(AND(ISNUMBER(P26),P26&gt;0),P26*EXP('Read me'!$B$22),"")</f>
        <v>13.9492727630355</v>
      </c>
    </row>
    <row r="27" customFormat="false" ht="15" hidden="false" customHeight="false" outlineLevel="0" collapsed="false">
      <c r="A27" s="14" t="s">
        <v>215</v>
      </c>
      <c r="B27" s="14" t="s">
        <v>98</v>
      </c>
      <c r="C27" s="14" t="s">
        <v>216</v>
      </c>
      <c r="D27" s="14" t="s">
        <v>877</v>
      </c>
      <c r="E27" s="15" t="n">
        <v>25</v>
      </c>
      <c r="F27" s="14" t="s">
        <v>388</v>
      </c>
      <c r="G27" s="8" t="n">
        <v>8</v>
      </c>
      <c r="H27" s="14" t="s">
        <v>889</v>
      </c>
      <c r="I27" s="14" t="s">
        <v>890</v>
      </c>
      <c r="J27" s="14" t="s">
        <v>891</v>
      </c>
      <c r="K27" s="8" t="n">
        <v>6</v>
      </c>
      <c r="L27" s="8" t="n">
        <v>76</v>
      </c>
      <c r="M27" s="8" t="n">
        <v>9</v>
      </c>
      <c r="N27" s="8" t="n">
        <v>428</v>
      </c>
      <c r="O27" s="8" t="n">
        <v>6</v>
      </c>
      <c r="P27" s="9" t="n">
        <v>25.2105457524951</v>
      </c>
      <c r="Q27" s="10" t="n">
        <v>0.0396659401909628</v>
      </c>
      <c r="R27" s="9" t="n">
        <v>26</v>
      </c>
      <c r="S27" s="11" t="n">
        <f aca="false">IF(AND(ISNUMBER(R27),R27&gt;1,P27&gt;0),R27/P27-1,"")</f>
        <v>0.0313144449650329</v>
      </c>
      <c r="T27" s="9" t="n">
        <f aca="false">IF(AND(ISNUMBER(P27),P27&gt;0),P27*EXP('Read me'!$B$22),"")</f>
        <v>30.7922301168206</v>
      </c>
    </row>
    <row r="28" customFormat="false" ht="15" hidden="false" customHeight="false" outlineLevel="0" collapsed="false">
      <c r="A28" s="14" t="s">
        <v>215</v>
      </c>
      <c r="B28" s="14" t="s">
        <v>98</v>
      </c>
      <c r="C28" s="14" t="s">
        <v>216</v>
      </c>
      <c r="D28" s="14" t="s">
        <v>877</v>
      </c>
      <c r="E28" s="15" t="n">
        <v>25</v>
      </c>
      <c r="F28" s="14" t="s">
        <v>388</v>
      </c>
      <c r="G28" s="8" t="n">
        <v>8</v>
      </c>
      <c r="H28" s="14" t="s">
        <v>892</v>
      </c>
      <c r="I28" s="14" t="s">
        <v>893</v>
      </c>
      <c r="J28" s="14" t="s">
        <v>447</v>
      </c>
      <c r="K28" s="8" t="n">
        <v>5</v>
      </c>
      <c r="L28" s="8" t="n">
        <v>76</v>
      </c>
      <c r="M28" s="8" t="n">
        <v>7</v>
      </c>
      <c r="N28" s="8" t="n">
        <v>42</v>
      </c>
      <c r="O28" s="8" t="n">
        <v>7</v>
      </c>
      <c r="P28" s="9" t="n">
        <v>51.5532212828782</v>
      </c>
      <c r="Q28" s="10" t="n">
        <v>0.0193974299784855</v>
      </c>
      <c r="R28" s="9" t="n">
        <v>29</v>
      </c>
      <c r="S28" s="11" t="n">
        <f aca="false">IF(AND(ISNUMBER(R28),R28&gt;1,P28&gt;0),R28/P28-1,"")</f>
        <v>-0.43747453062392</v>
      </c>
      <c r="T28" s="9" t="n">
        <f aca="false">IF(AND(ISNUMBER(P28),P28&gt;0),P28*EXP('Read me'!$B$22),"")</f>
        <v>62.967246666949</v>
      </c>
    </row>
    <row r="29" customFormat="false" ht="15" hidden="false" customHeight="false" outlineLevel="0" collapsed="false">
      <c r="A29" s="14" t="s">
        <v>215</v>
      </c>
      <c r="B29" s="14" t="s">
        <v>98</v>
      </c>
      <c r="C29" s="14" t="s">
        <v>216</v>
      </c>
      <c r="D29" s="14" t="s">
        <v>877</v>
      </c>
      <c r="E29" s="15" t="n">
        <v>25</v>
      </c>
      <c r="F29" s="14" t="s">
        <v>388</v>
      </c>
      <c r="G29" s="8" t="n">
        <v>8</v>
      </c>
      <c r="H29" s="14" t="s">
        <v>894</v>
      </c>
      <c r="I29" s="14" t="s">
        <v>895</v>
      </c>
      <c r="J29" s="14" t="s">
        <v>896</v>
      </c>
      <c r="K29" s="8" t="n">
        <v>9</v>
      </c>
      <c r="L29" s="8" t="n">
        <v>72</v>
      </c>
      <c r="M29" s="8" t="n">
        <v>9</v>
      </c>
      <c r="N29" s="8" t="n">
        <v>28</v>
      </c>
      <c r="O29" s="8" t="n">
        <v>8</v>
      </c>
      <c r="P29" s="9" t="n">
        <v>231.196316315743</v>
      </c>
      <c r="Q29" s="10" t="n">
        <v>0.0043253284305546</v>
      </c>
      <c r="R29" s="9" t="n">
        <v>67</v>
      </c>
      <c r="S29" s="11" t="n">
        <f aca="false">IF(AND(ISNUMBER(R29),R29&gt;1,P29&gt;0),R29/P29-1,"")</f>
        <v>-0.710202995152836</v>
      </c>
      <c r="T29" s="9" t="n">
        <f aca="false">IF(AND(ISNUMBER(P29),P29&gt;0),P29*EXP('Read me'!$B$22),"")</f>
        <v>282.38381842452</v>
      </c>
    </row>
    <row r="30" customFormat="false" ht="15" hidden="false" customHeight="false" outlineLevel="0" collapsed="false">
      <c r="A30" s="14" t="s">
        <v>255</v>
      </c>
      <c r="B30" s="14" t="s">
        <v>98</v>
      </c>
      <c r="C30" s="14" t="s">
        <v>256</v>
      </c>
      <c r="D30" s="14" t="s">
        <v>877</v>
      </c>
      <c r="E30" s="15" t="n">
        <v>19.5</v>
      </c>
      <c r="F30" s="14" t="s">
        <v>388</v>
      </c>
      <c r="G30" s="8" t="n">
        <v>11</v>
      </c>
      <c r="H30" s="14" t="s">
        <v>257</v>
      </c>
      <c r="I30" s="14" t="s">
        <v>218</v>
      </c>
      <c r="J30" s="14" t="s">
        <v>219</v>
      </c>
      <c r="K30" s="8" t="n">
        <v>1</v>
      </c>
      <c r="L30" s="8" t="n">
        <v>100</v>
      </c>
      <c r="M30" s="8" t="n">
        <v>6</v>
      </c>
      <c r="N30" s="8" t="n">
        <v>70</v>
      </c>
      <c r="O30" s="8" t="n">
        <v>1</v>
      </c>
      <c r="P30" s="9" t="n">
        <v>4.82930999727491</v>
      </c>
      <c r="Q30" s="10" t="n">
        <v>0.207068918865072</v>
      </c>
      <c r="R30" s="9" t="n">
        <v>3.5</v>
      </c>
      <c r="S30" s="11" t="n">
        <f aca="false">IF(AND(ISNUMBER(R30),R30&gt;1,P30&gt;0),R30/P30-1,"")</f>
        <v>-0.275258783972248</v>
      </c>
      <c r="T30" s="9" t="n">
        <f aca="false">IF(AND(ISNUMBER(P30),P30&gt;0),P30*EXP('Read me'!$B$22),"")</f>
        <v>5.89853255068206</v>
      </c>
    </row>
    <row r="31" customFormat="false" ht="15" hidden="false" customHeight="false" outlineLevel="0" collapsed="false">
      <c r="A31" s="14" t="s">
        <v>255</v>
      </c>
      <c r="B31" s="14" t="s">
        <v>98</v>
      </c>
      <c r="C31" s="14" t="s">
        <v>256</v>
      </c>
      <c r="D31" s="14" t="s">
        <v>877</v>
      </c>
      <c r="E31" s="15" t="n">
        <v>19.5</v>
      </c>
      <c r="F31" s="14" t="s">
        <v>388</v>
      </c>
      <c r="G31" s="8" t="n">
        <v>11</v>
      </c>
      <c r="H31" s="14" t="s">
        <v>258</v>
      </c>
      <c r="I31" s="14" t="s">
        <v>1013</v>
      </c>
      <c r="J31" s="14" t="s">
        <v>1014</v>
      </c>
      <c r="K31" s="8" t="n">
        <v>3</v>
      </c>
      <c r="L31" s="8" t="n">
        <v>94</v>
      </c>
      <c r="M31" s="8" t="n">
        <v>7</v>
      </c>
      <c r="N31" s="8" t="n">
        <v>30</v>
      </c>
      <c r="O31" s="8" t="n">
        <v>2</v>
      </c>
      <c r="P31" s="9" t="n">
        <v>5.64912937875498</v>
      </c>
      <c r="Q31" s="10" t="n">
        <v>0.177018427611299</v>
      </c>
      <c r="R31" s="9" t="n">
        <v>6</v>
      </c>
      <c r="S31" s="11" t="n">
        <f aca="false">IF(AND(ISNUMBER(R31),R31&gt;1,P31&gt;0),R31/P31-1,"")</f>
        <v>0.0621105656677925</v>
      </c>
      <c r="T31" s="9" t="n">
        <f aca="false">IF(AND(ISNUMBER(P31),P31&gt;0),P31*EXP('Read me'!$B$22),"")</f>
        <v>6.89986220441498</v>
      </c>
    </row>
    <row r="32" customFormat="false" ht="15" hidden="false" customHeight="false" outlineLevel="0" collapsed="false">
      <c r="A32" s="14" t="s">
        <v>255</v>
      </c>
      <c r="B32" s="14" t="s">
        <v>98</v>
      </c>
      <c r="C32" s="14" t="s">
        <v>256</v>
      </c>
      <c r="D32" s="14" t="s">
        <v>877</v>
      </c>
      <c r="E32" s="15" t="n">
        <v>19.5</v>
      </c>
      <c r="F32" s="14" t="s">
        <v>388</v>
      </c>
      <c r="G32" s="8" t="n">
        <v>11</v>
      </c>
      <c r="H32" s="14" t="s">
        <v>1015</v>
      </c>
      <c r="I32" s="14" t="s">
        <v>881</v>
      </c>
      <c r="J32" s="14" t="s">
        <v>882</v>
      </c>
      <c r="K32" s="8" t="n">
        <v>7</v>
      </c>
      <c r="L32" s="8" t="n">
        <v>100</v>
      </c>
      <c r="M32" s="8" t="n">
        <v>3</v>
      </c>
      <c r="N32" s="8" t="n">
        <v>19</v>
      </c>
      <c r="O32" s="8" t="n">
        <v>3</v>
      </c>
      <c r="P32" s="9" t="n">
        <v>5.7622182079911</v>
      </c>
      <c r="Q32" s="10" t="n">
        <v>0.173544278245692</v>
      </c>
      <c r="R32" s="9" t="n">
        <v>3.5</v>
      </c>
      <c r="S32" s="11" t="n">
        <f aca="false">IF(AND(ISNUMBER(R32),R32&gt;1,P32&gt;0),R32/P32-1,"")</f>
        <v>-0.392595026140078</v>
      </c>
      <c r="T32" s="9" t="n">
        <f aca="false">IF(AND(ISNUMBER(P32),P32&gt;0),P32*EXP('Read me'!$B$22),"")</f>
        <v>7.03798921236108</v>
      </c>
    </row>
    <row r="33" customFormat="false" ht="15" hidden="false" customHeight="false" outlineLevel="0" collapsed="false">
      <c r="A33" s="14" t="s">
        <v>255</v>
      </c>
      <c r="B33" s="14" t="s">
        <v>98</v>
      </c>
      <c r="C33" s="14" t="s">
        <v>256</v>
      </c>
      <c r="D33" s="14" t="s">
        <v>877</v>
      </c>
      <c r="E33" s="15" t="n">
        <v>19.5</v>
      </c>
      <c r="F33" s="14" t="s">
        <v>388</v>
      </c>
      <c r="G33" s="8" t="n">
        <v>11</v>
      </c>
      <c r="H33" s="14" t="s">
        <v>1016</v>
      </c>
      <c r="I33" s="14" t="s">
        <v>1017</v>
      </c>
      <c r="J33" s="14" t="s">
        <v>655</v>
      </c>
      <c r="K33" s="8" t="n">
        <v>2</v>
      </c>
      <c r="L33" s="8" t="n">
        <v>96</v>
      </c>
      <c r="M33" s="8" t="n">
        <v>8</v>
      </c>
      <c r="N33" s="8" t="n">
        <v>18</v>
      </c>
      <c r="O33" s="8" t="n">
        <v>4</v>
      </c>
      <c r="P33" s="9" t="n">
        <v>9.69986356178347</v>
      </c>
      <c r="Q33" s="10" t="n">
        <v>0.103094233607564</v>
      </c>
      <c r="R33" s="9" t="n">
        <v>11</v>
      </c>
      <c r="S33" s="11" t="n">
        <f aca="false">IF(AND(ISNUMBER(R33),R33&gt;1,P33&gt;0),R33/P33-1,"")</f>
        <v>0.134036569683201</v>
      </c>
      <c r="T33" s="9" t="n">
        <f aca="false">IF(AND(ISNUMBER(P33),P33&gt;0),P33*EXP('Read me'!$B$22),"")</f>
        <v>11.8474401081397</v>
      </c>
    </row>
    <row r="34" customFormat="false" ht="15" hidden="false" customHeight="false" outlineLevel="0" collapsed="false">
      <c r="A34" s="14" t="s">
        <v>255</v>
      </c>
      <c r="B34" s="14" t="s">
        <v>98</v>
      </c>
      <c r="C34" s="14" t="s">
        <v>256</v>
      </c>
      <c r="D34" s="14" t="s">
        <v>877</v>
      </c>
      <c r="E34" s="15" t="n">
        <v>19.5</v>
      </c>
      <c r="F34" s="14" t="s">
        <v>388</v>
      </c>
      <c r="G34" s="8" t="n">
        <v>11</v>
      </c>
      <c r="H34" s="14" t="s">
        <v>1018</v>
      </c>
      <c r="I34" s="14" t="s">
        <v>651</v>
      </c>
      <c r="J34" s="14" t="s">
        <v>652</v>
      </c>
      <c r="K34" s="8" t="n">
        <v>8</v>
      </c>
      <c r="L34" s="8" t="n">
        <v>78</v>
      </c>
      <c r="M34" s="8" t="n">
        <v>5</v>
      </c>
      <c r="N34" s="8" t="n">
        <v>12</v>
      </c>
      <c r="O34" s="8" t="n">
        <v>5</v>
      </c>
      <c r="P34" s="9" t="n">
        <v>11.0856858625663</v>
      </c>
      <c r="Q34" s="10" t="n">
        <v>0.0902064168511898</v>
      </c>
      <c r="R34" s="9" t="n">
        <v>17</v>
      </c>
      <c r="S34" s="11" t="n">
        <f aca="false">IF(AND(ISNUMBER(R34),R34&gt;1,P34&gt;0),R34/P34-1,"")</f>
        <v>0.533509086470228</v>
      </c>
      <c r="T34" s="9" t="n">
        <f aca="false">IF(AND(ISNUMBER(P34),P34&gt;0),P34*EXP('Read me'!$B$22),"")</f>
        <v>13.5400872886357</v>
      </c>
    </row>
    <row r="35" customFormat="false" ht="15" hidden="false" customHeight="false" outlineLevel="0" collapsed="false">
      <c r="A35" s="14" t="s">
        <v>255</v>
      </c>
      <c r="B35" s="14" t="s">
        <v>98</v>
      </c>
      <c r="C35" s="14" t="s">
        <v>256</v>
      </c>
      <c r="D35" s="14" t="s">
        <v>877</v>
      </c>
      <c r="E35" s="15" t="n">
        <v>19.5</v>
      </c>
      <c r="F35" s="14" t="s">
        <v>388</v>
      </c>
      <c r="G35" s="8" t="n">
        <v>11</v>
      </c>
      <c r="H35" s="14" t="s">
        <v>1019</v>
      </c>
      <c r="I35" s="14" t="s">
        <v>1020</v>
      </c>
      <c r="J35" s="14" t="s">
        <v>1021</v>
      </c>
      <c r="K35" s="8" t="n">
        <v>4</v>
      </c>
      <c r="L35" s="8" t="n">
        <v>91</v>
      </c>
      <c r="M35" s="8" t="n">
        <v>4</v>
      </c>
      <c r="N35" s="8" t="n">
        <v>56</v>
      </c>
      <c r="O35" s="8" t="n">
        <v>6</v>
      </c>
      <c r="P35" s="9" t="n">
        <v>12.2793292825301</v>
      </c>
      <c r="Q35" s="10" t="n">
        <v>0.0814376727744167</v>
      </c>
      <c r="R35" s="9" t="n">
        <v>12</v>
      </c>
      <c r="S35" s="11" t="n">
        <f aca="false">IF(AND(ISNUMBER(R35),R35&gt;1,P35&gt;0),R35/P35-1,"")</f>
        <v>-0.0227479267069989</v>
      </c>
      <c r="T35" s="9" t="n">
        <f aca="false">IF(AND(ISNUMBER(P35),P35&gt;0),P35*EXP('Read me'!$B$22),"")</f>
        <v>14.9980066540392</v>
      </c>
    </row>
    <row r="36" customFormat="false" ht="15" hidden="false" customHeight="false" outlineLevel="0" collapsed="false">
      <c r="A36" s="14" t="s">
        <v>255</v>
      </c>
      <c r="B36" s="14" t="s">
        <v>98</v>
      </c>
      <c r="C36" s="14" t="s">
        <v>256</v>
      </c>
      <c r="D36" s="14" t="s">
        <v>877</v>
      </c>
      <c r="E36" s="15" t="n">
        <v>19.5</v>
      </c>
      <c r="F36" s="14" t="s">
        <v>388</v>
      </c>
      <c r="G36" s="8" t="n">
        <v>11</v>
      </c>
      <c r="H36" s="14" t="s">
        <v>1022</v>
      </c>
      <c r="I36" s="14" t="s">
        <v>1023</v>
      </c>
      <c r="J36" s="14" t="s">
        <v>952</v>
      </c>
      <c r="K36" s="8" t="n">
        <v>5</v>
      </c>
      <c r="L36" s="8" t="n">
        <v>86</v>
      </c>
      <c r="M36" s="8" t="n">
        <v>9</v>
      </c>
      <c r="N36" s="8" t="n">
        <v>29</v>
      </c>
      <c r="O36" s="8" t="n">
        <v>7</v>
      </c>
      <c r="P36" s="9" t="n">
        <v>12.973333914084</v>
      </c>
      <c r="Q36" s="10" t="n">
        <v>0.0770811887385697</v>
      </c>
      <c r="R36" s="9" t="n">
        <v>13</v>
      </c>
      <c r="S36" s="11" t="n">
        <f aca="false">IF(AND(ISNUMBER(R36),R36&gt;1,P36&gt;0),R36/P36-1,"")</f>
        <v>0.00205545360140702</v>
      </c>
      <c r="T36" s="9" t="n">
        <f aca="false">IF(AND(ISNUMBER(P36),P36&gt;0),P36*EXP('Read me'!$B$22),"")</f>
        <v>15.8456658251951</v>
      </c>
    </row>
    <row r="37" customFormat="false" ht="15" hidden="false" customHeight="false" outlineLevel="0" collapsed="false">
      <c r="A37" s="14" t="s">
        <v>255</v>
      </c>
      <c r="B37" s="14" t="s">
        <v>98</v>
      </c>
      <c r="C37" s="14" t="s">
        <v>256</v>
      </c>
      <c r="D37" s="14" t="s">
        <v>877</v>
      </c>
      <c r="E37" s="15" t="n">
        <v>19.5</v>
      </c>
      <c r="F37" s="14" t="s">
        <v>388</v>
      </c>
      <c r="G37" s="8" t="n">
        <v>11</v>
      </c>
      <c r="H37" s="14" t="s">
        <v>1024</v>
      </c>
      <c r="I37" s="14" t="s">
        <v>523</v>
      </c>
      <c r="J37" s="14" t="s">
        <v>1025</v>
      </c>
      <c r="K37" s="8" t="n">
        <v>9</v>
      </c>
      <c r="L37" s="8" t="n">
        <v>74</v>
      </c>
      <c r="M37" s="8" t="n">
        <v>7</v>
      </c>
      <c r="N37" s="8" t="n">
        <v>22</v>
      </c>
      <c r="O37" s="8" t="n">
        <v>8</v>
      </c>
      <c r="P37" s="9" t="n">
        <v>17.0334653099285</v>
      </c>
      <c r="Q37" s="10" t="n">
        <v>0.0587079599954987</v>
      </c>
      <c r="R37" s="9" t="n">
        <v>12</v>
      </c>
      <c r="S37" s="11" t="n">
        <f aca="false">IF(AND(ISNUMBER(R37),R37&gt;1,P37&gt;0),R37/P37-1,"")</f>
        <v>-0.295504480054015</v>
      </c>
      <c r="T37" s="9" t="n">
        <f aca="false">IF(AND(ISNUMBER(P37),P37&gt;0),P37*EXP('Read me'!$B$22),"")</f>
        <v>20.8047215105723</v>
      </c>
    </row>
    <row r="38" customFormat="false" ht="15" hidden="false" customHeight="false" outlineLevel="0" collapsed="false">
      <c r="A38" s="14" t="s">
        <v>255</v>
      </c>
      <c r="B38" s="14" t="s">
        <v>98</v>
      </c>
      <c r="C38" s="14" t="s">
        <v>256</v>
      </c>
      <c r="D38" s="14" t="s">
        <v>877</v>
      </c>
      <c r="E38" s="15" t="n">
        <v>19.5</v>
      </c>
      <c r="F38" s="14" t="s">
        <v>388</v>
      </c>
      <c r="G38" s="8" t="n">
        <v>11</v>
      </c>
      <c r="H38" s="14" t="s">
        <v>1026</v>
      </c>
      <c r="I38" s="14" t="s">
        <v>1027</v>
      </c>
      <c r="J38" s="14" t="s">
        <v>1028</v>
      </c>
      <c r="K38" s="8" t="n">
        <v>6</v>
      </c>
      <c r="L38" s="8" t="n">
        <v>81</v>
      </c>
      <c r="M38" s="8" t="n">
        <v>8</v>
      </c>
      <c r="N38" s="8" t="n">
        <v>37</v>
      </c>
      <c r="O38" s="8" t="n">
        <v>9</v>
      </c>
      <c r="P38" s="9" t="n">
        <v>40.8577162640954</v>
      </c>
      <c r="Q38" s="10" t="n">
        <v>0.0244751809801658</v>
      </c>
      <c r="R38" s="9" t="n">
        <v>26</v>
      </c>
      <c r="S38" s="11" t="n">
        <f aca="false">IF(AND(ISNUMBER(R38),R38&gt;1,P38&gt;0),R38/P38-1,"")</f>
        <v>-0.363645294515688</v>
      </c>
      <c r="T38" s="9" t="n">
        <f aca="false">IF(AND(ISNUMBER(P38),P38&gt;0),P38*EXP('Read me'!$B$22),"")</f>
        <v>49.9037273370917</v>
      </c>
    </row>
    <row r="39" customFormat="false" ht="15" hidden="false" customHeight="false" outlineLevel="0" collapsed="false">
      <c r="A39" s="14" t="s">
        <v>255</v>
      </c>
      <c r="B39" s="14" t="s">
        <v>98</v>
      </c>
      <c r="C39" s="14" t="s">
        <v>256</v>
      </c>
      <c r="D39" s="14" t="s">
        <v>877</v>
      </c>
      <c r="E39" s="15" t="n">
        <v>19.5</v>
      </c>
      <c r="F39" s="14" t="s">
        <v>388</v>
      </c>
      <c r="G39" s="8" t="n">
        <v>11</v>
      </c>
      <c r="H39" s="14" t="s">
        <v>1029</v>
      </c>
      <c r="I39" s="14" t="s">
        <v>895</v>
      </c>
      <c r="J39" s="14" t="s">
        <v>178</v>
      </c>
      <c r="K39" s="8" t="n">
        <v>11</v>
      </c>
      <c r="L39" s="8" t="n">
        <v>77</v>
      </c>
      <c r="M39" s="8" t="n">
        <v>4</v>
      </c>
      <c r="N39" s="8" t="n">
        <v>16</v>
      </c>
      <c r="O39" s="8" t="n">
        <v>10</v>
      </c>
      <c r="P39" s="9" t="n">
        <v>252.700608933006</v>
      </c>
      <c r="Q39" s="10" t="n">
        <v>0.0039572520391714</v>
      </c>
      <c r="R39" s="9" t="n">
        <v>101</v>
      </c>
      <c r="S39" s="11" t="n">
        <f aca="false">IF(AND(ISNUMBER(R39),R39&gt;1,P39&gt;0),R39/P39-1,"")</f>
        <v>-0.600317544043686</v>
      </c>
      <c r="T39" s="9" t="n">
        <f aca="false">IF(AND(ISNUMBER(P39),P39&gt;0),P39*EXP('Read me'!$B$22),"")</f>
        <v>308.649220739528</v>
      </c>
    </row>
    <row r="40" customFormat="false" ht="15" hidden="false" customHeight="false" outlineLevel="0" collapsed="false">
      <c r="A40" s="14" t="s">
        <v>255</v>
      </c>
      <c r="B40" s="14" t="s">
        <v>98</v>
      </c>
      <c r="C40" s="14" t="s">
        <v>256</v>
      </c>
      <c r="D40" s="14" t="s">
        <v>877</v>
      </c>
      <c r="E40" s="15" t="n">
        <v>19.5</v>
      </c>
      <c r="F40" s="14" t="s">
        <v>388</v>
      </c>
      <c r="G40" s="8" t="n">
        <v>11</v>
      </c>
      <c r="H40" s="14" t="s">
        <v>1030</v>
      </c>
      <c r="I40" s="14" t="s">
        <v>1031</v>
      </c>
      <c r="J40" s="14" t="s">
        <v>1032</v>
      </c>
      <c r="K40" s="8" t="n">
        <v>10</v>
      </c>
      <c r="L40" s="8" t="n">
        <v>77</v>
      </c>
      <c r="M40" s="8" t="n">
        <v>4</v>
      </c>
      <c r="N40" s="8" t="n">
        <v>21</v>
      </c>
      <c r="O40" s="8" t="n">
        <v>11</v>
      </c>
      <c r="P40" s="9" t="n">
        <v>293.386743764381</v>
      </c>
      <c r="Q40" s="10" t="n">
        <v>0.0034084702913608</v>
      </c>
      <c r="R40" s="9" t="n">
        <v>67</v>
      </c>
      <c r="S40" s="11" t="n">
        <f aca="false">IF(AND(ISNUMBER(R40),R40&gt;1,P40&gt;0),R40/P40-1,"")</f>
        <v>-0.771632490478821</v>
      </c>
      <c r="T40" s="9" t="n">
        <f aca="false">IF(AND(ISNUMBER(P40),P40&gt;0),P40*EXP('Read me'!$B$22),"")</f>
        <v>358.343378041446</v>
      </c>
    </row>
    <row r="41" customFormat="false" ht="15" hidden="false" customHeight="false" outlineLevel="0" collapsed="false">
      <c r="A41" s="14" t="s">
        <v>285</v>
      </c>
      <c r="B41" s="14" t="s">
        <v>98</v>
      </c>
      <c r="C41" s="14" t="s">
        <v>286</v>
      </c>
      <c r="D41" s="14" t="s">
        <v>366</v>
      </c>
      <c r="E41" s="15" t="n">
        <v>17.5</v>
      </c>
      <c r="F41" s="14" t="s">
        <v>388</v>
      </c>
      <c r="G41" s="8" t="n">
        <v>12</v>
      </c>
      <c r="H41" s="14" t="s">
        <v>287</v>
      </c>
      <c r="I41" s="14" t="s">
        <v>288</v>
      </c>
      <c r="J41" s="14" t="s">
        <v>289</v>
      </c>
      <c r="K41" s="8" t="n">
        <v>4</v>
      </c>
      <c r="L41" s="8" t="n">
        <v>128</v>
      </c>
      <c r="M41" s="8" t="n">
        <v>6</v>
      </c>
      <c r="N41" s="8" t="n">
        <v>157</v>
      </c>
      <c r="O41" s="8" t="n">
        <v>1</v>
      </c>
      <c r="P41" s="9" t="n">
        <v>4.92085280123625</v>
      </c>
      <c r="Q41" s="10" t="n">
        <v>0.203216808222504</v>
      </c>
      <c r="R41" s="9" t="n">
        <v>4.33333333333333</v>
      </c>
      <c r="S41" s="11" t="n">
        <f aca="false">IF(AND(ISNUMBER(R41),R41&gt;1,P41&gt;0),R41/P41-1,"")</f>
        <v>-0.119393831035815</v>
      </c>
      <c r="T41" s="9" t="n">
        <f aca="false">IF(AND(ISNUMBER(P41),P41&gt;0),P41*EXP('Read me'!$B$22),"")</f>
        <v>6.01034318393015</v>
      </c>
    </row>
    <row r="42" customFormat="false" ht="15" hidden="false" customHeight="false" outlineLevel="0" collapsed="false">
      <c r="A42" s="14" t="s">
        <v>285</v>
      </c>
      <c r="B42" s="14" t="s">
        <v>98</v>
      </c>
      <c r="C42" s="14" t="s">
        <v>286</v>
      </c>
      <c r="D42" s="14" t="s">
        <v>366</v>
      </c>
      <c r="E42" s="15" t="n">
        <v>17.5</v>
      </c>
      <c r="F42" s="14" t="s">
        <v>388</v>
      </c>
      <c r="G42" s="8" t="n">
        <v>12</v>
      </c>
      <c r="H42" s="14" t="s">
        <v>290</v>
      </c>
      <c r="I42" s="14" t="s">
        <v>138</v>
      </c>
      <c r="J42" s="14" t="s">
        <v>139</v>
      </c>
      <c r="K42" s="8" t="n">
        <v>3</v>
      </c>
      <c r="L42" s="8" t="n">
        <v>132</v>
      </c>
      <c r="M42" s="8" t="n">
        <v>4</v>
      </c>
      <c r="N42" s="8" t="n">
        <v>19</v>
      </c>
      <c r="O42" s="8" t="n">
        <v>2</v>
      </c>
      <c r="P42" s="9" t="n">
        <v>5.50947077011947</v>
      </c>
      <c r="Q42" s="10" t="n">
        <v>0.181505636698081</v>
      </c>
      <c r="R42" s="9" t="n">
        <v>12</v>
      </c>
      <c r="S42" s="11" t="n">
        <f aca="false">IF(AND(ISNUMBER(R42),R42&gt;1,P42&gt;0),R42/P42-1,"")</f>
        <v>1.17806764037697</v>
      </c>
      <c r="T42" s="9" t="n">
        <f aca="false">IF(AND(ISNUMBER(P42),P42&gt;0),P42*EXP('Read me'!$B$22),"")</f>
        <v>6.72928279462676</v>
      </c>
    </row>
    <row r="43" customFormat="false" ht="15" hidden="false" customHeight="false" outlineLevel="0" collapsed="false">
      <c r="A43" s="14" t="s">
        <v>285</v>
      </c>
      <c r="B43" s="14" t="s">
        <v>98</v>
      </c>
      <c r="C43" s="14" t="s">
        <v>286</v>
      </c>
      <c r="D43" s="14" t="s">
        <v>366</v>
      </c>
      <c r="E43" s="15" t="n">
        <v>17.5</v>
      </c>
      <c r="F43" s="14" t="s">
        <v>388</v>
      </c>
      <c r="G43" s="8" t="n">
        <v>12</v>
      </c>
      <c r="H43" s="14" t="s">
        <v>1113</v>
      </c>
      <c r="I43" s="14" t="s">
        <v>101</v>
      </c>
      <c r="J43" s="14" t="s">
        <v>1114</v>
      </c>
      <c r="K43" s="8" t="n">
        <v>1</v>
      </c>
      <c r="L43" s="8" t="n">
        <v>137</v>
      </c>
      <c r="M43" s="8" t="n">
        <v>6</v>
      </c>
      <c r="N43" s="8" t="n">
        <v>70</v>
      </c>
      <c r="O43" s="8" t="n">
        <v>3</v>
      </c>
      <c r="P43" s="9" t="n">
        <v>6.40269352337927</v>
      </c>
      <c r="Q43" s="10" t="n">
        <v>0.156184267816119</v>
      </c>
      <c r="R43" s="9" t="n">
        <v>7</v>
      </c>
      <c r="S43" s="11" t="n">
        <f aca="false">IF(AND(ISNUMBER(R43),R43&gt;1,P43&gt;0),R43/P43-1,"")</f>
        <v>0.0932898747128352</v>
      </c>
      <c r="T43" s="9" t="n">
        <f aca="false">IF(AND(ISNUMBER(P43),P43&gt;0),P43*EXP('Read me'!$B$22),"")</f>
        <v>7.82026752910969</v>
      </c>
    </row>
    <row r="44" customFormat="false" ht="15" hidden="false" customHeight="false" outlineLevel="0" collapsed="false">
      <c r="A44" s="14" t="s">
        <v>285</v>
      </c>
      <c r="B44" s="14" t="s">
        <v>98</v>
      </c>
      <c r="C44" s="14" t="s">
        <v>286</v>
      </c>
      <c r="D44" s="14" t="s">
        <v>366</v>
      </c>
      <c r="E44" s="15" t="n">
        <v>17.5</v>
      </c>
      <c r="F44" s="14" t="s">
        <v>388</v>
      </c>
      <c r="G44" s="8" t="n">
        <v>12</v>
      </c>
      <c r="H44" s="14" t="s">
        <v>1115</v>
      </c>
      <c r="I44" s="14" t="s">
        <v>648</v>
      </c>
      <c r="J44" s="14" t="s">
        <v>643</v>
      </c>
      <c r="K44" s="8" t="n">
        <v>2</v>
      </c>
      <c r="L44" s="8" t="n">
        <v>135</v>
      </c>
      <c r="M44" s="8" t="n">
        <v>4</v>
      </c>
      <c r="N44" s="8" t="n">
        <v>170</v>
      </c>
      <c r="O44" s="8" t="n">
        <v>4</v>
      </c>
      <c r="P44" s="9" t="n">
        <v>10.065997115481</v>
      </c>
      <c r="Q44" s="10" t="n">
        <v>0.0993443559070812</v>
      </c>
      <c r="R44" s="9" t="n">
        <v>6.5</v>
      </c>
      <c r="S44" s="11" t="n">
        <f aca="false">IF(AND(ISNUMBER(R44),R44&gt;1,P44&gt;0),R44/P44-1,"")</f>
        <v>-0.354261686603972</v>
      </c>
      <c r="T44" s="9" t="n">
        <f aca="false">IF(AND(ISNUMBER(P44),P44&gt;0),P44*EXP('Read me'!$B$22),"")</f>
        <v>12.2946366404808</v>
      </c>
    </row>
    <row r="45" customFormat="false" ht="15" hidden="false" customHeight="false" outlineLevel="0" collapsed="false">
      <c r="A45" s="14" t="s">
        <v>285</v>
      </c>
      <c r="B45" s="14" t="s">
        <v>98</v>
      </c>
      <c r="C45" s="14" t="s">
        <v>286</v>
      </c>
      <c r="D45" s="14" t="s">
        <v>366</v>
      </c>
      <c r="E45" s="15" t="n">
        <v>17.5</v>
      </c>
      <c r="F45" s="14" t="s">
        <v>388</v>
      </c>
      <c r="G45" s="8" t="n">
        <v>12</v>
      </c>
      <c r="H45" s="14" t="s">
        <v>1116</v>
      </c>
      <c r="I45" s="14" t="s">
        <v>1117</v>
      </c>
      <c r="J45" s="14" t="s">
        <v>1014</v>
      </c>
      <c r="K45" s="8" t="n">
        <v>9</v>
      </c>
      <c r="L45" s="8" t="n">
        <v>118</v>
      </c>
      <c r="M45" s="8" t="n">
        <v>7</v>
      </c>
      <c r="N45" s="8" t="n">
        <v>42</v>
      </c>
      <c r="O45" s="8" t="n">
        <v>5</v>
      </c>
      <c r="P45" s="9" t="n">
        <v>13.1789858386617</v>
      </c>
      <c r="Q45" s="10" t="n">
        <v>0.0758783727550879</v>
      </c>
      <c r="R45" s="9" t="n">
        <v>13</v>
      </c>
      <c r="S45" s="11" t="n">
        <f aca="false">IF(AND(ISNUMBER(R45),R45&gt;1,P45&gt;0),R45/P45-1,"")</f>
        <v>-0.0135811541838567</v>
      </c>
      <c r="T45" s="9" t="n">
        <f aca="false">IF(AND(ISNUMBER(P45),P45&gt;0),P45*EXP('Read me'!$B$22),"")</f>
        <v>16.0968496530953</v>
      </c>
    </row>
    <row r="46" customFormat="false" ht="15" hidden="false" customHeight="false" outlineLevel="0" collapsed="false">
      <c r="A46" s="14" t="s">
        <v>285</v>
      </c>
      <c r="B46" s="14" t="s">
        <v>98</v>
      </c>
      <c r="C46" s="14" t="s">
        <v>286</v>
      </c>
      <c r="D46" s="14" t="s">
        <v>366</v>
      </c>
      <c r="E46" s="15" t="n">
        <v>17.5</v>
      </c>
      <c r="F46" s="14" t="s">
        <v>388</v>
      </c>
      <c r="G46" s="8" t="n">
        <v>12</v>
      </c>
      <c r="H46" s="14" t="s">
        <v>1118</v>
      </c>
      <c r="I46" s="14" t="s">
        <v>1020</v>
      </c>
      <c r="J46" s="14" t="s">
        <v>1021</v>
      </c>
      <c r="K46" s="8" t="n">
        <v>6</v>
      </c>
      <c r="L46" s="8" t="n">
        <v>123</v>
      </c>
      <c r="M46" s="8" t="n">
        <v>5</v>
      </c>
      <c r="N46" s="8" t="n">
        <v>28</v>
      </c>
      <c r="O46" s="8" t="n">
        <v>6</v>
      </c>
      <c r="P46" s="9" t="n">
        <v>13.6269666763736</v>
      </c>
      <c r="Q46" s="10" t="n">
        <v>0.0733839029439907</v>
      </c>
      <c r="R46" s="9" t="n">
        <v>19</v>
      </c>
      <c r="S46" s="11" t="n">
        <f aca="false">IF(AND(ISNUMBER(R46),R46&gt;1,P46&gt;0),R46/P46-1,"")</f>
        <v>0.394294155935825</v>
      </c>
      <c r="T46" s="9" t="n">
        <f aca="false">IF(AND(ISNUMBER(P46),P46&gt;0),P46*EXP('Read me'!$B$22),"")</f>
        <v>16.6440146838795</v>
      </c>
    </row>
    <row r="47" customFormat="false" ht="15" hidden="false" customHeight="false" outlineLevel="0" collapsed="false">
      <c r="A47" s="14" t="s">
        <v>285</v>
      </c>
      <c r="B47" s="14" t="s">
        <v>98</v>
      </c>
      <c r="C47" s="14" t="s">
        <v>286</v>
      </c>
      <c r="D47" s="14" t="s">
        <v>366</v>
      </c>
      <c r="E47" s="15" t="n">
        <v>17.5</v>
      </c>
      <c r="F47" s="14" t="s">
        <v>388</v>
      </c>
      <c r="G47" s="8" t="n">
        <v>12</v>
      </c>
      <c r="H47" s="14" t="s">
        <v>1119</v>
      </c>
      <c r="I47" s="14" t="s">
        <v>1120</v>
      </c>
      <c r="J47" s="14" t="s">
        <v>381</v>
      </c>
      <c r="K47" s="8" t="n">
        <v>10</v>
      </c>
      <c r="L47" s="8" t="n">
        <v>115</v>
      </c>
      <c r="M47" s="8" t="n">
        <v>4</v>
      </c>
      <c r="N47" s="8" t="n">
        <v>16</v>
      </c>
      <c r="O47" s="8" t="n">
        <v>7</v>
      </c>
      <c r="P47" s="9" t="n">
        <v>16.2442092978965</v>
      </c>
      <c r="Q47" s="10" t="n">
        <v>0.0615603986418404</v>
      </c>
      <c r="R47" s="9" t="n">
        <v>5</v>
      </c>
      <c r="S47" s="11" t="n">
        <f aca="false">IF(AND(ISNUMBER(R47),R47&gt;1,P47&gt;0),R47/P47-1,"")</f>
        <v>-0.692198006790798</v>
      </c>
      <c r="T47" s="9" t="n">
        <f aca="false">IF(AND(ISNUMBER(P47),P47&gt;0),P47*EXP('Read me'!$B$22),"")</f>
        <v>19.8407220405819</v>
      </c>
    </row>
    <row r="48" customFormat="false" ht="15" hidden="false" customHeight="false" outlineLevel="0" collapsed="false">
      <c r="A48" s="14" t="s">
        <v>285</v>
      </c>
      <c r="B48" s="14" t="s">
        <v>98</v>
      </c>
      <c r="C48" s="14" t="s">
        <v>286</v>
      </c>
      <c r="D48" s="14" t="s">
        <v>366</v>
      </c>
      <c r="E48" s="15" t="n">
        <v>17.5</v>
      </c>
      <c r="F48" s="14" t="s">
        <v>388</v>
      </c>
      <c r="G48" s="8" t="n">
        <v>12</v>
      </c>
      <c r="H48" s="14" t="s">
        <v>1121</v>
      </c>
      <c r="I48" s="14" t="s">
        <v>1013</v>
      </c>
      <c r="J48" s="14" t="s">
        <v>1014</v>
      </c>
      <c r="K48" s="8" t="n">
        <v>7</v>
      </c>
      <c r="L48" s="8" t="n">
        <v>122</v>
      </c>
      <c r="M48" s="8" t="n">
        <v>7</v>
      </c>
      <c r="N48" s="8" t="n">
        <v>35</v>
      </c>
      <c r="O48" s="8" t="n">
        <v>8</v>
      </c>
      <c r="P48" s="9" t="n">
        <v>18.9850253182367</v>
      </c>
      <c r="Q48" s="10" t="n">
        <v>0.0526730927790451</v>
      </c>
      <c r="R48" s="9" t="n">
        <v>9.5</v>
      </c>
      <c r="S48" s="11" t="n">
        <f aca="false">IF(AND(ISNUMBER(R48),R48&gt;1,P48&gt;0),R48/P48-1,"")</f>
        <v>-0.499605618599071</v>
      </c>
      <c r="T48" s="9" t="n">
        <f aca="false">IF(AND(ISNUMBER(P48),P48&gt;0),P48*EXP('Read me'!$B$22),"")</f>
        <v>23.1883622874349</v>
      </c>
    </row>
    <row r="49" customFormat="false" ht="15" hidden="false" customHeight="false" outlineLevel="0" collapsed="false">
      <c r="A49" s="14" t="s">
        <v>285</v>
      </c>
      <c r="B49" s="14" t="s">
        <v>98</v>
      </c>
      <c r="C49" s="14" t="s">
        <v>286</v>
      </c>
      <c r="D49" s="14" t="s">
        <v>366</v>
      </c>
      <c r="E49" s="15" t="n">
        <v>17.5</v>
      </c>
      <c r="F49" s="14" t="s">
        <v>388</v>
      </c>
      <c r="G49" s="8" t="n">
        <v>12</v>
      </c>
      <c r="H49" s="14" t="s">
        <v>1122</v>
      </c>
      <c r="I49" s="14" t="s">
        <v>764</v>
      </c>
      <c r="J49" s="14" t="s">
        <v>1123</v>
      </c>
      <c r="K49" s="8" t="n">
        <v>11</v>
      </c>
      <c r="L49" s="8" t="n">
        <v>112</v>
      </c>
      <c r="M49" s="8" t="n">
        <v>5</v>
      </c>
      <c r="N49" s="8" t="n">
        <v>19</v>
      </c>
      <c r="O49" s="8" t="n">
        <v>9</v>
      </c>
      <c r="P49" s="9" t="n">
        <v>24.7642184042516</v>
      </c>
      <c r="Q49" s="10" t="n">
        <v>0.0403808423781433</v>
      </c>
      <c r="R49" s="9" t="n">
        <v>12</v>
      </c>
      <c r="S49" s="11" t="n">
        <f aca="false">IF(AND(ISNUMBER(R49),R49&gt;1,P49&gt;0),R49/P49-1,"")</f>
        <v>-0.51542989146228</v>
      </c>
      <c r="T49" s="9" t="n">
        <f aca="false">IF(AND(ISNUMBER(P49),P49&gt;0),P49*EXP('Read me'!$B$22),"")</f>
        <v>30.2470846626337</v>
      </c>
    </row>
    <row r="50" customFormat="false" ht="15" hidden="false" customHeight="false" outlineLevel="0" collapsed="false">
      <c r="A50" s="14" t="s">
        <v>285</v>
      </c>
      <c r="B50" s="14" t="s">
        <v>98</v>
      </c>
      <c r="C50" s="14" t="s">
        <v>286</v>
      </c>
      <c r="D50" s="14" t="s">
        <v>366</v>
      </c>
      <c r="E50" s="15" t="n">
        <v>17.5</v>
      </c>
      <c r="F50" s="14" t="s">
        <v>388</v>
      </c>
      <c r="G50" s="8" t="n">
        <v>12</v>
      </c>
      <c r="H50" s="14" t="s">
        <v>1124</v>
      </c>
      <c r="I50" s="14" t="s">
        <v>1125</v>
      </c>
      <c r="J50" s="14" t="s">
        <v>85</v>
      </c>
      <c r="K50" s="8" t="n">
        <v>8</v>
      </c>
      <c r="L50" s="8" t="n">
        <v>119</v>
      </c>
      <c r="M50" s="8" t="n">
        <v>8</v>
      </c>
      <c r="N50" s="8" t="n">
        <v>28</v>
      </c>
      <c r="O50" s="8" t="n">
        <v>10</v>
      </c>
      <c r="P50" s="9" t="n">
        <v>39.7566301702914</v>
      </c>
      <c r="Q50" s="10" t="n">
        <v>0.0251530372598647</v>
      </c>
      <c r="R50" s="9" t="n">
        <v>29</v>
      </c>
      <c r="S50" s="11" t="n">
        <f aca="false">IF(AND(ISNUMBER(R50),R50&gt;1,P50&gt;0),R50/P50-1,"")</f>
        <v>-0.270561919463923</v>
      </c>
      <c r="T50" s="9" t="n">
        <f aca="false">IF(AND(ISNUMBER(P50),P50&gt;0),P50*EXP('Read me'!$B$22),"")</f>
        <v>48.5588577451477</v>
      </c>
    </row>
    <row r="51" customFormat="false" ht="15" hidden="false" customHeight="false" outlineLevel="0" collapsed="false">
      <c r="A51" s="14" t="s">
        <v>285</v>
      </c>
      <c r="B51" s="14" t="s">
        <v>98</v>
      </c>
      <c r="C51" s="14" t="s">
        <v>286</v>
      </c>
      <c r="D51" s="14" t="s">
        <v>366</v>
      </c>
      <c r="E51" s="15" t="n">
        <v>17.5</v>
      </c>
      <c r="F51" s="14" t="s">
        <v>388</v>
      </c>
      <c r="G51" s="8" t="n">
        <v>12</v>
      </c>
      <c r="H51" s="14" t="s">
        <v>1126</v>
      </c>
      <c r="I51" s="14" t="s">
        <v>1127</v>
      </c>
      <c r="J51" s="14" t="s">
        <v>643</v>
      </c>
      <c r="K51" s="8" t="n">
        <v>12</v>
      </c>
      <c r="L51" s="8" t="n">
        <v>111</v>
      </c>
      <c r="M51" s="8" t="n">
        <v>8</v>
      </c>
      <c r="N51" s="8" t="n">
        <v>26</v>
      </c>
      <c r="O51" s="8" t="n">
        <v>11</v>
      </c>
      <c r="P51" s="9" t="n">
        <v>62.8312802287646</v>
      </c>
      <c r="Q51" s="10" t="n">
        <v>0.0159156394133473</v>
      </c>
      <c r="R51" s="9" t="n">
        <v>51</v>
      </c>
      <c r="S51" s="11" t="n">
        <f aca="false">IF(AND(ISNUMBER(R51),R51&gt;1,P51&gt;0),R51/P51-1,"")</f>
        <v>-0.188302389919284</v>
      </c>
      <c r="T51" s="9" t="n">
        <f aca="false">IF(AND(ISNUMBER(P51),P51&gt;0),P51*EXP('Read me'!$B$22),"")</f>
        <v>76.7422989701476</v>
      </c>
    </row>
    <row r="52" customFormat="false" ht="15" hidden="false" customHeight="false" outlineLevel="0" collapsed="false">
      <c r="A52" s="14" t="s">
        <v>285</v>
      </c>
      <c r="B52" s="14" t="s">
        <v>98</v>
      </c>
      <c r="C52" s="14" t="s">
        <v>286</v>
      </c>
      <c r="D52" s="14" t="s">
        <v>366</v>
      </c>
      <c r="E52" s="15" t="n">
        <v>17.5</v>
      </c>
      <c r="F52" s="14" t="s">
        <v>388</v>
      </c>
      <c r="G52" s="8" t="n">
        <v>12</v>
      </c>
      <c r="H52" s="14" t="s">
        <v>1128</v>
      </c>
      <c r="I52" s="14" t="s">
        <v>1129</v>
      </c>
      <c r="J52" s="14" t="s">
        <v>517</v>
      </c>
      <c r="K52" s="8" t="n">
        <v>5</v>
      </c>
      <c r="L52" s="8" t="n">
        <v>128</v>
      </c>
      <c r="M52" s="8" t="n">
        <v>6</v>
      </c>
      <c r="N52" s="8" t="n">
        <v>111</v>
      </c>
      <c r="O52" s="8" t="n">
        <v>12</v>
      </c>
      <c r="P52" s="9" t="n">
        <v>67.5509300250174</v>
      </c>
      <c r="Q52" s="10" t="n">
        <v>0.0148036451848945</v>
      </c>
      <c r="R52" s="9" t="n">
        <v>29</v>
      </c>
      <c r="S52" s="11" t="n">
        <f aca="false">IF(AND(ISNUMBER(R52),R52&gt;1,P52&gt;0),R52/P52-1,"")</f>
        <v>-0.570694289638057</v>
      </c>
      <c r="T52" s="9" t="n">
        <f aca="false">IF(AND(ISNUMBER(P52),P52&gt;0),P52*EXP('Read me'!$B$22),"")</f>
        <v>82.5068922488408</v>
      </c>
    </row>
    <row r="53" customFormat="false" ht="15" hidden="false" customHeight="false" outlineLevel="0" collapsed="false">
      <c r="A53" s="14" t="s">
        <v>309</v>
      </c>
      <c r="B53" s="14" t="s">
        <v>98</v>
      </c>
      <c r="C53" s="14" t="s">
        <v>310</v>
      </c>
      <c r="D53" s="14" t="s">
        <v>877</v>
      </c>
      <c r="E53" s="15" t="n">
        <v>24</v>
      </c>
      <c r="F53" s="14" t="s">
        <v>388</v>
      </c>
      <c r="G53" s="8" t="n">
        <v>10</v>
      </c>
      <c r="H53" s="14" t="s">
        <v>311</v>
      </c>
      <c r="I53" s="14" t="s">
        <v>218</v>
      </c>
      <c r="J53" s="14" t="s">
        <v>219</v>
      </c>
      <c r="K53" s="8" t="n">
        <v>5</v>
      </c>
      <c r="L53" s="8" t="n">
        <v>86</v>
      </c>
      <c r="M53" s="8" t="n">
        <v>8</v>
      </c>
      <c r="N53" s="8" t="n">
        <v>16</v>
      </c>
      <c r="O53" s="8" t="n">
        <v>1</v>
      </c>
      <c r="P53" s="9" t="n">
        <v>4.11203764040962</v>
      </c>
      <c r="Q53" s="10" t="n">
        <v>0.243188435381245</v>
      </c>
      <c r="R53" s="9" t="n">
        <v>4.5</v>
      </c>
      <c r="S53" s="11" t="n">
        <f aca="false">IF(AND(ISNUMBER(R53),R53&gt;1,P53&gt;0),R53/P53-1,"")</f>
        <v>0.0943479592156007</v>
      </c>
      <c r="T53" s="9" t="n">
        <f aca="false">IF(AND(ISNUMBER(P53),P53&gt;0),P53*EXP('Read me'!$B$22),"")</f>
        <v>5.02245411565475</v>
      </c>
    </row>
    <row r="54" customFormat="false" ht="15" hidden="false" customHeight="false" outlineLevel="0" collapsed="false">
      <c r="A54" s="14" t="s">
        <v>309</v>
      </c>
      <c r="B54" s="14" t="s">
        <v>98</v>
      </c>
      <c r="C54" s="14" t="s">
        <v>310</v>
      </c>
      <c r="D54" s="14" t="s">
        <v>877</v>
      </c>
      <c r="E54" s="15" t="n">
        <v>24</v>
      </c>
      <c r="F54" s="14" t="s">
        <v>388</v>
      </c>
      <c r="G54" s="8" t="n">
        <v>10</v>
      </c>
      <c r="H54" s="14" t="s">
        <v>312</v>
      </c>
      <c r="I54" s="14" t="s">
        <v>288</v>
      </c>
      <c r="J54" s="14" t="s">
        <v>289</v>
      </c>
      <c r="K54" s="8" t="n">
        <v>4</v>
      </c>
      <c r="L54" s="8" t="n">
        <v>89</v>
      </c>
      <c r="M54" s="8" t="n">
        <v>8</v>
      </c>
      <c r="N54" s="8" t="n">
        <v>35</v>
      </c>
      <c r="O54" s="8" t="n">
        <v>2</v>
      </c>
      <c r="P54" s="9" t="n">
        <v>6.24520924669666</v>
      </c>
      <c r="Q54" s="10" t="n">
        <v>0.160122737365276</v>
      </c>
      <c r="R54" s="9" t="n">
        <v>3.75</v>
      </c>
      <c r="S54" s="11" t="n">
        <f aca="false">IF(AND(ISNUMBER(R54),R54&gt;1,P54&gt;0),R54/P54-1,"")</f>
        <v>-0.399539734880217</v>
      </c>
      <c r="T54" s="9" t="n">
        <f aca="false">IF(AND(ISNUMBER(P54),P54&gt;0),P54*EXP('Read me'!$B$22),"")</f>
        <v>7.6279157992027</v>
      </c>
    </row>
    <row r="55" customFormat="false" ht="15" hidden="false" customHeight="false" outlineLevel="0" collapsed="false">
      <c r="A55" s="14" t="s">
        <v>309</v>
      </c>
      <c r="B55" s="14" t="s">
        <v>98</v>
      </c>
      <c r="C55" s="14" t="s">
        <v>310</v>
      </c>
      <c r="D55" s="14" t="s">
        <v>877</v>
      </c>
      <c r="E55" s="15" t="n">
        <v>24</v>
      </c>
      <c r="F55" s="14" t="s">
        <v>388</v>
      </c>
      <c r="G55" s="8" t="n">
        <v>10</v>
      </c>
      <c r="H55" s="14" t="s">
        <v>1175</v>
      </c>
      <c r="I55" s="14" t="s">
        <v>1127</v>
      </c>
      <c r="J55" s="14" t="s">
        <v>447</v>
      </c>
      <c r="K55" s="8" t="n">
        <v>1</v>
      </c>
      <c r="L55" s="8" t="n">
        <v>98</v>
      </c>
      <c r="M55" s="8" t="n">
        <v>7</v>
      </c>
      <c r="N55" s="8" t="n">
        <v>42</v>
      </c>
      <c r="O55" s="8" t="n">
        <v>3</v>
      </c>
      <c r="P55" s="9" t="n">
        <v>7.62257647701657</v>
      </c>
      <c r="Q55" s="10" t="n">
        <v>0.131189238050307</v>
      </c>
      <c r="R55" s="9" t="n">
        <v>5</v>
      </c>
      <c r="S55" s="11" t="n">
        <f aca="false">IF(AND(ISNUMBER(R55),R55&gt;1,P55&gt;0),R55/P55-1,"")</f>
        <v>-0.344053809748463</v>
      </c>
      <c r="T55" s="9" t="n">
        <f aca="false">IF(AND(ISNUMBER(P55),P55&gt;0),P55*EXP('Read me'!$B$22),"")</f>
        <v>9.31023593331487</v>
      </c>
    </row>
    <row r="56" customFormat="false" ht="15" hidden="false" customHeight="false" outlineLevel="0" collapsed="false">
      <c r="A56" s="14" t="s">
        <v>309</v>
      </c>
      <c r="B56" s="14" t="s">
        <v>98</v>
      </c>
      <c r="C56" s="14" t="s">
        <v>310</v>
      </c>
      <c r="D56" s="14" t="s">
        <v>877</v>
      </c>
      <c r="E56" s="15" t="n">
        <v>24</v>
      </c>
      <c r="F56" s="14" t="s">
        <v>388</v>
      </c>
      <c r="G56" s="8" t="n">
        <v>10</v>
      </c>
      <c r="H56" s="14" t="s">
        <v>1176</v>
      </c>
      <c r="I56" s="14" t="s">
        <v>1177</v>
      </c>
      <c r="J56" s="14" t="s">
        <v>530</v>
      </c>
      <c r="K56" s="8" t="n">
        <v>3</v>
      </c>
      <c r="L56" s="8" t="n">
        <v>90</v>
      </c>
      <c r="M56" s="8" t="n">
        <v>7</v>
      </c>
      <c r="N56" s="8" t="n">
        <v>68</v>
      </c>
      <c r="O56" s="8" t="n">
        <v>4</v>
      </c>
      <c r="P56" s="9" t="n">
        <v>9.20843287686631</v>
      </c>
      <c r="Q56" s="10" t="n">
        <v>0.108596111126816</v>
      </c>
      <c r="R56" s="9" t="n">
        <v>8.5</v>
      </c>
      <c r="S56" s="11" t="n">
        <f aca="false">IF(AND(ISNUMBER(R56),R56&gt;1,P56&gt;0),R56/P56-1,"")</f>
        <v>-0.0769330554220634</v>
      </c>
      <c r="T56" s="9" t="n">
        <f aca="false">IF(AND(ISNUMBER(P56),P56&gt;0),P56*EXP('Read me'!$B$22),"")</f>
        <v>11.2472053141373</v>
      </c>
    </row>
    <row r="57" customFormat="false" ht="15" hidden="false" customHeight="false" outlineLevel="0" collapsed="false">
      <c r="A57" s="14" t="s">
        <v>309</v>
      </c>
      <c r="B57" s="14" t="s">
        <v>98</v>
      </c>
      <c r="C57" s="14" t="s">
        <v>310</v>
      </c>
      <c r="D57" s="14" t="s">
        <v>877</v>
      </c>
      <c r="E57" s="15" t="n">
        <v>24</v>
      </c>
      <c r="F57" s="14" t="s">
        <v>388</v>
      </c>
      <c r="G57" s="8" t="n">
        <v>10</v>
      </c>
      <c r="H57" s="14" t="s">
        <v>1178</v>
      </c>
      <c r="I57" s="14" t="s">
        <v>1017</v>
      </c>
      <c r="J57" s="14" t="s">
        <v>655</v>
      </c>
      <c r="K57" s="8" t="n">
        <v>6</v>
      </c>
      <c r="L57" s="8" t="n">
        <v>83</v>
      </c>
      <c r="M57" s="8" t="n">
        <v>6</v>
      </c>
      <c r="N57" s="8" t="n">
        <v>18</v>
      </c>
      <c r="O57" s="8" t="n">
        <v>5</v>
      </c>
      <c r="P57" s="9" t="n">
        <v>9.21986719889317</v>
      </c>
      <c r="Q57" s="10" t="n">
        <v>0.108461432082237</v>
      </c>
      <c r="R57" s="9" t="n">
        <v>9.5</v>
      </c>
      <c r="S57" s="11" t="n">
        <f aca="false">IF(AND(ISNUMBER(R57),R57&gt;1,P57&gt;0),R57/P57-1,"")</f>
        <v>0.0303836047812553</v>
      </c>
      <c r="T57" s="9" t="n">
        <f aca="false">IF(AND(ISNUMBER(P57),P57&gt;0),P57*EXP('Read me'!$B$22),"")</f>
        <v>11.2611712265986</v>
      </c>
    </row>
    <row r="58" customFormat="false" ht="15" hidden="false" customHeight="false" outlineLevel="0" collapsed="false">
      <c r="A58" s="14" t="s">
        <v>309</v>
      </c>
      <c r="B58" s="14" t="s">
        <v>98</v>
      </c>
      <c r="C58" s="14" t="s">
        <v>310</v>
      </c>
      <c r="D58" s="14" t="s">
        <v>877</v>
      </c>
      <c r="E58" s="15" t="n">
        <v>24</v>
      </c>
      <c r="F58" s="14" t="s">
        <v>388</v>
      </c>
      <c r="G58" s="8" t="n">
        <v>10</v>
      </c>
      <c r="H58" s="14" t="s">
        <v>1179</v>
      </c>
      <c r="I58" s="14" t="s">
        <v>1020</v>
      </c>
      <c r="J58" s="14" t="s">
        <v>888</v>
      </c>
      <c r="K58" s="8" t="n">
        <v>2</v>
      </c>
      <c r="L58" s="8" t="n">
        <v>93</v>
      </c>
      <c r="M58" s="8" t="n">
        <v>7</v>
      </c>
      <c r="N58" s="8" t="n">
        <v>22</v>
      </c>
      <c r="O58" s="8" t="n">
        <v>6</v>
      </c>
      <c r="P58" s="9" t="n">
        <v>10.4600021093164</v>
      </c>
      <c r="Q58" s="10" t="n">
        <v>0.0956022751763435</v>
      </c>
      <c r="R58" s="9" t="n">
        <v>7.5</v>
      </c>
      <c r="S58" s="11" t="n">
        <f aca="false">IF(AND(ISNUMBER(R58),R58&gt;1,P58&gt;0),R58/P58-1,"")</f>
        <v>-0.282982936177423</v>
      </c>
      <c r="T58" s="9" t="n">
        <f aca="false">IF(AND(ISNUMBER(P58),P58&gt;0),P58*EXP('Read me'!$B$22),"")</f>
        <v>12.7758754266802</v>
      </c>
    </row>
    <row r="59" customFormat="false" ht="15" hidden="false" customHeight="false" outlineLevel="0" collapsed="false">
      <c r="A59" s="14" t="s">
        <v>309</v>
      </c>
      <c r="B59" s="14" t="s">
        <v>98</v>
      </c>
      <c r="C59" s="14" t="s">
        <v>310</v>
      </c>
      <c r="D59" s="14" t="s">
        <v>877</v>
      </c>
      <c r="E59" s="15" t="n">
        <v>24</v>
      </c>
      <c r="F59" s="14" t="s">
        <v>388</v>
      </c>
      <c r="G59" s="8" t="n">
        <v>10</v>
      </c>
      <c r="H59" s="14" t="s">
        <v>1180</v>
      </c>
      <c r="I59" s="14" t="s">
        <v>1181</v>
      </c>
      <c r="J59" s="14" t="s">
        <v>1182</v>
      </c>
      <c r="K59" s="8" t="n">
        <v>8</v>
      </c>
      <c r="L59" s="8" t="n">
        <v>74</v>
      </c>
      <c r="M59" s="8" t="n">
        <v>5</v>
      </c>
      <c r="N59" s="8" t="n">
        <v>16</v>
      </c>
      <c r="O59" s="8" t="n">
        <v>7</v>
      </c>
      <c r="P59" s="9" t="n">
        <v>11.3147868978667</v>
      </c>
      <c r="Q59" s="10" t="n">
        <v>0.0883799234600292</v>
      </c>
      <c r="R59" s="9" t="n">
        <v>13</v>
      </c>
      <c r="S59" s="11" t="n">
        <f aca="false">IF(AND(ISNUMBER(R59),R59&gt;1,P59&gt;0),R59/P59-1,"")</f>
        <v>0.14893900498038</v>
      </c>
      <c r="T59" s="9" t="n">
        <f aca="false">IF(AND(ISNUMBER(P59),P59&gt;0),P59*EXP('Read me'!$B$22),"")</f>
        <v>13.8199119250489</v>
      </c>
    </row>
    <row r="60" customFormat="false" ht="15" hidden="false" customHeight="false" outlineLevel="0" collapsed="false">
      <c r="A60" s="14" t="s">
        <v>309</v>
      </c>
      <c r="B60" s="14" t="s">
        <v>98</v>
      </c>
      <c r="C60" s="14" t="s">
        <v>310</v>
      </c>
      <c r="D60" s="14" t="s">
        <v>877</v>
      </c>
      <c r="E60" s="15" t="n">
        <v>24</v>
      </c>
      <c r="F60" s="14" t="s">
        <v>388</v>
      </c>
      <c r="G60" s="8" t="n">
        <v>10</v>
      </c>
      <c r="H60" s="14" t="s">
        <v>1183</v>
      </c>
      <c r="I60" s="14" t="s">
        <v>648</v>
      </c>
      <c r="J60" s="14" t="s">
        <v>1184</v>
      </c>
      <c r="K60" s="8" t="n">
        <v>7</v>
      </c>
      <c r="L60" s="8" t="n">
        <v>74</v>
      </c>
      <c r="M60" s="8" t="n">
        <v>7</v>
      </c>
      <c r="N60" s="8" t="n">
        <v>284</v>
      </c>
      <c r="O60" s="8" t="n">
        <v>8</v>
      </c>
      <c r="P60" s="9" t="n">
        <v>23.5768888239454</v>
      </c>
      <c r="Q60" s="10" t="n">
        <v>0.0424144172484866</v>
      </c>
      <c r="R60" s="9" t="n">
        <v>26</v>
      </c>
      <c r="S60" s="11" t="n">
        <f aca="false">IF(AND(ISNUMBER(R60),R60&gt;1,P60&gt;0),R60/P60-1,"")</f>
        <v>0.102774848460653</v>
      </c>
      <c r="T60" s="9" t="n">
        <f aca="false">IF(AND(ISNUMBER(P60),P60&gt;0),P60*EXP('Read me'!$B$22),"")</f>
        <v>28.7968770384025</v>
      </c>
    </row>
    <row r="61" customFormat="false" ht="15" hidden="false" customHeight="false" outlineLevel="0" collapsed="false">
      <c r="A61" s="14" t="s">
        <v>309</v>
      </c>
      <c r="B61" s="14" t="s">
        <v>98</v>
      </c>
      <c r="C61" s="14" t="s">
        <v>310</v>
      </c>
      <c r="D61" s="14" t="s">
        <v>877</v>
      </c>
      <c r="E61" s="15" t="n">
        <v>24</v>
      </c>
      <c r="F61" s="14" t="s">
        <v>388</v>
      </c>
      <c r="G61" s="8" t="n">
        <v>10</v>
      </c>
      <c r="H61" s="14" t="s">
        <v>1185</v>
      </c>
      <c r="I61" s="14" t="s">
        <v>890</v>
      </c>
      <c r="J61" s="14" t="s">
        <v>891</v>
      </c>
      <c r="K61" s="8" t="n">
        <v>9</v>
      </c>
      <c r="L61" s="8" t="n">
        <v>72</v>
      </c>
      <c r="M61" s="8" t="n">
        <v>8</v>
      </c>
      <c r="N61" s="8" t="n">
        <v>62</v>
      </c>
      <c r="O61" s="8" t="n">
        <v>9</v>
      </c>
      <c r="P61" s="9" t="n">
        <v>51.2932755323891</v>
      </c>
      <c r="Q61" s="10" t="n">
        <v>0.0194957329127587</v>
      </c>
      <c r="R61" s="9" t="n">
        <v>51</v>
      </c>
      <c r="S61" s="11" t="n">
        <f aca="false">IF(AND(ISNUMBER(R61),R61&gt;1,P61&gt;0),R61/P61-1,"")</f>
        <v>-0.00571762144930565</v>
      </c>
      <c r="T61" s="9" t="n">
        <f aca="false">IF(AND(ISNUMBER(P61),P61&gt;0),P61*EXP('Read me'!$B$22),"")</f>
        <v>62.6497482103296</v>
      </c>
    </row>
    <row r="62" customFormat="false" ht="15" hidden="false" customHeight="false" outlineLevel="0" collapsed="false">
      <c r="A62" s="14" t="s">
        <v>309</v>
      </c>
      <c r="B62" s="14" t="s">
        <v>98</v>
      </c>
      <c r="C62" s="14" t="s">
        <v>310</v>
      </c>
      <c r="D62" s="14" t="s">
        <v>877</v>
      </c>
      <c r="E62" s="15" t="n">
        <v>24</v>
      </c>
      <c r="F62" s="14" t="s">
        <v>388</v>
      </c>
      <c r="G62" s="8" t="n">
        <v>10</v>
      </c>
      <c r="H62" s="14" t="s">
        <v>1186</v>
      </c>
      <c r="I62" s="14" t="s">
        <v>895</v>
      </c>
      <c r="J62" s="14" t="s">
        <v>896</v>
      </c>
      <c r="K62" s="8" t="n">
        <v>10</v>
      </c>
      <c r="L62" s="8" t="n">
        <v>72</v>
      </c>
      <c r="M62" s="8" t="n">
        <v>5</v>
      </c>
      <c r="N62" s="8" t="n">
        <v>28</v>
      </c>
      <c r="O62" s="8" t="n">
        <v>10</v>
      </c>
      <c r="P62" s="9" t="n">
        <v>392.203435518718</v>
      </c>
      <c r="Q62" s="10" t="n">
        <v>0.0025496971965006</v>
      </c>
      <c r="R62" s="9" t="n">
        <v>67</v>
      </c>
      <c r="S62" s="11" t="n">
        <f aca="false">IF(AND(ISNUMBER(R62),R62&gt;1,P62&gt;0),R62/P62-1,"")</f>
        <v>-0.829170287834456</v>
      </c>
      <c r="T62" s="9" t="n">
        <f aca="false">IF(AND(ISNUMBER(P62),P62&gt;0),P62*EXP('Read me'!$B$22),"")</f>
        <v>479.038357902456</v>
      </c>
    </row>
  </sheetData>
  <autoFilter ref="A1:T62"/>
  <conditionalFormatting sqref="A2:T62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358</v>
      </c>
      <c r="E1" s="6" t="s">
        <v>359</v>
      </c>
      <c r="F1" s="6" t="s">
        <v>360</v>
      </c>
      <c r="G1" s="6" t="s">
        <v>1</v>
      </c>
      <c r="H1" s="6" t="s">
        <v>361</v>
      </c>
      <c r="I1" s="6" t="s">
        <v>35</v>
      </c>
      <c r="J1" s="6" t="s">
        <v>36</v>
      </c>
      <c r="K1" s="6" t="s">
        <v>362</v>
      </c>
      <c r="L1" s="6" t="s">
        <v>363</v>
      </c>
      <c r="M1" s="6" t="s">
        <v>364</v>
      </c>
      <c r="N1" s="6" t="s">
        <v>365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4" t="s">
        <v>116</v>
      </c>
      <c r="B2" s="14" t="s">
        <v>117</v>
      </c>
      <c r="C2" s="14" t="s">
        <v>118</v>
      </c>
      <c r="D2" s="14"/>
      <c r="E2" s="15" t="n">
        <v>16</v>
      </c>
      <c r="F2" s="14" t="s">
        <v>388</v>
      </c>
      <c r="G2" s="8" t="n">
        <v>12</v>
      </c>
      <c r="H2" s="14" t="s">
        <v>119</v>
      </c>
      <c r="I2" s="14" t="s">
        <v>120</v>
      </c>
      <c r="J2" s="14" t="s">
        <v>121</v>
      </c>
      <c r="K2" s="8" t="n">
        <v>10</v>
      </c>
      <c r="L2" s="8" t="n">
        <v>0</v>
      </c>
      <c r="M2" s="8" t="n">
        <v>4</v>
      </c>
      <c r="N2" s="8" t="n">
        <v>22</v>
      </c>
      <c r="O2" s="8" t="n">
        <v>1</v>
      </c>
      <c r="P2" s="9" t="n">
        <v>1.63893926112457</v>
      </c>
      <c r="Q2" s="10" t="n">
        <v>0.61015073817552</v>
      </c>
      <c r="R2" s="9" t="n">
        <v>1.72727272727273</v>
      </c>
      <c r="S2" s="11" t="n">
        <f aca="false">IF(AND(ISNUMBER(R2),R2&gt;1,P2&gt;0),R2/P2-1,"")</f>
        <v>0.0538967295758979</v>
      </c>
      <c r="T2" s="9" t="n">
        <f aca="false">IF(AND(ISNUMBER(P2),P2&gt;0),P2*EXP('Read me'!$B$22),"")</f>
        <v>2.00180493399455</v>
      </c>
    </row>
    <row r="3" customFormat="false" ht="15" hidden="false" customHeight="false" outlineLevel="0" collapsed="false">
      <c r="A3" s="14" t="s">
        <v>116</v>
      </c>
      <c r="B3" s="14" t="s">
        <v>117</v>
      </c>
      <c r="C3" s="14" t="s">
        <v>118</v>
      </c>
      <c r="D3" s="14"/>
      <c r="E3" s="15" t="n">
        <v>16</v>
      </c>
      <c r="F3" s="14" t="s">
        <v>388</v>
      </c>
      <c r="G3" s="8" t="n">
        <v>12</v>
      </c>
      <c r="H3" s="14" t="s">
        <v>122</v>
      </c>
      <c r="I3" s="14" t="s">
        <v>584</v>
      </c>
      <c r="J3" s="14" t="s">
        <v>585</v>
      </c>
      <c r="K3" s="8" t="n">
        <v>1</v>
      </c>
      <c r="L3" s="8" t="n">
        <v>100</v>
      </c>
      <c r="M3" s="8" t="n">
        <v>4</v>
      </c>
      <c r="N3" s="8" t="n">
        <v>23</v>
      </c>
      <c r="O3" s="8" t="n">
        <v>2</v>
      </c>
      <c r="P3" s="9" t="n">
        <v>5.31061996209585</v>
      </c>
      <c r="Q3" s="10" t="n">
        <v>0.18830193219199</v>
      </c>
      <c r="R3" s="9" t="n">
        <v>8.5</v>
      </c>
      <c r="S3" s="11" t="n">
        <f aca="false">IF(AND(ISNUMBER(R3),R3&gt;1,P3&gt;0),R3/P3-1,"")</f>
        <v>0.600566423631912</v>
      </c>
      <c r="T3" s="9" t="n">
        <f aca="false">IF(AND(ISNUMBER(P3),P3&gt;0),P3*EXP('Read me'!$B$22),"")</f>
        <v>6.48640586924433</v>
      </c>
    </row>
    <row r="4" customFormat="false" ht="15" hidden="false" customHeight="false" outlineLevel="0" collapsed="false">
      <c r="A4" s="14" t="s">
        <v>116</v>
      </c>
      <c r="B4" s="14" t="s">
        <v>117</v>
      </c>
      <c r="C4" s="14" t="s">
        <v>118</v>
      </c>
      <c r="D4" s="14"/>
      <c r="E4" s="15" t="n">
        <v>16</v>
      </c>
      <c r="F4" s="14" t="s">
        <v>388</v>
      </c>
      <c r="G4" s="8" t="n">
        <v>12</v>
      </c>
      <c r="H4" s="14" t="s">
        <v>586</v>
      </c>
      <c r="I4" s="14" t="s">
        <v>587</v>
      </c>
      <c r="J4" s="14" t="s">
        <v>588</v>
      </c>
      <c r="K4" s="8" t="n">
        <v>7</v>
      </c>
      <c r="L4" s="8" t="n">
        <v>0</v>
      </c>
      <c r="M4" s="8" t="n">
        <v>4</v>
      </c>
      <c r="N4" s="8" t="n">
        <v>35</v>
      </c>
      <c r="O4" s="8" t="n">
        <v>3</v>
      </c>
      <c r="P4" s="9" t="n">
        <v>14.6427909436543</v>
      </c>
      <c r="Q4" s="10" t="n">
        <v>0.068292991674061</v>
      </c>
      <c r="R4" s="9" t="n">
        <v>4.33333333333333</v>
      </c>
      <c r="S4" s="11" t="n">
        <f aca="false">IF(AND(ISNUMBER(R4),R4&gt;1,P4&gt;0),R4/P4-1,"")</f>
        <v>-0.704063702745736</v>
      </c>
      <c r="T4" s="9" t="n">
        <f aca="false">IF(AND(ISNUMBER(P4),P4&gt;0),P4*EXP('Read me'!$B$22),"")</f>
        <v>17.8847452457421</v>
      </c>
    </row>
    <row r="5" customFormat="false" ht="15" hidden="false" customHeight="false" outlineLevel="0" collapsed="false">
      <c r="A5" s="14" t="s">
        <v>116</v>
      </c>
      <c r="B5" s="14" t="s">
        <v>117</v>
      </c>
      <c r="C5" s="14" t="s">
        <v>118</v>
      </c>
      <c r="D5" s="14"/>
      <c r="E5" s="15" t="n">
        <v>16</v>
      </c>
      <c r="F5" s="14" t="s">
        <v>388</v>
      </c>
      <c r="G5" s="8" t="n">
        <v>12</v>
      </c>
      <c r="H5" s="14" t="s">
        <v>589</v>
      </c>
      <c r="I5" s="14" t="s">
        <v>590</v>
      </c>
      <c r="J5" s="14" t="s">
        <v>591</v>
      </c>
      <c r="K5" s="8" t="n">
        <v>6</v>
      </c>
      <c r="L5" s="8" t="n">
        <v>0</v>
      </c>
      <c r="M5" s="8" t="n">
        <v>4</v>
      </c>
      <c r="N5" s="8"/>
      <c r="O5" s="8" t="n">
        <v>4</v>
      </c>
      <c r="P5" s="9" t="n">
        <v>24.1334506760191</v>
      </c>
      <c r="Q5" s="10" t="n">
        <v>0.0414362626142674</v>
      </c>
      <c r="R5" s="9" t="n">
        <v>26</v>
      </c>
      <c r="S5" s="11" t="n">
        <f aca="false">IF(AND(ISNUMBER(R5),R5&gt;1,P5&gt;0),R5/P5-1,"")</f>
        <v>0.0773428279709543</v>
      </c>
      <c r="T5" s="9" t="n">
        <f aca="false">IF(AND(ISNUMBER(P5),P5&gt;0),P5*EXP('Read me'!$B$22),"")</f>
        <v>29.4766632196122</v>
      </c>
    </row>
    <row r="6" customFormat="false" ht="15" hidden="false" customHeight="false" outlineLevel="0" collapsed="false">
      <c r="A6" s="14" t="s">
        <v>116</v>
      </c>
      <c r="B6" s="14" t="s">
        <v>117</v>
      </c>
      <c r="C6" s="14" t="s">
        <v>118</v>
      </c>
      <c r="D6" s="14"/>
      <c r="E6" s="15" t="n">
        <v>16</v>
      </c>
      <c r="F6" s="14" t="s">
        <v>388</v>
      </c>
      <c r="G6" s="8" t="n">
        <v>12</v>
      </c>
      <c r="H6" s="14" t="s">
        <v>592</v>
      </c>
      <c r="I6" s="14" t="s">
        <v>593</v>
      </c>
      <c r="J6" s="14" t="s">
        <v>418</v>
      </c>
      <c r="K6" s="8" t="n">
        <v>8</v>
      </c>
      <c r="L6" s="8" t="n">
        <v>0</v>
      </c>
      <c r="M6" s="8" t="n">
        <v>4</v>
      </c>
      <c r="N6" s="8"/>
      <c r="O6" s="8" t="n">
        <v>5</v>
      </c>
      <c r="P6" s="9" t="n">
        <v>28.9930908380492</v>
      </c>
      <c r="Q6" s="10" t="n">
        <v>0.0344909759909987</v>
      </c>
      <c r="R6" s="9" t="n">
        <v>17</v>
      </c>
      <c r="S6" s="11" t="n">
        <f aca="false">IF(AND(ISNUMBER(R6),R6&gt;1,P6&gt;0),R6/P6-1,"")</f>
        <v>-0.413653408153022</v>
      </c>
      <c r="T6" s="9" t="n">
        <f aca="false">IF(AND(ISNUMBER(P6),P6&gt;0),P6*EXP('Read me'!$B$22),"")</f>
        <v>35.4122411171816</v>
      </c>
    </row>
    <row r="7" customFormat="false" ht="15" hidden="false" customHeight="false" outlineLevel="0" collapsed="false">
      <c r="A7" s="14" t="s">
        <v>116</v>
      </c>
      <c r="B7" s="14" t="s">
        <v>117</v>
      </c>
      <c r="C7" s="14" t="s">
        <v>118</v>
      </c>
      <c r="D7" s="14"/>
      <c r="E7" s="15" t="n">
        <v>16</v>
      </c>
      <c r="F7" s="14" t="s">
        <v>388</v>
      </c>
      <c r="G7" s="8" t="n">
        <v>12</v>
      </c>
      <c r="H7" s="14" t="s">
        <v>594</v>
      </c>
      <c r="I7" s="14" t="s">
        <v>595</v>
      </c>
      <c r="J7" s="14" t="s">
        <v>596</v>
      </c>
      <c r="K7" s="8" t="n">
        <v>5</v>
      </c>
      <c r="L7" s="8" t="n">
        <v>0</v>
      </c>
      <c r="M7" s="8" t="n">
        <v>4</v>
      </c>
      <c r="N7" s="8" t="n">
        <v>35</v>
      </c>
      <c r="O7" s="8" t="n">
        <v>6</v>
      </c>
      <c r="P7" s="9" t="n">
        <v>40.0251540831792</v>
      </c>
      <c r="Q7" s="10" t="n">
        <v>0.0249842885781732</v>
      </c>
      <c r="R7" s="9" t="n">
        <v>6</v>
      </c>
      <c r="S7" s="11" t="n">
        <f aca="false">IF(AND(ISNUMBER(R7),R7&gt;1,P7&gt;0),R7/P7-1,"")</f>
        <v>-0.85009426853096</v>
      </c>
      <c r="T7" s="9" t="n">
        <f aca="false">IF(AND(ISNUMBER(P7),P7&gt;0),P7*EXP('Read me'!$B$22),"")</f>
        <v>48.8868335929809</v>
      </c>
    </row>
    <row r="8" customFormat="false" ht="15" hidden="false" customHeight="false" outlineLevel="0" collapsed="false">
      <c r="A8" s="14" t="s">
        <v>116</v>
      </c>
      <c r="B8" s="14" t="s">
        <v>117</v>
      </c>
      <c r="C8" s="14" t="s">
        <v>118</v>
      </c>
      <c r="D8" s="14"/>
      <c r="E8" s="15" t="n">
        <v>16</v>
      </c>
      <c r="F8" s="14" t="s">
        <v>388</v>
      </c>
      <c r="G8" s="8" t="n">
        <v>12</v>
      </c>
      <c r="H8" s="14" t="s">
        <v>597</v>
      </c>
      <c r="I8" s="14" t="s">
        <v>598</v>
      </c>
      <c r="J8" s="14" t="s">
        <v>599</v>
      </c>
      <c r="K8" s="8" t="n">
        <v>14</v>
      </c>
      <c r="L8" s="8" t="n">
        <v>0</v>
      </c>
      <c r="M8" s="8" t="n">
        <v>4</v>
      </c>
      <c r="N8" s="8" t="n">
        <v>41</v>
      </c>
      <c r="O8" s="8" t="n">
        <v>7</v>
      </c>
      <c r="P8" s="9" t="n">
        <v>91.9259396174975</v>
      </c>
      <c r="Q8" s="10" t="n">
        <v>0.0108783223120806</v>
      </c>
      <c r="R8" s="9" t="n">
        <v>51</v>
      </c>
      <c r="S8" s="11" t="n">
        <f aca="false">IF(AND(ISNUMBER(R8),R8&gt;1,P8&gt;0),R8/P8-1,"")</f>
        <v>-0.445205562083888</v>
      </c>
      <c r="T8" s="9" t="n">
        <f aca="false">IF(AND(ISNUMBER(P8),P8&gt;0),P8*EXP('Read me'!$B$22),"")</f>
        <v>112.278596195277</v>
      </c>
    </row>
    <row r="9" customFormat="false" ht="15" hidden="false" customHeight="false" outlineLevel="0" collapsed="false">
      <c r="A9" s="14" t="s">
        <v>116</v>
      </c>
      <c r="B9" s="14" t="s">
        <v>117</v>
      </c>
      <c r="C9" s="14" t="s">
        <v>118</v>
      </c>
      <c r="D9" s="14"/>
      <c r="E9" s="15" t="n">
        <v>16</v>
      </c>
      <c r="F9" s="14" t="s">
        <v>388</v>
      </c>
      <c r="G9" s="8" t="n">
        <v>12</v>
      </c>
      <c r="H9" s="14" t="s">
        <v>600</v>
      </c>
      <c r="I9" s="14" t="s">
        <v>601</v>
      </c>
      <c r="J9" s="14" t="s">
        <v>602</v>
      </c>
      <c r="K9" s="8" t="n">
        <v>12</v>
      </c>
      <c r="L9" s="8" t="n">
        <v>0</v>
      </c>
      <c r="M9" s="8" t="n">
        <v>4</v>
      </c>
      <c r="N9" s="8"/>
      <c r="O9" s="8" t="n">
        <v>8</v>
      </c>
      <c r="P9" s="9" t="n">
        <v>97.9993250798973</v>
      </c>
      <c r="Q9" s="10" t="n">
        <v>0.0102041519080332</v>
      </c>
      <c r="R9" s="9" t="n">
        <v>81</v>
      </c>
      <c r="S9" s="11" t="n">
        <f aca="false">IF(AND(ISNUMBER(R9),R9&gt;1,P9&gt;0),R9/P9-1,"")</f>
        <v>-0.173463695449311</v>
      </c>
      <c r="T9" s="9" t="n">
        <f aca="false">IF(AND(ISNUMBER(P9),P9&gt;0),P9*EXP('Read me'!$B$22),"")</f>
        <v>119.696645950422</v>
      </c>
    </row>
    <row r="10" customFormat="false" ht="15" hidden="false" customHeight="false" outlineLevel="0" collapsed="false">
      <c r="A10" s="14" t="s">
        <v>116</v>
      </c>
      <c r="B10" s="14" t="s">
        <v>117</v>
      </c>
      <c r="C10" s="14" t="s">
        <v>118</v>
      </c>
      <c r="D10" s="14"/>
      <c r="E10" s="15" t="n">
        <v>16</v>
      </c>
      <c r="F10" s="14" t="s">
        <v>388</v>
      </c>
      <c r="G10" s="8" t="n">
        <v>12</v>
      </c>
      <c r="H10" s="14" t="s">
        <v>603</v>
      </c>
      <c r="I10" s="14" t="s">
        <v>604</v>
      </c>
      <c r="J10" s="14" t="s">
        <v>605</v>
      </c>
      <c r="K10" s="8" t="n">
        <v>4</v>
      </c>
      <c r="L10" s="8" t="n">
        <v>0</v>
      </c>
      <c r="M10" s="8" t="n">
        <v>4</v>
      </c>
      <c r="N10" s="8"/>
      <c r="O10" s="8" t="n">
        <v>9</v>
      </c>
      <c r="P10" s="9" t="n">
        <v>316.567791191434</v>
      </c>
      <c r="Q10" s="10" t="n">
        <v>0.0031588810606297</v>
      </c>
      <c r="R10" s="9" t="n">
        <v>41</v>
      </c>
      <c r="S10" s="11" t="n">
        <f aca="false">IF(AND(ISNUMBER(R10),R10&gt;1,P10&gt;0),R10/P10-1,"")</f>
        <v>-0.870485876514182</v>
      </c>
      <c r="T10" s="9" t="n">
        <f aca="false">IF(AND(ISNUMBER(P10),P10&gt;0),P10*EXP('Read me'!$B$22),"")</f>
        <v>386.65677330589</v>
      </c>
    </row>
    <row r="11" customFormat="false" ht="15" hidden="false" customHeight="false" outlineLevel="0" collapsed="false">
      <c r="A11" s="14" t="s">
        <v>116</v>
      </c>
      <c r="B11" s="14" t="s">
        <v>117</v>
      </c>
      <c r="C11" s="14" t="s">
        <v>118</v>
      </c>
      <c r="D11" s="14"/>
      <c r="E11" s="15" t="n">
        <v>16</v>
      </c>
      <c r="F11" s="14" t="s">
        <v>388</v>
      </c>
      <c r="G11" s="8" t="n">
        <v>12</v>
      </c>
      <c r="H11" s="14" t="s">
        <v>606</v>
      </c>
      <c r="I11" s="14" t="s">
        <v>607</v>
      </c>
      <c r="J11" s="14" t="s">
        <v>608</v>
      </c>
      <c r="K11" s="8" t="n">
        <v>3</v>
      </c>
      <c r="L11" s="8" t="n">
        <v>0</v>
      </c>
      <c r="M11" s="8" t="n">
        <v>4</v>
      </c>
      <c r="N11" s="8" t="n">
        <v>44</v>
      </c>
      <c r="O11" s="8" t="n">
        <v>10</v>
      </c>
      <c r="P11" s="9" t="n">
        <v>339.155204067182</v>
      </c>
      <c r="Q11" s="10" t="n">
        <v>0.0029485025970644</v>
      </c>
      <c r="R11" s="9" t="n">
        <v>101</v>
      </c>
      <c r="S11" s="11" t="n">
        <f aca="false">IF(AND(ISNUMBER(R11),R11&gt;1,P11&gt;0),R11/P11-1,"")</f>
        <v>-0.702201237696494</v>
      </c>
      <c r="T11" s="9" t="n">
        <f aca="false">IF(AND(ISNUMBER(P11),P11&gt;0),P11*EXP('Read me'!$B$22),"")</f>
        <v>414.245101692032</v>
      </c>
    </row>
    <row r="12" customFormat="false" ht="15" hidden="false" customHeight="false" outlineLevel="0" collapsed="false">
      <c r="A12" s="14" t="s">
        <v>116</v>
      </c>
      <c r="B12" s="14" t="s">
        <v>117</v>
      </c>
      <c r="C12" s="14" t="s">
        <v>118</v>
      </c>
      <c r="D12" s="14"/>
      <c r="E12" s="15" t="n">
        <v>16</v>
      </c>
      <c r="F12" s="14" t="s">
        <v>388</v>
      </c>
      <c r="G12" s="8" t="n">
        <v>12</v>
      </c>
      <c r="H12" s="14" t="s">
        <v>609</v>
      </c>
      <c r="I12" s="14" t="s">
        <v>610</v>
      </c>
      <c r="J12" s="14" t="s">
        <v>611</v>
      </c>
      <c r="K12" s="8" t="n">
        <v>11</v>
      </c>
      <c r="L12" s="8" t="n">
        <v>0</v>
      </c>
      <c r="M12" s="8" t="n">
        <v>4</v>
      </c>
      <c r="N12" s="8" t="n">
        <v>19</v>
      </c>
      <c r="O12" s="8" t="n">
        <v>11</v>
      </c>
      <c r="P12" s="9" t="n">
        <v>359.117105027445</v>
      </c>
      <c r="Q12" s="10" t="n">
        <v>0.0027846069875273</v>
      </c>
      <c r="R12" s="9" t="n">
        <v>101</v>
      </c>
      <c r="S12" s="11" t="n">
        <f aca="false">IF(AND(ISNUMBER(R12),R12&gt;1,P12&gt;0),R12/P12-1,"")</f>
        <v>-0.718754694259742</v>
      </c>
      <c r="T12" s="9" t="n">
        <f aca="false">IF(AND(ISNUMBER(P12),P12&gt;0),P12*EXP('Read me'!$B$22),"")</f>
        <v>438.626622583016</v>
      </c>
    </row>
    <row r="13" customFormat="false" ht="15" hidden="false" customHeight="false" outlineLevel="0" collapsed="false">
      <c r="A13" s="14" t="s">
        <v>116</v>
      </c>
      <c r="B13" s="14" t="s">
        <v>117</v>
      </c>
      <c r="C13" s="14" t="s">
        <v>118</v>
      </c>
      <c r="D13" s="14"/>
      <c r="E13" s="15" t="n">
        <v>16</v>
      </c>
      <c r="F13" s="14" t="s">
        <v>388</v>
      </c>
      <c r="G13" s="8" t="n">
        <v>12</v>
      </c>
      <c r="H13" s="14" t="s">
        <v>612</v>
      </c>
      <c r="I13" s="14" t="s">
        <v>613</v>
      </c>
      <c r="J13" s="14" t="s">
        <v>614</v>
      </c>
      <c r="K13" s="8" t="n">
        <v>13</v>
      </c>
      <c r="L13" s="8" t="n">
        <v>0</v>
      </c>
      <c r="M13" s="8" t="n">
        <v>4</v>
      </c>
      <c r="N13" s="8" t="n">
        <v>29</v>
      </c>
      <c r="O13" s="8" t="n">
        <v>12</v>
      </c>
      <c r="P13" s="9" t="n">
        <v>422.235618506347</v>
      </c>
      <c r="Q13" s="10" t="n">
        <v>0.0023683459096546</v>
      </c>
      <c r="R13" s="9" t="n">
        <v>101</v>
      </c>
      <c r="S13" s="11" t="n">
        <f aca="false">IF(AND(ISNUMBER(R13),R13&gt;1,P13&gt;0),R13/P13-1,"")</f>
        <v>-0.760797063124882</v>
      </c>
      <c r="T13" s="9" t="n">
        <f aca="false">IF(AND(ISNUMBER(P13),P13&gt;0),P13*EXP('Read me'!$B$22),"")</f>
        <v>515.719749037118</v>
      </c>
    </row>
    <row r="14" customFormat="false" ht="15" hidden="false" customHeight="false" outlineLevel="0" collapsed="false">
      <c r="A14" s="14" t="s">
        <v>150</v>
      </c>
      <c r="B14" s="14" t="s">
        <v>117</v>
      </c>
      <c r="C14" s="14" t="s">
        <v>151</v>
      </c>
      <c r="D14" s="14"/>
      <c r="E14" s="15" t="n">
        <v>20</v>
      </c>
      <c r="F14" s="14" t="s">
        <v>388</v>
      </c>
      <c r="G14" s="8" t="n">
        <v>6</v>
      </c>
      <c r="H14" s="14" t="s">
        <v>152</v>
      </c>
      <c r="I14" s="14" t="s">
        <v>153</v>
      </c>
      <c r="J14" s="14" t="s">
        <v>154</v>
      </c>
      <c r="K14" s="8" t="n">
        <v>3</v>
      </c>
      <c r="L14" s="8" t="n">
        <v>125</v>
      </c>
      <c r="M14" s="8" t="n">
        <v>5</v>
      </c>
      <c r="N14" s="8" t="n">
        <v>58</v>
      </c>
      <c r="O14" s="8" t="n">
        <v>1</v>
      </c>
      <c r="P14" s="9" t="n">
        <v>1.72523602794721</v>
      </c>
      <c r="Q14" s="10" t="n">
        <v>0.579630835318144</v>
      </c>
      <c r="R14" s="9" t="n">
        <v>1.72727272727273</v>
      </c>
      <c r="S14" s="11" t="n">
        <f aca="false">IF(AND(ISNUMBER(R14),R14&gt;1,P14&gt;0),R14/P14-1,"")</f>
        <v>0.00118053373133953</v>
      </c>
      <c r="T14" s="9" t="n">
        <f aca="false">IF(AND(ISNUMBER(P14),P14&gt;0),P14*EXP('Read me'!$B$22),"")</f>
        <v>2.10720804301202</v>
      </c>
    </row>
    <row r="15" customFormat="false" ht="15" hidden="false" customHeight="false" outlineLevel="0" collapsed="false">
      <c r="A15" s="14" t="s">
        <v>150</v>
      </c>
      <c r="B15" s="14" t="s">
        <v>117</v>
      </c>
      <c r="C15" s="14" t="s">
        <v>151</v>
      </c>
      <c r="D15" s="14"/>
      <c r="E15" s="15" t="n">
        <v>20</v>
      </c>
      <c r="F15" s="14" t="s">
        <v>388</v>
      </c>
      <c r="G15" s="8" t="n">
        <v>6</v>
      </c>
      <c r="H15" s="14" t="s">
        <v>155</v>
      </c>
      <c r="I15" s="14" t="s">
        <v>677</v>
      </c>
      <c r="J15" s="14" t="s">
        <v>678</v>
      </c>
      <c r="K15" s="8" t="n">
        <v>2</v>
      </c>
      <c r="L15" s="8" t="n">
        <v>0</v>
      </c>
      <c r="M15" s="8" t="n">
        <v>6</v>
      </c>
      <c r="N15" s="8" t="n">
        <v>36</v>
      </c>
      <c r="O15" s="8" t="n">
        <v>2</v>
      </c>
      <c r="P15" s="9" t="n">
        <v>4.40663266037417</v>
      </c>
      <c r="Q15" s="10" t="n">
        <v>0.22693064683887</v>
      </c>
      <c r="R15" s="9" t="n">
        <v>4.5</v>
      </c>
      <c r="S15" s="11" t="n">
        <f aca="false">IF(AND(ISNUMBER(R15),R15&gt;1,P15&gt;0),R15/P15-1,"")</f>
        <v>0.0211879107749144</v>
      </c>
      <c r="T15" s="9" t="n">
        <f aca="false">IF(AND(ISNUMBER(P15),P15&gt;0),P15*EXP('Read me'!$B$22),"")</f>
        <v>5.3822732855797</v>
      </c>
    </row>
    <row r="16" customFormat="false" ht="15" hidden="false" customHeight="false" outlineLevel="0" collapsed="false">
      <c r="A16" s="14" t="s">
        <v>150</v>
      </c>
      <c r="B16" s="14" t="s">
        <v>117</v>
      </c>
      <c r="C16" s="14" t="s">
        <v>151</v>
      </c>
      <c r="D16" s="14"/>
      <c r="E16" s="15" t="n">
        <v>20</v>
      </c>
      <c r="F16" s="14" t="s">
        <v>388</v>
      </c>
      <c r="G16" s="8" t="n">
        <v>6</v>
      </c>
      <c r="H16" s="14" t="s">
        <v>679</v>
      </c>
      <c r="I16" s="14" t="s">
        <v>587</v>
      </c>
      <c r="J16" s="14" t="s">
        <v>418</v>
      </c>
      <c r="K16" s="8" t="n">
        <v>4</v>
      </c>
      <c r="L16" s="8" t="n">
        <v>120</v>
      </c>
      <c r="M16" s="8" t="n">
        <v>6</v>
      </c>
      <c r="N16" s="8" t="n">
        <v>36</v>
      </c>
      <c r="O16" s="8" t="n">
        <v>3</v>
      </c>
      <c r="P16" s="9" t="n">
        <v>9.44226043774033</v>
      </c>
      <c r="Q16" s="10" t="n">
        <v>0.10590684366246</v>
      </c>
      <c r="R16" s="9" t="n">
        <v>6</v>
      </c>
      <c r="S16" s="11" t="n">
        <f aca="false">IF(AND(ISNUMBER(R16),R16&gt;1,P16&gt;0),R16/P16-1,"")</f>
        <v>-0.364558938025238</v>
      </c>
      <c r="T16" s="9" t="n">
        <f aca="false">IF(AND(ISNUMBER(P16),P16&gt;0),P16*EXP('Read me'!$B$22),"")</f>
        <v>11.5328029419227</v>
      </c>
    </row>
    <row r="17" customFormat="false" ht="15" hidden="false" customHeight="false" outlineLevel="0" collapsed="false">
      <c r="A17" s="14" t="s">
        <v>150</v>
      </c>
      <c r="B17" s="14" t="s">
        <v>117</v>
      </c>
      <c r="C17" s="14" t="s">
        <v>151</v>
      </c>
      <c r="D17" s="14"/>
      <c r="E17" s="15" t="n">
        <v>20</v>
      </c>
      <c r="F17" s="14" t="s">
        <v>388</v>
      </c>
      <c r="G17" s="8" t="n">
        <v>6</v>
      </c>
      <c r="H17" s="14" t="s">
        <v>680</v>
      </c>
      <c r="I17" s="14" t="s">
        <v>681</v>
      </c>
      <c r="J17" s="14" t="s">
        <v>154</v>
      </c>
      <c r="K17" s="8" t="n">
        <v>1</v>
      </c>
      <c r="L17" s="8" t="n">
        <v>122</v>
      </c>
      <c r="M17" s="8" t="n">
        <v>6</v>
      </c>
      <c r="N17" s="8" t="n">
        <v>29</v>
      </c>
      <c r="O17" s="8" t="n">
        <v>4</v>
      </c>
      <c r="P17" s="9" t="n">
        <v>18.556575916728</v>
      </c>
      <c r="Q17" s="10" t="n">
        <v>0.0538892522245195</v>
      </c>
      <c r="R17" s="9" t="n">
        <v>12</v>
      </c>
      <c r="S17" s="11" t="n">
        <f aca="false">IF(AND(ISNUMBER(R17),R17&gt;1,P17&gt;0),R17/P17-1,"")</f>
        <v>-0.353328973305765</v>
      </c>
      <c r="T17" s="9" t="n">
        <f aca="false">IF(AND(ISNUMBER(P17),P17&gt;0),P17*EXP('Read me'!$B$22),"")</f>
        <v>22.6650530067001</v>
      </c>
    </row>
    <row r="18" customFormat="false" ht="15" hidden="false" customHeight="false" outlineLevel="0" collapsed="false">
      <c r="A18" s="14" t="s">
        <v>150</v>
      </c>
      <c r="B18" s="14" t="s">
        <v>117</v>
      </c>
      <c r="C18" s="14" t="s">
        <v>151</v>
      </c>
      <c r="D18" s="14"/>
      <c r="E18" s="15" t="n">
        <v>20</v>
      </c>
      <c r="F18" s="14" t="s">
        <v>388</v>
      </c>
      <c r="G18" s="8" t="n">
        <v>6</v>
      </c>
      <c r="H18" s="14" t="s">
        <v>682</v>
      </c>
      <c r="I18" s="14" t="s">
        <v>595</v>
      </c>
      <c r="J18" s="14" t="s">
        <v>585</v>
      </c>
      <c r="K18" s="8" t="n">
        <v>5</v>
      </c>
      <c r="L18" s="8" t="n">
        <v>0</v>
      </c>
      <c r="M18" s="8" t="n">
        <v>5</v>
      </c>
      <c r="N18" s="8" t="n">
        <v>23</v>
      </c>
      <c r="O18" s="8" t="n">
        <v>5</v>
      </c>
      <c r="P18" s="9" t="n">
        <v>32.3446091939729</v>
      </c>
      <c r="Q18" s="10" t="n">
        <v>0.0309170531015826</v>
      </c>
      <c r="R18" s="9" t="n">
        <v>13</v>
      </c>
      <c r="S18" s="11" t="n">
        <f aca="false">IF(AND(ISNUMBER(R18),R18&gt;1,P18&gt;0),R18/P18-1,"")</f>
        <v>-0.598078309679425</v>
      </c>
      <c r="T18" s="9" t="n">
        <f aca="false">IF(AND(ISNUMBER(P18),P18&gt;0),P18*EXP('Read me'!$B$22),"")</f>
        <v>39.5057948811313</v>
      </c>
    </row>
    <row r="19" customFormat="false" ht="15" hidden="false" customHeight="false" outlineLevel="0" collapsed="false">
      <c r="A19" s="14" t="s">
        <v>150</v>
      </c>
      <c r="B19" s="14" t="s">
        <v>117</v>
      </c>
      <c r="C19" s="14" t="s">
        <v>151</v>
      </c>
      <c r="D19" s="14"/>
      <c r="E19" s="15" t="n">
        <v>20</v>
      </c>
      <c r="F19" s="14" t="s">
        <v>388</v>
      </c>
      <c r="G19" s="8" t="n">
        <v>6</v>
      </c>
      <c r="H19" s="14" t="s">
        <v>683</v>
      </c>
      <c r="I19" s="14" t="s">
        <v>684</v>
      </c>
      <c r="J19" s="14" t="s">
        <v>685</v>
      </c>
      <c r="K19" s="8" t="n">
        <v>6</v>
      </c>
      <c r="L19" s="8" t="n">
        <v>0</v>
      </c>
      <c r="M19" s="8" t="n">
        <v>5</v>
      </c>
      <c r="N19" s="8" t="n">
        <v>7</v>
      </c>
      <c r="O19" s="8" t="n">
        <v>6</v>
      </c>
      <c r="P19" s="9" t="n">
        <v>366.922810604851</v>
      </c>
      <c r="Q19" s="10" t="n">
        <v>0.0027253688544235</v>
      </c>
      <c r="R19" s="9" t="n">
        <v>201</v>
      </c>
      <c r="S19" s="11" t="n">
        <f aca="false">IF(AND(ISNUMBER(R19),R19&gt;1,P19&gt;0),R19/P19-1,"")</f>
        <v>-0.452200860260873</v>
      </c>
      <c r="T19" s="9" t="n">
        <f aca="false">IF(AND(ISNUMBER(P19),P19&gt;0),P19*EXP('Read me'!$B$22),"")</f>
        <v>448.160532904647</v>
      </c>
    </row>
    <row r="20" customFormat="false" ht="15" hidden="false" customHeight="false" outlineLevel="0" collapsed="false">
      <c r="A20" s="14" t="s">
        <v>180</v>
      </c>
      <c r="B20" s="14" t="s">
        <v>117</v>
      </c>
      <c r="C20" s="14" t="s">
        <v>181</v>
      </c>
      <c r="D20" s="14"/>
      <c r="E20" s="15" t="n">
        <v>20</v>
      </c>
      <c r="F20" s="14" t="s">
        <v>388</v>
      </c>
      <c r="G20" s="8" t="n">
        <v>14</v>
      </c>
      <c r="H20" s="14" t="s">
        <v>182</v>
      </c>
      <c r="I20" s="14" t="s">
        <v>153</v>
      </c>
      <c r="J20" s="14" t="s">
        <v>154</v>
      </c>
      <c r="K20" s="8" t="n">
        <v>8</v>
      </c>
      <c r="L20" s="8" t="n">
        <v>122</v>
      </c>
      <c r="M20" s="8" t="n">
        <v>5</v>
      </c>
      <c r="N20" s="8" t="n">
        <v>54</v>
      </c>
      <c r="O20" s="8" t="n">
        <v>1</v>
      </c>
      <c r="P20" s="9" t="n">
        <v>3.4155192029252</v>
      </c>
      <c r="Q20" s="10" t="n">
        <v>0.292781255377969</v>
      </c>
      <c r="R20" s="9" t="n">
        <v>2.75</v>
      </c>
      <c r="S20" s="11" t="n">
        <f aca="false">IF(AND(ISNUMBER(R20),R20&gt;1,P20&gt;0),R20/P20-1,"")</f>
        <v>-0.194851547710586</v>
      </c>
      <c r="T20" s="9" t="n">
        <f aca="false">IF(AND(ISNUMBER(P20),P20&gt;0),P20*EXP('Read me'!$B$22),"")</f>
        <v>4.17172457500187</v>
      </c>
    </row>
    <row r="21" customFormat="false" ht="15" hidden="false" customHeight="false" outlineLevel="0" collapsed="false">
      <c r="A21" s="14" t="s">
        <v>180</v>
      </c>
      <c r="B21" s="14" t="s">
        <v>117</v>
      </c>
      <c r="C21" s="14" t="s">
        <v>181</v>
      </c>
      <c r="D21" s="14"/>
      <c r="E21" s="15" t="n">
        <v>20</v>
      </c>
      <c r="F21" s="14" t="s">
        <v>388</v>
      </c>
      <c r="G21" s="8" t="n">
        <v>14</v>
      </c>
      <c r="H21" s="14" t="s">
        <v>183</v>
      </c>
      <c r="I21" s="14" t="s">
        <v>766</v>
      </c>
      <c r="J21" s="14" t="s">
        <v>767</v>
      </c>
      <c r="K21" s="8" t="n">
        <v>9</v>
      </c>
      <c r="L21" s="8" t="n">
        <v>121</v>
      </c>
      <c r="M21" s="8" t="n">
        <v>7</v>
      </c>
      <c r="N21" s="8" t="n">
        <v>31</v>
      </c>
      <c r="O21" s="8" t="n">
        <v>2</v>
      </c>
      <c r="P21" s="9" t="n">
        <v>9.03446239527828</v>
      </c>
      <c r="Q21" s="10" t="n">
        <v>0.110687272385198</v>
      </c>
      <c r="R21" s="9" t="n">
        <v>12</v>
      </c>
      <c r="S21" s="11" t="n">
        <f aca="false">IF(AND(ISNUMBER(R21),R21&gt;1,P21&gt;0),R21/P21-1,"")</f>
        <v>0.328247268622382</v>
      </c>
      <c r="T21" s="9" t="n">
        <f aca="false">IF(AND(ISNUMBER(P21),P21&gt;0),P21*EXP('Read me'!$B$22),"")</f>
        <v>11.0347172880872</v>
      </c>
    </row>
    <row r="22" customFormat="false" ht="15" hidden="false" customHeight="false" outlineLevel="0" collapsed="false">
      <c r="A22" s="14" t="s">
        <v>180</v>
      </c>
      <c r="B22" s="14" t="s">
        <v>117</v>
      </c>
      <c r="C22" s="14" t="s">
        <v>181</v>
      </c>
      <c r="D22" s="14"/>
      <c r="E22" s="15" t="n">
        <v>20</v>
      </c>
      <c r="F22" s="14" t="s">
        <v>388</v>
      </c>
      <c r="G22" s="8" t="n">
        <v>14</v>
      </c>
      <c r="H22" s="14" t="s">
        <v>768</v>
      </c>
      <c r="I22" s="14" t="s">
        <v>769</v>
      </c>
      <c r="J22" s="14" t="s">
        <v>770</v>
      </c>
      <c r="K22" s="8" t="n">
        <v>6</v>
      </c>
      <c r="L22" s="8" t="n">
        <v>125</v>
      </c>
      <c r="M22" s="8" t="n">
        <v>8</v>
      </c>
      <c r="N22" s="8" t="n">
        <v>56</v>
      </c>
      <c r="O22" s="8" t="n">
        <v>3</v>
      </c>
      <c r="P22" s="9" t="n">
        <v>10.1581059231062</v>
      </c>
      <c r="Q22" s="10" t="n">
        <v>0.0984435491783312</v>
      </c>
      <c r="R22" s="9" t="n">
        <v>7.5</v>
      </c>
      <c r="S22" s="11" t="n">
        <f aca="false">IF(AND(ISNUMBER(R22),R22&gt;1,P22&gt;0),R22/P22-1,"")</f>
        <v>-0.261673381162516</v>
      </c>
      <c r="T22" s="9" t="n">
        <f aca="false">IF(AND(ISNUMBER(P22),P22&gt;0),P22*EXP('Read me'!$B$22),"")</f>
        <v>12.407138592165</v>
      </c>
    </row>
    <row r="23" customFormat="false" ht="15" hidden="false" customHeight="false" outlineLevel="0" collapsed="false">
      <c r="A23" s="14" t="s">
        <v>180</v>
      </c>
      <c r="B23" s="14" t="s">
        <v>117</v>
      </c>
      <c r="C23" s="14" t="s">
        <v>181</v>
      </c>
      <c r="D23" s="14"/>
      <c r="E23" s="15" t="n">
        <v>20</v>
      </c>
      <c r="F23" s="14" t="s">
        <v>388</v>
      </c>
      <c r="G23" s="8" t="n">
        <v>14</v>
      </c>
      <c r="H23" s="14" t="s">
        <v>771</v>
      </c>
      <c r="I23" s="14" t="s">
        <v>595</v>
      </c>
      <c r="J23" s="14" t="s">
        <v>596</v>
      </c>
      <c r="K23" s="8" t="n">
        <v>12</v>
      </c>
      <c r="L23" s="8" t="n">
        <v>117</v>
      </c>
      <c r="M23" s="8" t="n">
        <v>5</v>
      </c>
      <c r="N23" s="8" t="n">
        <v>31</v>
      </c>
      <c r="O23" s="8" t="n">
        <v>4</v>
      </c>
      <c r="P23" s="9" t="n">
        <v>12.0293443752152</v>
      </c>
      <c r="Q23" s="10" t="n">
        <v>0.0831300500516356</v>
      </c>
      <c r="R23" s="9" t="n">
        <v>7.5</v>
      </c>
      <c r="S23" s="11" t="n">
        <f aca="false">IF(AND(ISNUMBER(R23),R23&gt;1,P23&gt;0),R23/P23-1,"")</f>
        <v>-0.376524624612732</v>
      </c>
      <c r="T23" s="9" t="n">
        <f aca="false">IF(AND(ISNUMBER(P23),P23&gt;0),P23*EXP('Read me'!$B$22),"")</f>
        <v>14.6926743987463</v>
      </c>
    </row>
    <row r="24" customFormat="false" ht="15" hidden="false" customHeight="false" outlineLevel="0" collapsed="false">
      <c r="A24" s="14" t="s">
        <v>180</v>
      </c>
      <c r="B24" s="14" t="s">
        <v>117</v>
      </c>
      <c r="C24" s="14" t="s">
        <v>181</v>
      </c>
      <c r="D24" s="14"/>
      <c r="E24" s="15" t="n">
        <v>20</v>
      </c>
      <c r="F24" s="14" t="s">
        <v>388</v>
      </c>
      <c r="G24" s="8" t="n">
        <v>14</v>
      </c>
      <c r="H24" s="14" t="s">
        <v>772</v>
      </c>
      <c r="I24" s="14" t="s">
        <v>773</v>
      </c>
      <c r="J24" s="14" t="s">
        <v>467</v>
      </c>
      <c r="K24" s="8" t="n">
        <v>3</v>
      </c>
      <c r="L24" s="8" t="n">
        <v>126</v>
      </c>
      <c r="M24" s="8" t="n">
        <v>9</v>
      </c>
      <c r="N24" s="8" t="n">
        <v>35</v>
      </c>
      <c r="O24" s="8" t="n">
        <v>5</v>
      </c>
      <c r="P24" s="9" t="n">
        <v>15.3531077835678</v>
      </c>
      <c r="Q24" s="10" t="n">
        <v>0.0651333928020932</v>
      </c>
      <c r="R24" s="9" t="n">
        <v>15</v>
      </c>
      <c r="S24" s="11" t="n">
        <f aca="false">IF(AND(ISNUMBER(R24),R24&gt;1,P24&gt;0),R24/P24-1,"")</f>
        <v>-0.0229991079686006</v>
      </c>
      <c r="T24" s="9" t="n">
        <f aca="false">IF(AND(ISNUMBER(P24),P24&gt;0),P24*EXP('Read me'!$B$22),"")</f>
        <v>18.7523281931801</v>
      </c>
    </row>
    <row r="25" customFormat="false" ht="15" hidden="false" customHeight="false" outlineLevel="0" collapsed="false">
      <c r="A25" s="14" t="s">
        <v>180</v>
      </c>
      <c r="B25" s="14" t="s">
        <v>117</v>
      </c>
      <c r="C25" s="14" t="s">
        <v>181</v>
      </c>
      <c r="D25" s="14"/>
      <c r="E25" s="15" t="n">
        <v>20</v>
      </c>
      <c r="F25" s="14" t="s">
        <v>388</v>
      </c>
      <c r="G25" s="8" t="n">
        <v>14</v>
      </c>
      <c r="H25" s="14" t="s">
        <v>774</v>
      </c>
      <c r="I25" s="14" t="s">
        <v>775</v>
      </c>
      <c r="J25" s="14" t="s">
        <v>685</v>
      </c>
      <c r="K25" s="8" t="n">
        <v>15</v>
      </c>
      <c r="L25" s="8" t="n">
        <v>115</v>
      </c>
      <c r="M25" s="8" t="n">
        <v>6</v>
      </c>
      <c r="N25" s="8" t="n">
        <v>31</v>
      </c>
      <c r="O25" s="8" t="n">
        <v>6</v>
      </c>
      <c r="P25" s="9" t="n">
        <v>15.9073109808899</v>
      </c>
      <c r="Q25" s="10" t="n">
        <v>0.0628641761766863</v>
      </c>
      <c r="R25" s="9" t="n">
        <v>9.5</v>
      </c>
      <c r="S25" s="11" t="n">
        <f aca="false">IF(AND(ISNUMBER(R25),R25&gt;1,P25&gt;0),R25/P25-1,"")</f>
        <v>-0.40279032632148</v>
      </c>
      <c r="T25" s="9" t="n">
        <f aca="false">IF(AND(ISNUMBER(P25),P25&gt;0),P25*EXP('Read me'!$B$22),"")</f>
        <v>19.4292335069705</v>
      </c>
    </row>
    <row r="26" customFormat="false" ht="15" hidden="false" customHeight="false" outlineLevel="0" collapsed="false">
      <c r="A26" s="14" t="s">
        <v>180</v>
      </c>
      <c r="B26" s="14" t="s">
        <v>117</v>
      </c>
      <c r="C26" s="14" t="s">
        <v>181</v>
      </c>
      <c r="D26" s="14"/>
      <c r="E26" s="15" t="n">
        <v>20</v>
      </c>
      <c r="F26" s="14" t="s">
        <v>388</v>
      </c>
      <c r="G26" s="8" t="n">
        <v>14</v>
      </c>
      <c r="H26" s="14" t="s">
        <v>776</v>
      </c>
      <c r="I26" s="14" t="s">
        <v>777</v>
      </c>
      <c r="J26" s="14" t="s">
        <v>778</v>
      </c>
      <c r="K26" s="8" t="n">
        <v>13</v>
      </c>
      <c r="L26" s="8" t="n">
        <v>117</v>
      </c>
      <c r="M26" s="8" t="n">
        <v>6</v>
      </c>
      <c r="N26" s="8" t="n">
        <v>15</v>
      </c>
      <c r="O26" s="8" t="n">
        <v>7</v>
      </c>
      <c r="P26" s="9" t="n">
        <v>16.6469413798406</v>
      </c>
      <c r="Q26" s="10" t="n">
        <v>0.0600710951749369</v>
      </c>
      <c r="R26" s="9" t="n">
        <v>10</v>
      </c>
      <c r="S26" s="11" t="n">
        <f aca="false">IF(AND(ISNUMBER(R26),R26&gt;1,P26&gt;0),R26/P26-1,"")</f>
        <v>-0.39928904825063</v>
      </c>
      <c r="T26" s="9" t="n">
        <f aca="false">IF(AND(ISNUMBER(P26),P26&gt;0),P26*EXP('Read me'!$B$22),"")</f>
        <v>20.332620116268</v>
      </c>
    </row>
    <row r="27" customFormat="false" ht="15" hidden="false" customHeight="false" outlineLevel="0" collapsed="false">
      <c r="A27" s="14" t="s">
        <v>180</v>
      </c>
      <c r="B27" s="14" t="s">
        <v>117</v>
      </c>
      <c r="C27" s="14" t="s">
        <v>181</v>
      </c>
      <c r="D27" s="14"/>
      <c r="E27" s="15" t="n">
        <v>20</v>
      </c>
      <c r="F27" s="14" t="s">
        <v>388</v>
      </c>
      <c r="G27" s="8" t="n">
        <v>14</v>
      </c>
      <c r="H27" s="14" t="s">
        <v>779</v>
      </c>
      <c r="I27" s="14" t="s">
        <v>587</v>
      </c>
      <c r="J27" s="14" t="s">
        <v>780</v>
      </c>
      <c r="K27" s="8" t="n">
        <v>11</v>
      </c>
      <c r="L27" s="8" t="n">
        <v>121</v>
      </c>
      <c r="M27" s="8" t="n">
        <v>10</v>
      </c>
      <c r="N27" s="8" t="n">
        <v>22</v>
      </c>
      <c r="O27" s="8" t="n">
        <v>8</v>
      </c>
      <c r="P27" s="9" t="n">
        <v>17.8123372058503</v>
      </c>
      <c r="Q27" s="10" t="n">
        <v>0.0561408639665524</v>
      </c>
      <c r="R27" s="9" t="n">
        <v>17</v>
      </c>
      <c r="S27" s="11" t="n">
        <f aca="false">IF(AND(ISNUMBER(R27),R27&gt;1,P27&gt;0),R27/P27-1,"")</f>
        <v>-0.0456053125686092</v>
      </c>
      <c r="T27" s="9" t="n">
        <f aca="false">IF(AND(ISNUMBER(P27),P27&gt;0),P27*EXP('Read me'!$B$22),"")</f>
        <v>21.7560377925045</v>
      </c>
    </row>
    <row r="28" customFormat="false" ht="15" hidden="false" customHeight="false" outlineLevel="0" collapsed="false">
      <c r="A28" s="14" t="s">
        <v>180</v>
      </c>
      <c r="B28" s="14" t="s">
        <v>117</v>
      </c>
      <c r="C28" s="14" t="s">
        <v>181</v>
      </c>
      <c r="D28" s="14"/>
      <c r="E28" s="15" t="n">
        <v>20</v>
      </c>
      <c r="F28" s="14" t="s">
        <v>388</v>
      </c>
      <c r="G28" s="8" t="n">
        <v>14</v>
      </c>
      <c r="H28" s="14" t="s">
        <v>781</v>
      </c>
      <c r="I28" s="14" t="s">
        <v>782</v>
      </c>
      <c r="J28" s="14" t="s">
        <v>783</v>
      </c>
      <c r="K28" s="8" t="n">
        <v>7</v>
      </c>
      <c r="L28" s="8" t="n">
        <v>124</v>
      </c>
      <c r="M28" s="8" t="n">
        <v>6</v>
      </c>
      <c r="N28" s="8" t="n">
        <v>56</v>
      </c>
      <c r="O28" s="8" t="n">
        <v>9</v>
      </c>
      <c r="P28" s="9" t="n">
        <v>20.0559120729113</v>
      </c>
      <c r="Q28" s="10" t="n">
        <v>0.0498606094983164</v>
      </c>
      <c r="R28" s="9" t="n">
        <v>10</v>
      </c>
      <c r="S28" s="11" t="n">
        <f aca="false">IF(AND(ISNUMBER(R28),R28&gt;1,P28&gt;0),R28/P28-1,"")</f>
        <v>-0.501393905016836</v>
      </c>
      <c r="T28" s="9" t="n">
        <f aca="false">IF(AND(ISNUMBER(P28),P28&gt;0),P28*EXP('Read me'!$B$22),"")</f>
        <v>24.4963463232717</v>
      </c>
    </row>
    <row r="29" customFormat="false" ht="15" hidden="false" customHeight="false" outlineLevel="0" collapsed="false">
      <c r="A29" s="14" t="s">
        <v>180</v>
      </c>
      <c r="B29" s="14" t="s">
        <v>117</v>
      </c>
      <c r="C29" s="14" t="s">
        <v>181</v>
      </c>
      <c r="D29" s="14"/>
      <c r="E29" s="15" t="n">
        <v>20</v>
      </c>
      <c r="F29" s="14" t="s">
        <v>388</v>
      </c>
      <c r="G29" s="8" t="n">
        <v>14</v>
      </c>
      <c r="H29" s="14" t="s">
        <v>784</v>
      </c>
      <c r="I29" s="14" t="s">
        <v>120</v>
      </c>
      <c r="J29" s="14" t="s">
        <v>785</v>
      </c>
      <c r="K29" s="8" t="n">
        <v>5</v>
      </c>
      <c r="L29" s="8" t="n">
        <v>125</v>
      </c>
      <c r="M29" s="8" t="n">
        <v>6</v>
      </c>
      <c r="N29" s="8" t="n">
        <v>37</v>
      </c>
      <c r="O29" s="8" t="n">
        <v>10</v>
      </c>
      <c r="P29" s="9" t="n">
        <v>26.8848279982107</v>
      </c>
      <c r="Q29" s="10" t="n">
        <v>0.0371957001200287</v>
      </c>
      <c r="R29" s="9" t="n">
        <v>12</v>
      </c>
      <c r="S29" s="11" t="n">
        <f aca="false">IF(AND(ISNUMBER(R29),R29&gt;1,P29&gt;0),R29/P29-1,"")</f>
        <v>-0.553651598559655</v>
      </c>
      <c r="T29" s="9" t="n">
        <f aca="false">IF(AND(ISNUMBER(P29),P29&gt;0),P29*EXP('Read me'!$B$22),"")</f>
        <v>32.8372030696764</v>
      </c>
    </row>
    <row r="30" customFormat="false" ht="15" hidden="false" customHeight="false" outlineLevel="0" collapsed="false">
      <c r="A30" s="14" t="s">
        <v>180</v>
      </c>
      <c r="B30" s="14" t="s">
        <v>117</v>
      </c>
      <c r="C30" s="14" t="s">
        <v>181</v>
      </c>
      <c r="D30" s="14"/>
      <c r="E30" s="15" t="n">
        <v>20</v>
      </c>
      <c r="F30" s="14" t="s">
        <v>388</v>
      </c>
      <c r="G30" s="8" t="n">
        <v>14</v>
      </c>
      <c r="H30" s="14" t="s">
        <v>786</v>
      </c>
      <c r="I30" s="14" t="s">
        <v>787</v>
      </c>
      <c r="J30" s="14" t="s">
        <v>788</v>
      </c>
      <c r="K30" s="8" t="n">
        <v>10</v>
      </c>
      <c r="L30" s="8" t="n">
        <v>121</v>
      </c>
      <c r="M30" s="8" t="n">
        <v>9</v>
      </c>
      <c r="N30" s="8" t="n">
        <v>24</v>
      </c>
      <c r="O30" s="8" t="n">
        <v>11</v>
      </c>
      <c r="P30" s="9" t="n">
        <v>34.9749756440642</v>
      </c>
      <c r="Q30" s="10" t="n">
        <v>0.0285918712332174</v>
      </c>
      <c r="R30" s="9" t="n">
        <v>29</v>
      </c>
      <c r="S30" s="11" t="n">
        <f aca="false">IF(AND(ISNUMBER(R30),R30&gt;1,P30&gt;0),R30/P30-1,"")</f>
        <v>-0.170835734236694</v>
      </c>
      <c r="T30" s="9" t="n">
        <f aca="false">IF(AND(ISNUMBER(P30),P30&gt;0),P30*EXP('Read me'!$B$22),"")</f>
        <v>42.7185317182448</v>
      </c>
    </row>
    <row r="31" customFormat="false" ht="15" hidden="false" customHeight="false" outlineLevel="0" collapsed="false">
      <c r="A31" s="14" t="s">
        <v>180</v>
      </c>
      <c r="B31" s="14" t="s">
        <v>117</v>
      </c>
      <c r="C31" s="14" t="s">
        <v>181</v>
      </c>
      <c r="D31" s="14"/>
      <c r="E31" s="15" t="n">
        <v>20</v>
      </c>
      <c r="F31" s="14" t="s">
        <v>388</v>
      </c>
      <c r="G31" s="8" t="n">
        <v>14</v>
      </c>
      <c r="H31" s="14" t="s">
        <v>789</v>
      </c>
      <c r="I31" s="14" t="s">
        <v>610</v>
      </c>
      <c r="J31" s="14" t="s">
        <v>611</v>
      </c>
      <c r="K31" s="8" t="n">
        <v>14</v>
      </c>
      <c r="L31" s="8" t="n">
        <v>116</v>
      </c>
      <c r="M31" s="8" t="n">
        <v>7</v>
      </c>
      <c r="N31" s="8" t="n">
        <v>128</v>
      </c>
      <c r="O31" s="8" t="n">
        <v>12</v>
      </c>
      <c r="P31" s="9" t="n">
        <v>40.745020308583</v>
      </c>
      <c r="Q31" s="10" t="n">
        <v>0.0245428764650621</v>
      </c>
      <c r="R31" s="9" t="n">
        <v>21</v>
      </c>
      <c r="S31" s="11" t="n">
        <f aca="false">IF(AND(ISNUMBER(R31),R31&gt;1,P31&gt;0),R31/P31-1,"")</f>
        <v>-0.484599594233696</v>
      </c>
      <c r="T31" s="9" t="n">
        <f aca="false">IF(AND(ISNUMBER(P31),P31&gt;0),P31*EXP('Read me'!$B$22),"")</f>
        <v>49.7660801861954</v>
      </c>
    </row>
    <row r="32" customFormat="false" ht="15" hidden="false" customHeight="false" outlineLevel="0" collapsed="false">
      <c r="A32" s="14" t="s">
        <v>180</v>
      </c>
      <c r="B32" s="14" t="s">
        <v>117</v>
      </c>
      <c r="C32" s="14" t="s">
        <v>181</v>
      </c>
      <c r="D32" s="14"/>
      <c r="E32" s="15" t="n">
        <v>20</v>
      </c>
      <c r="F32" s="14" t="s">
        <v>388</v>
      </c>
      <c r="G32" s="8" t="n">
        <v>14</v>
      </c>
      <c r="H32" s="14" t="s">
        <v>790</v>
      </c>
      <c r="I32" s="14" t="s">
        <v>791</v>
      </c>
      <c r="J32" s="14" t="s">
        <v>792</v>
      </c>
      <c r="K32" s="8" t="n">
        <v>17</v>
      </c>
      <c r="L32" s="8" t="n">
        <v>112</v>
      </c>
      <c r="M32" s="8" t="n">
        <v>5</v>
      </c>
      <c r="N32" s="8" t="n">
        <v>24</v>
      </c>
      <c r="O32" s="8" t="n">
        <v>13</v>
      </c>
      <c r="P32" s="9" t="n">
        <v>43.1637091056558</v>
      </c>
      <c r="Q32" s="10" t="n">
        <v>0.0231676104931624</v>
      </c>
      <c r="R32" s="9" t="n">
        <v>51</v>
      </c>
      <c r="S32" s="11" t="n">
        <f aca="false">IF(AND(ISNUMBER(R32),R32&gt;1,P32&gt;0),R32/P32-1,"")</f>
        <v>0.181548135151283</v>
      </c>
      <c r="T32" s="9" t="n">
        <f aca="false">IF(AND(ISNUMBER(P32),P32&gt;0),P32*EXP('Read me'!$B$22),"")</f>
        <v>52.7202733540712</v>
      </c>
    </row>
    <row r="33" customFormat="false" ht="15" hidden="false" customHeight="false" outlineLevel="0" collapsed="false">
      <c r="A33" s="14" t="s">
        <v>180</v>
      </c>
      <c r="B33" s="14" t="s">
        <v>117</v>
      </c>
      <c r="C33" s="14" t="s">
        <v>181</v>
      </c>
      <c r="D33" s="14"/>
      <c r="E33" s="15" t="n">
        <v>20</v>
      </c>
      <c r="F33" s="14" t="s">
        <v>388</v>
      </c>
      <c r="G33" s="8" t="n">
        <v>14</v>
      </c>
      <c r="H33" s="14" t="s">
        <v>793</v>
      </c>
      <c r="I33" s="14" t="s">
        <v>794</v>
      </c>
      <c r="J33" s="14" t="s">
        <v>795</v>
      </c>
      <c r="K33" s="8" t="n">
        <v>1</v>
      </c>
      <c r="L33" s="8" t="n">
        <v>140</v>
      </c>
      <c r="M33" s="8" t="n">
        <v>8</v>
      </c>
      <c r="N33" s="8" t="n">
        <v>255</v>
      </c>
      <c r="O33" s="8" t="n">
        <v>14</v>
      </c>
      <c r="P33" s="9" t="n">
        <v>135.323910585784</v>
      </c>
      <c r="Q33" s="10" t="n">
        <v>0.0073896770768096</v>
      </c>
      <c r="R33" s="9" t="n">
        <v>51</v>
      </c>
      <c r="S33" s="11" t="n">
        <f aca="false">IF(AND(ISNUMBER(R33),R33&gt;1,P33&gt;0),R33/P33-1,"")</f>
        <v>-0.623126469082709</v>
      </c>
      <c r="T33" s="9" t="n">
        <f aca="false">IF(AND(ISNUMBER(P33),P33&gt;0),P33*EXP('Read me'!$B$22),"")</f>
        <v>165.284997634496</v>
      </c>
    </row>
    <row r="34" customFormat="false" ht="15" hidden="false" customHeight="false" outlineLevel="0" collapsed="false">
      <c r="A34" s="14" t="s">
        <v>221</v>
      </c>
      <c r="B34" s="14" t="s">
        <v>117</v>
      </c>
      <c r="C34" s="14" t="s">
        <v>222</v>
      </c>
      <c r="D34" s="14"/>
      <c r="E34" s="15" t="n">
        <v>22</v>
      </c>
      <c r="F34" s="14" t="s">
        <v>388</v>
      </c>
      <c r="G34" s="8" t="n">
        <v>19</v>
      </c>
      <c r="H34" s="14" t="s">
        <v>223</v>
      </c>
      <c r="I34" s="14" t="s">
        <v>224</v>
      </c>
      <c r="J34" s="14" t="s">
        <v>225</v>
      </c>
      <c r="K34" s="8" t="n">
        <v>1</v>
      </c>
      <c r="L34" s="8" t="n">
        <v>96</v>
      </c>
      <c r="M34" s="8" t="n">
        <v>7</v>
      </c>
      <c r="N34" s="8" t="n">
        <v>5</v>
      </c>
      <c r="O34" s="8" t="n">
        <v>1</v>
      </c>
      <c r="P34" s="9" t="n">
        <v>5.3421039052785</v>
      </c>
      <c r="Q34" s="10" t="n">
        <v>0.187192165807914</v>
      </c>
      <c r="R34" s="9" t="n">
        <v>8</v>
      </c>
      <c r="S34" s="11" t="n">
        <f aca="false">IF(AND(ISNUMBER(R34),R34&gt;1,P34&gt;0),R34/P34-1,"")</f>
        <v>0.497537326463316</v>
      </c>
      <c r="T34" s="9" t="n">
        <f aca="false">IF(AND(ISNUMBER(P34),P34&gt;0),P34*EXP('Read me'!$B$22),"")</f>
        <v>6.52486044428537</v>
      </c>
    </row>
    <row r="35" customFormat="false" ht="15" hidden="false" customHeight="false" outlineLevel="0" collapsed="false">
      <c r="A35" s="14" t="s">
        <v>221</v>
      </c>
      <c r="B35" s="14" t="s">
        <v>117</v>
      </c>
      <c r="C35" s="14" t="s">
        <v>222</v>
      </c>
      <c r="D35" s="14"/>
      <c r="E35" s="15" t="n">
        <v>22</v>
      </c>
      <c r="F35" s="14" t="s">
        <v>388</v>
      </c>
      <c r="G35" s="8" t="n">
        <v>19</v>
      </c>
      <c r="H35" s="14" t="s">
        <v>226</v>
      </c>
      <c r="I35" s="14" t="s">
        <v>897</v>
      </c>
      <c r="J35" s="14" t="s">
        <v>898</v>
      </c>
      <c r="K35" s="8" t="n">
        <v>5</v>
      </c>
      <c r="L35" s="8" t="n">
        <v>91</v>
      </c>
      <c r="M35" s="8" t="n">
        <v>9</v>
      </c>
      <c r="N35" s="8" t="n">
        <v>19</v>
      </c>
      <c r="O35" s="8" t="n">
        <v>2</v>
      </c>
      <c r="P35" s="9" t="n">
        <v>8.70516948855284</v>
      </c>
      <c r="Q35" s="10" t="n">
        <v>0.114874271123036</v>
      </c>
      <c r="R35" s="9" t="n">
        <v>8.5</v>
      </c>
      <c r="S35" s="11" t="n">
        <f aca="false">IF(AND(ISNUMBER(R35),R35&gt;1,P35&gt;0),R35/P35-1,"")</f>
        <v>-0.0235686954541938</v>
      </c>
      <c r="T35" s="9" t="n">
        <f aca="false">IF(AND(ISNUMBER(P35),P35&gt;0),P35*EXP('Read me'!$B$22),"")</f>
        <v>10.6325180235702</v>
      </c>
    </row>
    <row r="36" customFormat="false" ht="15" hidden="false" customHeight="false" outlineLevel="0" collapsed="false">
      <c r="A36" s="14" t="s">
        <v>221</v>
      </c>
      <c r="B36" s="14" t="s">
        <v>117</v>
      </c>
      <c r="C36" s="14" t="s">
        <v>222</v>
      </c>
      <c r="D36" s="14"/>
      <c r="E36" s="15" t="n">
        <v>22</v>
      </c>
      <c r="F36" s="14" t="s">
        <v>388</v>
      </c>
      <c r="G36" s="8" t="n">
        <v>19</v>
      </c>
      <c r="H36" s="14" t="s">
        <v>899</v>
      </c>
      <c r="I36" s="14" t="s">
        <v>900</v>
      </c>
      <c r="J36" s="14" t="s">
        <v>901</v>
      </c>
      <c r="K36" s="8" t="n">
        <v>12</v>
      </c>
      <c r="L36" s="8" t="n">
        <v>86</v>
      </c>
      <c r="M36" s="8" t="n">
        <v>4</v>
      </c>
      <c r="N36" s="8" t="n">
        <v>35</v>
      </c>
      <c r="O36" s="8" t="n">
        <v>3</v>
      </c>
      <c r="P36" s="9" t="n">
        <v>9.29793692864387</v>
      </c>
      <c r="Q36" s="10" t="n">
        <v>0.10755074030663</v>
      </c>
      <c r="R36" s="9" t="n">
        <v>5</v>
      </c>
      <c r="S36" s="11" t="n">
        <f aca="false">IF(AND(ISNUMBER(R36),R36&gt;1,P36&gt;0),R36/P36-1,"")</f>
        <v>-0.462246298466851</v>
      </c>
      <c r="T36" s="9" t="n">
        <f aca="false">IF(AND(ISNUMBER(P36),P36&gt;0),P36*EXP('Read me'!$B$22),"")</f>
        <v>11.3565258098449</v>
      </c>
    </row>
    <row r="37" customFormat="false" ht="15" hidden="false" customHeight="false" outlineLevel="0" collapsed="false">
      <c r="A37" s="14" t="s">
        <v>221</v>
      </c>
      <c r="B37" s="14" t="s">
        <v>117</v>
      </c>
      <c r="C37" s="14" t="s">
        <v>222</v>
      </c>
      <c r="D37" s="14"/>
      <c r="E37" s="15" t="n">
        <v>22</v>
      </c>
      <c r="F37" s="14" t="s">
        <v>388</v>
      </c>
      <c r="G37" s="8" t="n">
        <v>19</v>
      </c>
      <c r="H37" s="14" t="s">
        <v>902</v>
      </c>
      <c r="I37" s="14" t="s">
        <v>769</v>
      </c>
      <c r="J37" s="14" t="s">
        <v>903</v>
      </c>
      <c r="K37" s="8" t="n">
        <v>17</v>
      </c>
      <c r="L37" s="8" t="n">
        <v>76</v>
      </c>
      <c r="M37" s="8" t="n">
        <v>5</v>
      </c>
      <c r="N37" s="8" t="n">
        <v>35</v>
      </c>
      <c r="O37" s="8" t="n">
        <v>4</v>
      </c>
      <c r="P37" s="9" t="n">
        <v>12.8985174724188</v>
      </c>
      <c r="Q37" s="10" t="n">
        <v>0.0775282897540994</v>
      </c>
      <c r="R37" s="9" t="n">
        <v>13</v>
      </c>
      <c r="S37" s="11" t="n">
        <f aca="false">IF(AND(ISNUMBER(R37),R37&gt;1,P37&gt;0),R37/P37-1,"")</f>
        <v>0.00786776680329293</v>
      </c>
      <c r="T37" s="9" t="n">
        <f aca="false">IF(AND(ISNUMBER(P37),P37&gt;0),P37*EXP('Read me'!$B$22),"")</f>
        <v>15.7542848169895</v>
      </c>
    </row>
    <row r="38" customFormat="false" ht="15" hidden="false" customHeight="false" outlineLevel="0" collapsed="false">
      <c r="A38" s="14" t="s">
        <v>221</v>
      </c>
      <c r="B38" s="14" t="s">
        <v>117</v>
      </c>
      <c r="C38" s="14" t="s">
        <v>222</v>
      </c>
      <c r="D38" s="14"/>
      <c r="E38" s="15" t="n">
        <v>22</v>
      </c>
      <c r="F38" s="14" t="s">
        <v>388</v>
      </c>
      <c r="G38" s="8" t="n">
        <v>19</v>
      </c>
      <c r="H38" s="14" t="s">
        <v>904</v>
      </c>
      <c r="I38" s="14" t="s">
        <v>587</v>
      </c>
      <c r="J38" s="14" t="s">
        <v>905</v>
      </c>
      <c r="K38" s="8" t="n">
        <v>11</v>
      </c>
      <c r="L38" s="8" t="n">
        <v>84</v>
      </c>
      <c r="M38" s="8" t="n">
        <v>6</v>
      </c>
      <c r="N38" s="8" t="n">
        <v>122</v>
      </c>
      <c r="O38" s="8" t="n">
        <v>5</v>
      </c>
      <c r="P38" s="9" t="n">
        <v>13.0628590784534</v>
      </c>
      <c r="Q38" s="10" t="n">
        <v>0.0765529195403673</v>
      </c>
      <c r="R38" s="9" t="n">
        <v>8.5</v>
      </c>
      <c r="S38" s="11" t="n">
        <f aca="false">IF(AND(ISNUMBER(R38),R38&gt;1,P38&gt;0),R38/P38-1,"")</f>
        <v>-0.349300183906878</v>
      </c>
      <c r="T38" s="9" t="n">
        <f aca="false">IF(AND(ISNUMBER(P38),P38&gt;0),P38*EXP('Read me'!$B$22),"")</f>
        <v>15.9550121078806</v>
      </c>
    </row>
    <row r="39" customFormat="false" ht="15" hidden="false" customHeight="false" outlineLevel="0" collapsed="false">
      <c r="A39" s="14" t="s">
        <v>221</v>
      </c>
      <c r="B39" s="14" t="s">
        <v>117</v>
      </c>
      <c r="C39" s="14" t="s">
        <v>222</v>
      </c>
      <c r="D39" s="14"/>
      <c r="E39" s="15" t="n">
        <v>22</v>
      </c>
      <c r="F39" s="14" t="s">
        <v>388</v>
      </c>
      <c r="G39" s="8" t="n">
        <v>19</v>
      </c>
      <c r="H39" s="14" t="s">
        <v>906</v>
      </c>
      <c r="I39" s="14" t="s">
        <v>601</v>
      </c>
      <c r="J39" s="14" t="s">
        <v>418</v>
      </c>
      <c r="K39" s="8" t="n">
        <v>8</v>
      </c>
      <c r="L39" s="8" t="n">
        <v>88</v>
      </c>
      <c r="M39" s="8" t="n">
        <v>6</v>
      </c>
      <c r="N39" s="8" t="n">
        <v>54</v>
      </c>
      <c r="O39" s="8" t="n">
        <v>6</v>
      </c>
      <c r="P39" s="9" t="n">
        <v>14.4902589603629</v>
      </c>
      <c r="Q39" s="10" t="n">
        <v>0.0690118791344883</v>
      </c>
      <c r="R39" s="9" t="n">
        <v>21</v>
      </c>
      <c r="S39" s="11" t="n">
        <f aca="false">IF(AND(ISNUMBER(R39),R39&gt;1,P39&gt;0),R39/P39-1,"")</f>
        <v>0.449249461824254</v>
      </c>
      <c r="T39" s="9" t="n">
        <f aca="false">IF(AND(ISNUMBER(P39),P39&gt;0),P39*EXP('Read me'!$B$22),"")</f>
        <v>17.6984422606424</v>
      </c>
    </row>
    <row r="40" customFormat="false" ht="15" hidden="false" customHeight="false" outlineLevel="0" collapsed="false">
      <c r="A40" s="14" t="s">
        <v>221</v>
      </c>
      <c r="B40" s="14" t="s">
        <v>117</v>
      </c>
      <c r="C40" s="14" t="s">
        <v>222</v>
      </c>
      <c r="D40" s="14"/>
      <c r="E40" s="15" t="n">
        <v>22</v>
      </c>
      <c r="F40" s="14" t="s">
        <v>388</v>
      </c>
      <c r="G40" s="8" t="n">
        <v>19</v>
      </c>
      <c r="H40" s="14" t="s">
        <v>907</v>
      </c>
      <c r="I40" s="14" t="s">
        <v>590</v>
      </c>
      <c r="J40" s="14" t="s">
        <v>596</v>
      </c>
      <c r="K40" s="8" t="n">
        <v>6</v>
      </c>
      <c r="L40" s="8" t="n">
        <v>91</v>
      </c>
      <c r="M40" s="8" t="n">
        <v>9</v>
      </c>
      <c r="N40" s="8" t="n">
        <v>37</v>
      </c>
      <c r="O40" s="8" t="n">
        <v>7</v>
      </c>
      <c r="P40" s="9" t="n">
        <v>14.5087651140011</v>
      </c>
      <c r="Q40" s="10" t="n">
        <v>0.068923853418441</v>
      </c>
      <c r="R40" s="9" t="n">
        <v>8.5</v>
      </c>
      <c r="S40" s="11" t="n">
        <f aca="false">IF(AND(ISNUMBER(R40),R40&gt;1,P40&gt;0),R40/P40-1,"")</f>
        <v>-0.414147245943251</v>
      </c>
      <c r="T40" s="9" t="n">
        <f aca="false">IF(AND(ISNUMBER(P40),P40&gt;0),P40*EXP('Read me'!$B$22),"")</f>
        <v>17.7210457277389</v>
      </c>
    </row>
    <row r="41" customFormat="false" ht="15" hidden="false" customHeight="false" outlineLevel="0" collapsed="false">
      <c r="A41" s="14" t="s">
        <v>221</v>
      </c>
      <c r="B41" s="14" t="s">
        <v>117</v>
      </c>
      <c r="C41" s="14" t="s">
        <v>222</v>
      </c>
      <c r="D41" s="14"/>
      <c r="E41" s="15" t="n">
        <v>22</v>
      </c>
      <c r="F41" s="14" t="s">
        <v>388</v>
      </c>
      <c r="G41" s="8" t="n">
        <v>19</v>
      </c>
      <c r="H41" s="14" t="s">
        <v>908</v>
      </c>
      <c r="I41" s="14" t="s">
        <v>909</v>
      </c>
      <c r="J41" s="14" t="s">
        <v>910</v>
      </c>
      <c r="K41" s="8" t="n">
        <v>2</v>
      </c>
      <c r="L41" s="8" t="n">
        <v>95</v>
      </c>
      <c r="M41" s="8" t="n">
        <v>8</v>
      </c>
      <c r="N41" s="8" t="n">
        <v>159</v>
      </c>
      <c r="O41" s="8" t="n">
        <v>8</v>
      </c>
      <c r="P41" s="9" t="n">
        <v>18.910226474091</v>
      </c>
      <c r="Q41" s="10" t="n">
        <v>0.0528814396469605</v>
      </c>
      <c r="R41" s="9" t="n">
        <v>4.5</v>
      </c>
      <c r="S41" s="11" t="n">
        <f aca="false">IF(AND(ISNUMBER(R41),R41&gt;1,P41&gt;0),R41/P41-1,"")</f>
        <v>-0.762033521588678</v>
      </c>
      <c r="T41" s="9" t="n">
        <f aca="false">IF(AND(ISNUMBER(P41),P41&gt;0),P41*EXP('Read me'!$B$22),"")</f>
        <v>23.0970027728882</v>
      </c>
    </row>
    <row r="42" customFormat="false" ht="15" hidden="false" customHeight="false" outlineLevel="0" collapsed="false">
      <c r="A42" s="14" t="s">
        <v>221</v>
      </c>
      <c r="B42" s="14" t="s">
        <v>117</v>
      </c>
      <c r="C42" s="14" t="s">
        <v>222</v>
      </c>
      <c r="D42" s="14"/>
      <c r="E42" s="15" t="n">
        <v>22</v>
      </c>
      <c r="F42" s="14" t="s">
        <v>388</v>
      </c>
      <c r="G42" s="8" t="n">
        <v>19</v>
      </c>
      <c r="H42" s="14" t="s">
        <v>911</v>
      </c>
      <c r="I42" s="14" t="s">
        <v>912</v>
      </c>
      <c r="J42" s="14" t="s">
        <v>913</v>
      </c>
      <c r="K42" s="8" t="n">
        <v>21</v>
      </c>
      <c r="L42" s="8" t="n">
        <v>87</v>
      </c>
      <c r="M42" s="8" t="n">
        <v>7</v>
      </c>
      <c r="N42" s="8" t="n">
        <v>19</v>
      </c>
      <c r="O42" s="8" t="n">
        <v>9</v>
      </c>
      <c r="P42" s="9" t="n">
        <v>19.307064729652</v>
      </c>
      <c r="Q42" s="10" t="n">
        <v>0.0517945122162558</v>
      </c>
      <c r="R42" s="9" t="n">
        <v>21</v>
      </c>
      <c r="S42" s="11" t="n">
        <f aca="false">IF(AND(ISNUMBER(R42),R42&gt;1,P42&gt;0),R42/P42-1,"")</f>
        <v>0.0876847565413719</v>
      </c>
      <c r="T42" s="9" t="n">
        <f aca="false">IF(AND(ISNUMBER(P42),P42&gt;0),P42*EXP('Read me'!$B$22),"")</f>
        <v>23.5817021127738</v>
      </c>
    </row>
    <row r="43" customFormat="false" ht="15" hidden="false" customHeight="false" outlineLevel="0" collapsed="false">
      <c r="A43" s="14" t="s">
        <v>221</v>
      </c>
      <c r="B43" s="14" t="s">
        <v>117</v>
      </c>
      <c r="C43" s="14" t="s">
        <v>222</v>
      </c>
      <c r="D43" s="14"/>
      <c r="E43" s="15" t="n">
        <v>22</v>
      </c>
      <c r="F43" s="14" t="s">
        <v>388</v>
      </c>
      <c r="G43" s="8" t="n">
        <v>19</v>
      </c>
      <c r="H43" s="14" t="s">
        <v>914</v>
      </c>
      <c r="I43" s="14" t="s">
        <v>791</v>
      </c>
      <c r="J43" s="14" t="s">
        <v>915</v>
      </c>
      <c r="K43" s="8" t="n">
        <v>7</v>
      </c>
      <c r="L43" s="8" t="n">
        <v>90</v>
      </c>
      <c r="M43" s="8" t="n">
        <v>8</v>
      </c>
      <c r="N43" s="8" t="n">
        <v>29</v>
      </c>
      <c r="O43" s="8" t="n">
        <v>10</v>
      </c>
      <c r="P43" s="9" t="n">
        <v>20.9848940072121</v>
      </c>
      <c r="Q43" s="10" t="n">
        <v>0.0476533262286824</v>
      </c>
      <c r="R43" s="9" t="n">
        <v>11</v>
      </c>
      <c r="S43" s="11" t="n">
        <f aca="false">IF(AND(ISNUMBER(R43),R43&gt;1,P43&gt;0),R43/P43-1,"")</f>
        <v>-0.475813411484494</v>
      </c>
      <c r="T43" s="9" t="n">
        <f aca="false">IF(AND(ISNUMBER(P43),P43&gt;0),P43*EXP('Read me'!$B$22),"")</f>
        <v>25.6310074201077</v>
      </c>
    </row>
    <row r="44" customFormat="false" ht="15" hidden="false" customHeight="false" outlineLevel="0" collapsed="false">
      <c r="A44" s="14" t="s">
        <v>221</v>
      </c>
      <c r="B44" s="14" t="s">
        <v>117</v>
      </c>
      <c r="C44" s="14" t="s">
        <v>222</v>
      </c>
      <c r="D44" s="14"/>
      <c r="E44" s="15" t="n">
        <v>22</v>
      </c>
      <c r="F44" s="14" t="s">
        <v>388</v>
      </c>
      <c r="G44" s="8" t="n">
        <v>19</v>
      </c>
      <c r="H44" s="14" t="s">
        <v>916</v>
      </c>
      <c r="I44" s="14" t="s">
        <v>912</v>
      </c>
      <c r="J44" s="14" t="s">
        <v>917</v>
      </c>
      <c r="K44" s="8" t="n">
        <v>19</v>
      </c>
      <c r="L44" s="8" t="n">
        <v>84</v>
      </c>
      <c r="M44" s="8" t="n">
        <v>5</v>
      </c>
      <c r="N44" s="8" t="n">
        <v>23</v>
      </c>
      <c r="O44" s="8" t="n">
        <v>11</v>
      </c>
      <c r="P44" s="9" t="n">
        <v>25.3377146703571</v>
      </c>
      <c r="Q44" s="10" t="n">
        <v>0.0394668585154568</v>
      </c>
      <c r="R44" s="9" t="n">
        <v>17</v>
      </c>
      <c r="S44" s="11" t="n">
        <f aca="false">IF(AND(ISNUMBER(R44),R44&gt;1,P44&gt;0),R44/P44-1,"")</f>
        <v>-0.329063405237234</v>
      </c>
      <c r="T44" s="9" t="n">
        <f aca="false">IF(AND(ISNUMBER(P44),P44&gt;0),P44*EXP('Read me'!$B$22),"")</f>
        <v>30.9475545838496</v>
      </c>
    </row>
    <row r="45" customFormat="false" ht="15" hidden="false" customHeight="false" outlineLevel="0" collapsed="false">
      <c r="A45" s="14" t="s">
        <v>221</v>
      </c>
      <c r="B45" s="14" t="s">
        <v>117</v>
      </c>
      <c r="C45" s="14" t="s">
        <v>222</v>
      </c>
      <c r="D45" s="14"/>
      <c r="E45" s="15" t="n">
        <v>22</v>
      </c>
      <c r="F45" s="14" t="s">
        <v>388</v>
      </c>
      <c r="G45" s="8" t="n">
        <v>19</v>
      </c>
      <c r="H45" s="14" t="s">
        <v>918</v>
      </c>
      <c r="I45" s="14" t="s">
        <v>595</v>
      </c>
      <c r="J45" s="14" t="s">
        <v>596</v>
      </c>
      <c r="K45" s="8" t="n">
        <v>9</v>
      </c>
      <c r="L45" s="8" t="n">
        <v>87</v>
      </c>
      <c r="M45" s="8" t="n">
        <v>5</v>
      </c>
      <c r="N45" s="8" t="n">
        <v>133</v>
      </c>
      <c r="O45" s="8" t="n">
        <v>12</v>
      </c>
      <c r="P45" s="9" t="n">
        <v>27.4201978385551</v>
      </c>
      <c r="Q45" s="10" t="n">
        <v>0.0364694669924633</v>
      </c>
      <c r="R45" s="9" t="n">
        <v>13</v>
      </c>
      <c r="S45" s="11" t="n">
        <f aca="false">IF(AND(ISNUMBER(R45),R45&gt;1,P45&gt;0),R45/P45-1,"")</f>
        <v>-0.525896929097977</v>
      </c>
      <c r="T45" s="9" t="n">
        <f aca="false">IF(AND(ISNUMBER(P45),P45&gt;0),P45*EXP('Read me'!$B$22),"")</f>
        <v>33.4911052693088</v>
      </c>
    </row>
    <row r="46" customFormat="false" ht="15" hidden="false" customHeight="false" outlineLevel="0" collapsed="false">
      <c r="A46" s="14" t="s">
        <v>221</v>
      </c>
      <c r="B46" s="14" t="s">
        <v>117</v>
      </c>
      <c r="C46" s="14" t="s">
        <v>222</v>
      </c>
      <c r="D46" s="14"/>
      <c r="E46" s="15" t="n">
        <v>22</v>
      </c>
      <c r="F46" s="14" t="s">
        <v>388</v>
      </c>
      <c r="G46" s="8" t="n">
        <v>19</v>
      </c>
      <c r="H46" s="14" t="s">
        <v>919</v>
      </c>
      <c r="I46" s="14" t="s">
        <v>912</v>
      </c>
      <c r="J46" s="14" t="s">
        <v>920</v>
      </c>
      <c r="K46" s="8" t="n">
        <v>20</v>
      </c>
      <c r="L46" s="8" t="n">
        <v>79</v>
      </c>
      <c r="M46" s="8" t="n">
        <v>7</v>
      </c>
      <c r="N46" s="8" t="n">
        <v>19</v>
      </c>
      <c r="O46" s="8" t="n">
        <v>13</v>
      </c>
      <c r="P46" s="9" t="n">
        <v>42.1171699820192</v>
      </c>
      <c r="Q46" s="10" t="n">
        <v>0.0237432857057329</v>
      </c>
      <c r="R46" s="9" t="n">
        <v>21</v>
      </c>
      <c r="S46" s="11" t="n">
        <f aca="false">IF(AND(ISNUMBER(R46),R46&gt;1,P46&gt;0),R46/P46-1,"")</f>
        <v>-0.501391000179609</v>
      </c>
      <c r="T46" s="9" t="n">
        <f aca="false">IF(AND(ISNUMBER(P46),P46&gt;0),P46*EXP('Read me'!$B$22),"")</f>
        <v>51.442027581939</v>
      </c>
    </row>
    <row r="47" customFormat="false" ht="15" hidden="false" customHeight="false" outlineLevel="0" collapsed="false">
      <c r="A47" s="14" t="s">
        <v>221</v>
      </c>
      <c r="B47" s="14" t="s">
        <v>117</v>
      </c>
      <c r="C47" s="14" t="s">
        <v>222</v>
      </c>
      <c r="D47" s="14"/>
      <c r="E47" s="15" t="n">
        <v>22</v>
      </c>
      <c r="F47" s="14" t="s">
        <v>388</v>
      </c>
      <c r="G47" s="8" t="n">
        <v>19</v>
      </c>
      <c r="H47" s="14" t="s">
        <v>921</v>
      </c>
      <c r="I47" s="14" t="s">
        <v>120</v>
      </c>
      <c r="J47" s="14" t="s">
        <v>599</v>
      </c>
      <c r="K47" s="8" t="n">
        <v>4</v>
      </c>
      <c r="L47" s="8" t="n">
        <v>92</v>
      </c>
      <c r="M47" s="8" t="n">
        <v>6</v>
      </c>
      <c r="N47" s="8" t="n">
        <v>29</v>
      </c>
      <c r="O47" s="8" t="n">
        <v>14</v>
      </c>
      <c r="P47" s="9" t="n">
        <v>66.5054651227514</v>
      </c>
      <c r="Q47" s="10" t="n">
        <v>0.0150363582625016</v>
      </c>
      <c r="R47" s="9" t="n">
        <v>29</v>
      </c>
      <c r="S47" s="11" t="n">
        <f aca="false">IF(AND(ISNUMBER(R47),R47&gt;1,P47&gt;0),R47/P47-1,"")</f>
        <v>-0.563945610387451</v>
      </c>
      <c r="T47" s="9" t="n">
        <f aca="false">IF(AND(ISNUMBER(P47),P47&gt;0),P47*EXP('Read me'!$B$22),"")</f>
        <v>81.2299585336535</v>
      </c>
    </row>
    <row r="48" customFormat="false" ht="15" hidden="false" customHeight="false" outlineLevel="0" collapsed="false">
      <c r="A48" s="14" t="s">
        <v>221</v>
      </c>
      <c r="B48" s="14" t="s">
        <v>117</v>
      </c>
      <c r="C48" s="14" t="s">
        <v>222</v>
      </c>
      <c r="D48" s="14"/>
      <c r="E48" s="15" t="n">
        <v>22</v>
      </c>
      <c r="F48" s="14" t="s">
        <v>388</v>
      </c>
      <c r="G48" s="8" t="n">
        <v>19</v>
      </c>
      <c r="H48" s="14" t="s">
        <v>922</v>
      </c>
      <c r="I48" s="14" t="s">
        <v>923</v>
      </c>
      <c r="J48" s="14" t="s">
        <v>924</v>
      </c>
      <c r="K48" s="8" t="n">
        <v>10</v>
      </c>
      <c r="L48" s="8" t="n">
        <v>85</v>
      </c>
      <c r="M48" s="8" t="n">
        <v>5</v>
      </c>
      <c r="N48" s="8" t="n">
        <v>23</v>
      </c>
      <c r="O48" s="8" t="n">
        <v>15</v>
      </c>
      <c r="P48" s="9" t="n">
        <v>84.7062258103521</v>
      </c>
      <c r="Q48" s="10" t="n">
        <v>0.011805507687698</v>
      </c>
      <c r="R48" s="9" t="n">
        <v>17</v>
      </c>
      <c r="S48" s="11" t="n">
        <f aca="false">IF(AND(ISNUMBER(R48),R48&gt;1,P48&gt;0),R48/P48-1,"")</f>
        <v>-0.799306369309133</v>
      </c>
      <c r="T48" s="9" t="n">
        <f aca="false">IF(AND(ISNUMBER(P48),P48&gt;0),P48*EXP('Read me'!$B$22),"")</f>
        <v>103.460417838102</v>
      </c>
    </row>
    <row r="49" customFormat="false" ht="15" hidden="false" customHeight="false" outlineLevel="0" collapsed="false">
      <c r="A49" s="14" t="s">
        <v>221</v>
      </c>
      <c r="B49" s="14" t="s">
        <v>117</v>
      </c>
      <c r="C49" s="14" t="s">
        <v>222</v>
      </c>
      <c r="D49" s="14"/>
      <c r="E49" s="15" t="n">
        <v>22</v>
      </c>
      <c r="F49" s="14" t="s">
        <v>388</v>
      </c>
      <c r="G49" s="8" t="n">
        <v>19</v>
      </c>
      <c r="H49" s="14" t="s">
        <v>925</v>
      </c>
      <c r="I49" s="14" t="s">
        <v>926</v>
      </c>
      <c r="J49" s="14" t="s">
        <v>927</v>
      </c>
      <c r="K49" s="8" t="n">
        <v>16</v>
      </c>
      <c r="L49" s="8" t="n">
        <v>77</v>
      </c>
      <c r="M49" s="8" t="n">
        <v>5</v>
      </c>
      <c r="N49" s="8" t="n">
        <v>35</v>
      </c>
      <c r="O49" s="8" t="n">
        <v>16</v>
      </c>
      <c r="P49" s="9" t="n">
        <v>141.696368897083</v>
      </c>
      <c r="Q49" s="10" t="n">
        <v>0.0070573438669153</v>
      </c>
      <c r="R49" s="9" t="n">
        <v>51</v>
      </c>
      <c r="S49" s="11" t="n">
        <f aca="false">IF(AND(ISNUMBER(R49),R49&gt;1,P49&gt;0),R49/P49-1,"")</f>
        <v>-0.640075462787319</v>
      </c>
      <c r="T49" s="9" t="n">
        <f aca="false">IF(AND(ISNUMBER(P49),P49&gt;0),P49*EXP('Read me'!$B$22),"")</f>
        <v>173.068335792178</v>
      </c>
    </row>
    <row r="50" customFormat="false" ht="15" hidden="false" customHeight="false" outlineLevel="0" collapsed="false">
      <c r="A50" s="14" t="s">
        <v>221</v>
      </c>
      <c r="B50" s="14" t="s">
        <v>117</v>
      </c>
      <c r="C50" s="14" t="s">
        <v>222</v>
      </c>
      <c r="D50" s="14"/>
      <c r="E50" s="15" t="n">
        <v>22</v>
      </c>
      <c r="F50" s="14" t="s">
        <v>388</v>
      </c>
      <c r="G50" s="8" t="n">
        <v>19</v>
      </c>
      <c r="H50" s="14" t="s">
        <v>928</v>
      </c>
      <c r="I50" s="14" t="s">
        <v>929</v>
      </c>
      <c r="J50" s="14" t="s">
        <v>930</v>
      </c>
      <c r="K50" s="8" t="n">
        <v>18</v>
      </c>
      <c r="L50" s="8" t="n">
        <v>75</v>
      </c>
      <c r="M50" s="8" t="n">
        <v>5</v>
      </c>
      <c r="N50" s="8" t="n">
        <v>35</v>
      </c>
      <c r="O50" s="8" t="n">
        <v>17</v>
      </c>
      <c r="P50" s="9" t="n">
        <v>163.84423997331</v>
      </c>
      <c r="Q50" s="10" t="n">
        <v>0.0061033576777731</v>
      </c>
      <c r="R50" s="9" t="n">
        <v>34</v>
      </c>
      <c r="S50" s="11" t="n">
        <f aca="false">IF(AND(ISNUMBER(R50),R50&gt;1,P50&gt;0),R50/P50-1,"")</f>
        <v>-0.792485838955714</v>
      </c>
      <c r="T50" s="9" t="n">
        <f aca="false">IF(AND(ISNUMBER(P50),P50&gt;0),P50*EXP('Read me'!$B$22),"")</f>
        <v>200.119806612057</v>
      </c>
    </row>
    <row r="51" customFormat="false" ht="15" hidden="false" customHeight="false" outlineLevel="0" collapsed="false">
      <c r="A51" s="14" t="s">
        <v>221</v>
      </c>
      <c r="B51" s="14" t="s">
        <v>117</v>
      </c>
      <c r="C51" s="14" t="s">
        <v>222</v>
      </c>
      <c r="D51" s="14"/>
      <c r="E51" s="15" t="n">
        <v>22</v>
      </c>
      <c r="F51" s="14" t="s">
        <v>388</v>
      </c>
      <c r="G51" s="8" t="n">
        <v>19</v>
      </c>
      <c r="H51" s="14" t="s">
        <v>931</v>
      </c>
      <c r="I51" s="14" t="s">
        <v>598</v>
      </c>
      <c r="J51" s="14" t="s">
        <v>599</v>
      </c>
      <c r="K51" s="8" t="n">
        <v>15</v>
      </c>
      <c r="L51" s="8" t="n">
        <v>78</v>
      </c>
      <c r="M51" s="8" t="n">
        <v>8</v>
      </c>
      <c r="N51" s="8" t="n">
        <v>44</v>
      </c>
      <c r="O51" s="8" t="n">
        <v>18</v>
      </c>
      <c r="P51" s="9" t="n">
        <v>281.448976977439</v>
      </c>
      <c r="Q51" s="10" t="n">
        <v>0.0035530418718848</v>
      </c>
      <c r="R51" s="9" t="n">
        <v>21</v>
      </c>
      <c r="S51" s="11" t="n">
        <f aca="false">IF(AND(ISNUMBER(R51),R51&gt;1,P51&gt;0),R51/P51-1,"")</f>
        <v>-0.925386120690418</v>
      </c>
      <c r="T51" s="9" t="n">
        <f aca="false">IF(AND(ISNUMBER(P51),P51&gt;0),P51*EXP('Read me'!$B$22),"")</f>
        <v>343.762556761602</v>
      </c>
    </row>
    <row r="52" customFormat="false" ht="15" hidden="false" customHeight="false" outlineLevel="0" collapsed="false">
      <c r="A52" s="14" t="s">
        <v>221</v>
      </c>
      <c r="B52" s="14" t="s">
        <v>117</v>
      </c>
      <c r="C52" s="14" t="s">
        <v>222</v>
      </c>
      <c r="D52" s="14"/>
      <c r="E52" s="15" t="n">
        <v>22</v>
      </c>
      <c r="F52" s="14" t="s">
        <v>388</v>
      </c>
      <c r="G52" s="8" t="n">
        <v>19</v>
      </c>
      <c r="H52" s="14" t="s">
        <v>932</v>
      </c>
      <c r="I52" s="14" t="s">
        <v>933</v>
      </c>
      <c r="J52" s="14" t="s">
        <v>934</v>
      </c>
      <c r="K52" s="8" t="n">
        <v>14</v>
      </c>
      <c r="L52" s="8" t="n">
        <v>80</v>
      </c>
      <c r="M52" s="8" t="n">
        <v>5</v>
      </c>
      <c r="N52" s="8" t="n">
        <v>33</v>
      </c>
      <c r="O52" s="8" t="n">
        <v>19</v>
      </c>
      <c r="P52" s="9" t="n">
        <v>356.966637668356</v>
      </c>
      <c r="Q52" s="10" t="n">
        <v>0.0028013822426987</v>
      </c>
      <c r="R52" s="9" t="n">
        <v>51</v>
      </c>
      <c r="S52" s="11" t="n">
        <f aca="false">IF(AND(ISNUMBER(R52),R52&gt;1,P52&gt;0),R52/P52-1,"")</f>
        <v>-0.857129505622365</v>
      </c>
      <c r="T52" s="9" t="n">
        <f aca="false">IF(AND(ISNUMBER(P52),P52&gt;0),P52*EXP('Read me'!$B$22),"")</f>
        <v>436.000035819292</v>
      </c>
    </row>
    <row r="53" customFormat="false" ht="15" hidden="false" customHeight="false" outlineLevel="0" collapsed="false">
      <c r="A53" s="14" t="s">
        <v>259</v>
      </c>
      <c r="B53" s="14" t="s">
        <v>117</v>
      </c>
      <c r="C53" s="14" t="s">
        <v>260</v>
      </c>
      <c r="D53" s="14"/>
      <c r="E53" s="15" t="n">
        <v>22</v>
      </c>
      <c r="F53" s="14" t="s">
        <v>388</v>
      </c>
      <c r="G53" s="8" t="n">
        <v>13</v>
      </c>
      <c r="H53" s="14" t="s">
        <v>261</v>
      </c>
      <c r="I53" s="14" t="s">
        <v>153</v>
      </c>
      <c r="J53" s="14" t="s">
        <v>154</v>
      </c>
      <c r="K53" s="8" t="n">
        <v>7</v>
      </c>
      <c r="L53" s="8" t="n">
        <v>128</v>
      </c>
      <c r="M53" s="8" t="n">
        <v>7</v>
      </c>
      <c r="N53" s="8" t="n">
        <v>57</v>
      </c>
      <c r="O53" s="8" t="n">
        <v>1</v>
      </c>
      <c r="P53" s="9" t="n">
        <v>4.55620328242862</v>
      </c>
      <c r="Q53" s="10" t="n">
        <v>0.219480988448559</v>
      </c>
      <c r="R53" s="9" t="n">
        <v>5</v>
      </c>
      <c r="S53" s="11" t="n">
        <f aca="false">IF(AND(ISNUMBER(R53),R53&gt;1,P53&gt;0),R53/P53-1,"")</f>
        <v>0.0974049422427932</v>
      </c>
      <c r="T53" s="9" t="n">
        <f aca="false">IF(AND(ISNUMBER(P53),P53&gt;0),P53*EXP('Read me'!$B$22),"")</f>
        <v>5.56495925589673</v>
      </c>
    </row>
    <row r="54" customFormat="false" ht="15" hidden="false" customHeight="false" outlineLevel="0" collapsed="false">
      <c r="A54" s="14" t="s">
        <v>259</v>
      </c>
      <c r="B54" s="14" t="s">
        <v>117</v>
      </c>
      <c r="C54" s="14" t="s">
        <v>260</v>
      </c>
      <c r="D54" s="14"/>
      <c r="E54" s="15" t="n">
        <v>22</v>
      </c>
      <c r="F54" s="14" t="s">
        <v>388</v>
      </c>
      <c r="G54" s="8" t="n">
        <v>13</v>
      </c>
      <c r="H54" s="14" t="s">
        <v>262</v>
      </c>
      <c r="I54" s="14" t="s">
        <v>120</v>
      </c>
      <c r="J54" s="14" t="s">
        <v>121</v>
      </c>
      <c r="K54" s="8" t="n">
        <v>4</v>
      </c>
      <c r="L54" s="8" t="n">
        <v>132</v>
      </c>
      <c r="M54" s="8" t="n">
        <v>6</v>
      </c>
      <c r="N54" s="8" t="n">
        <v>22</v>
      </c>
      <c r="O54" s="8" t="n">
        <v>2</v>
      </c>
      <c r="P54" s="9" t="n">
        <v>5.83872200596591</v>
      </c>
      <c r="Q54" s="10" t="n">
        <v>0.171270356591428</v>
      </c>
      <c r="R54" s="9" t="n">
        <v>5.5</v>
      </c>
      <c r="S54" s="11" t="n">
        <f aca="false">IF(AND(ISNUMBER(R54),R54&gt;1,P54&gt;0),R54/P54-1,"")</f>
        <v>-0.0580130387471446</v>
      </c>
      <c r="T54" s="9" t="n">
        <f aca="false">IF(AND(ISNUMBER(P54),P54&gt;0),P54*EXP('Read me'!$B$22),"")</f>
        <v>7.13143116221724</v>
      </c>
    </row>
    <row r="55" customFormat="false" ht="15" hidden="false" customHeight="false" outlineLevel="0" collapsed="false">
      <c r="A55" s="14" t="s">
        <v>259</v>
      </c>
      <c r="B55" s="14" t="s">
        <v>117</v>
      </c>
      <c r="C55" s="14" t="s">
        <v>260</v>
      </c>
      <c r="D55" s="14"/>
      <c r="E55" s="15" t="n">
        <v>22</v>
      </c>
      <c r="F55" s="14" t="s">
        <v>388</v>
      </c>
      <c r="G55" s="8" t="n">
        <v>13</v>
      </c>
      <c r="H55" s="14" t="s">
        <v>1033</v>
      </c>
      <c r="I55" s="14" t="s">
        <v>1034</v>
      </c>
      <c r="J55" s="14" t="s">
        <v>1035</v>
      </c>
      <c r="K55" s="8" t="n">
        <v>10</v>
      </c>
      <c r="L55" s="8" t="n">
        <v>122</v>
      </c>
      <c r="M55" s="8" t="n">
        <v>8</v>
      </c>
      <c r="N55" s="8" t="n">
        <v>35</v>
      </c>
      <c r="O55" s="8" t="n">
        <v>3</v>
      </c>
      <c r="P55" s="9" t="n">
        <v>8.156461615439</v>
      </c>
      <c r="Q55" s="10" t="n">
        <v>0.122602183047995</v>
      </c>
      <c r="R55" s="9" t="n">
        <v>5</v>
      </c>
      <c r="S55" s="11" t="n">
        <f aca="false">IF(AND(ISNUMBER(R55),R55&gt;1,P55&gt;0),R55/P55-1,"")</f>
        <v>-0.386989084760023</v>
      </c>
      <c r="T55" s="9" t="n">
        <f aca="false">IF(AND(ISNUMBER(P55),P55&gt;0),P55*EXP('Read me'!$B$22),"")</f>
        <v>9.96232471392475</v>
      </c>
    </row>
    <row r="56" customFormat="false" ht="15" hidden="false" customHeight="false" outlineLevel="0" collapsed="false">
      <c r="A56" s="14" t="s">
        <v>259</v>
      </c>
      <c r="B56" s="14" t="s">
        <v>117</v>
      </c>
      <c r="C56" s="14" t="s">
        <v>260</v>
      </c>
      <c r="D56" s="14"/>
      <c r="E56" s="15" t="n">
        <v>22</v>
      </c>
      <c r="F56" s="14" t="s">
        <v>388</v>
      </c>
      <c r="G56" s="8" t="n">
        <v>13</v>
      </c>
      <c r="H56" s="14" t="s">
        <v>1036</v>
      </c>
      <c r="I56" s="14" t="s">
        <v>587</v>
      </c>
      <c r="J56" s="14" t="s">
        <v>418</v>
      </c>
      <c r="K56" s="8" t="n">
        <v>12</v>
      </c>
      <c r="L56" s="8" t="n">
        <v>118</v>
      </c>
      <c r="M56" s="8" t="n">
        <v>8</v>
      </c>
      <c r="N56" s="8" t="n">
        <v>35</v>
      </c>
      <c r="O56" s="8" t="n">
        <v>4</v>
      </c>
      <c r="P56" s="9" t="n">
        <v>13.6302176219756</v>
      </c>
      <c r="Q56" s="10" t="n">
        <v>0.0733664001363948</v>
      </c>
      <c r="R56" s="9" t="n">
        <v>7.5</v>
      </c>
      <c r="S56" s="11" t="n">
        <f aca="false">IF(AND(ISNUMBER(R56),R56&gt;1,P56&gt;0),R56/P56-1,"")</f>
        <v>-0.449751998977039</v>
      </c>
      <c r="T56" s="9" t="n">
        <f aca="false">IF(AND(ISNUMBER(P56),P56&gt;0),P56*EXP('Read me'!$B$22),"")</f>
        <v>16.6479853978043</v>
      </c>
    </row>
    <row r="57" customFormat="false" ht="15" hidden="false" customHeight="false" outlineLevel="0" collapsed="false">
      <c r="A57" s="14" t="s">
        <v>259</v>
      </c>
      <c r="B57" s="14" t="s">
        <v>117</v>
      </c>
      <c r="C57" s="14" t="s">
        <v>260</v>
      </c>
      <c r="D57" s="14"/>
      <c r="E57" s="15" t="n">
        <v>22</v>
      </c>
      <c r="F57" s="14" t="s">
        <v>388</v>
      </c>
      <c r="G57" s="8" t="n">
        <v>13</v>
      </c>
      <c r="H57" s="14" t="s">
        <v>1037</v>
      </c>
      <c r="I57" s="14" t="s">
        <v>610</v>
      </c>
      <c r="J57" s="14" t="s">
        <v>418</v>
      </c>
      <c r="K57" s="8" t="n">
        <v>14</v>
      </c>
      <c r="L57" s="8" t="n">
        <v>115</v>
      </c>
      <c r="M57" s="8" t="n">
        <v>9</v>
      </c>
      <c r="N57" s="8" t="n">
        <v>49</v>
      </c>
      <c r="O57" s="8" t="n">
        <v>5</v>
      </c>
      <c r="P57" s="9" t="n">
        <v>14.140404569861</v>
      </c>
      <c r="Q57" s="10" t="n">
        <v>0.0707193344475735</v>
      </c>
      <c r="R57" s="9" t="n">
        <v>13</v>
      </c>
      <c r="S57" s="11" t="n">
        <f aca="false">IF(AND(ISNUMBER(R57),R57&gt;1,P57&gt;0),R57/P57-1,"")</f>
        <v>-0.0806486521815442</v>
      </c>
      <c r="T57" s="9" t="n">
        <f aca="false">IF(AND(ISNUMBER(P57),P57&gt;0),P57*EXP('Read me'!$B$22),"")</f>
        <v>17.2711291431289</v>
      </c>
    </row>
    <row r="58" customFormat="false" ht="15" hidden="false" customHeight="false" outlineLevel="0" collapsed="false">
      <c r="A58" s="14" t="s">
        <v>259</v>
      </c>
      <c r="B58" s="14" t="s">
        <v>117</v>
      </c>
      <c r="C58" s="14" t="s">
        <v>260</v>
      </c>
      <c r="D58" s="14"/>
      <c r="E58" s="15" t="n">
        <v>22</v>
      </c>
      <c r="F58" s="14" t="s">
        <v>388</v>
      </c>
      <c r="G58" s="8" t="n">
        <v>13</v>
      </c>
      <c r="H58" s="14" t="s">
        <v>1038</v>
      </c>
      <c r="I58" s="14" t="s">
        <v>1039</v>
      </c>
      <c r="J58" s="14" t="s">
        <v>1040</v>
      </c>
      <c r="K58" s="8" t="n">
        <v>6</v>
      </c>
      <c r="L58" s="8" t="n">
        <v>129</v>
      </c>
      <c r="M58" s="8" t="n">
        <v>10</v>
      </c>
      <c r="N58" s="8" t="n">
        <v>3</v>
      </c>
      <c r="O58" s="8" t="n">
        <v>6</v>
      </c>
      <c r="P58" s="9" t="n">
        <v>16.0251668725755</v>
      </c>
      <c r="Q58" s="10" t="n">
        <v>0.062401846292867</v>
      </c>
      <c r="R58" s="9" t="n">
        <v>12</v>
      </c>
      <c r="S58" s="11" t="n">
        <f aca="false">IF(AND(ISNUMBER(R58),R58&gt;1,P58&gt;0),R58/P58-1,"")</f>
        <v>-0.251177844485595</v>
      </c>
      <c r="T58" s="9" t="n">
        <f aca="false">IF(AND(ISNUMBER(P58),P58&gt;0),P58*EXP('Read me'!$B$22),"")</f>
        <v>19.5731830181407</v>
      </c>
    </row>
    <row r="59" customFormat="false" ht="15" hidden="false" customHeight="false" outlineLevel="0" collapsed="false">
      <c r="A59" s="14" t="s">
        <v>259</v>
      </c>
      <c r="B59" s="14" t="s">
        <v>117</v>
      </c>
      <c r="C59" s="14" t="s">
        <v>260</v>
      </c>
      <c r="D59" s="14"/>
      <c r="E59" s="15" t="n">
        <v>22</v>
      </c>
      <c r="F59" s="14" t="s">
        <v>388</v>
      </c>
      <c r="G59" s="8" t="n">
        <v>13</v>
      </c>
      <c r="H59" s="14" t="s">
        <v>1041</v>
      </c>
      <c r="I59" s="14" t="s">
        <v>595</v>
      </c>
      <c r="J59" s="14" t="s">
        <v>585</v>
      </c>
      <c r="K59" s="8" t="n">
        <v>11</v>
      </c>
      <c r="L59" s="8" t="n">
        <v>120</v>
      </c>
      <c r="M59" s="8" t="n">
        <v>7</v>
      </c>
      <c r="N59" s="8" t="n">
        <v>6</v>
      </c>
      <c r="O59" s="8" t="n">
        <v>7</v>
      </c>
      <c r="P59" s="9" t="n">
        <v>16.529535280099</v>
      </c>
      <c r="Q59" s="10" t="n">
        <v>0.0604977685733226</v>
      </c>
      <c r="R59" s="9" t="n">
        <v>15</v>
      </c>
      <c r="S59" s="11" t="n">
        <f aca="false">IF(AND(ISNUMBER(R59),R59&gt;1,P59&gt;0),R59/P59-1,"")</f>
        <v>-0.0925334714001603</v>
      </c>
      <c r="T59" s="9" t="n">
        <f aca="false">IF(AND(ISNUMBER(P59),P59&gt;0),P59*EXP('Read me'!$B$22),"")</f>
        <v>20.1892199822187</v>
      </c>
    </row>
    <row r="60" customFormat="false" ht="15" hidden="false" customHeight="false" outlineLevel="0" collapsed="false">
      <c r="A60" s="14" t="s">
        <v>259</v>
      </c>
      <c r="B60" s="14" t="s">
        <v>117</v>
      </c>
      <c r="C60" s="14" t="s">
        <v>260</v>
      </c>
      <c r="D60" s="14"/>
      <c r="E60" s="15" t="n">
        <v>22</v>
      </c>
      <c r="F60" s="14" t="s">
        <v>388</v>
      </c>
      <c r="G60" s="8" t="n">
        <v>13</v>
      </c>
      <c r="H60" s="14" t="s">
        <v>1042</v>
      </c>
      <c r="I60" s="14" t="s">
        <v>1043</v>
      </c>
      <c r="J60" s="14" t="s">
        <v>1044</v>
      </c>
      <c r="K60" s="8" t="n">
        <v>2</v>
      </c>
      <c r="L60" s="8" t="n">
        <v>139</v>
      </c>
      <c r="M60" s="8" t="n">
        <v>8</v>
      </c>
      <c r="N60" s="8" t="n">
        <v>161</v>
      </c>
      <c r="O60" s="8" t="n">
        <v>8</v>
      </c>
      <c r="P60" s="9" t="n">
        <v>19.8609700215555</v>
      </c>
      <c r="Q60" s="10" t="n">
        <v>0.0503500080265303</v>
      </c>
      <c r="R60" s="9" t="n">
        <v>13</v>
      </c>
      <c r="S60" s="11" t="n">
        <f aca="false">IF(AND(ISNUMBER(R60),R60&gt;1,P60&gt;0),R60/P60-1,"")</f>
        <v>-0.345449895655105</v>
      </c>
      <c r="T60" s="9" t="n">
        <f aca="false">IF(AND(ISNUMBER(P60),P60&gt;0),P60*EXP('Read me'!$B$22),"")</f>
        <v>24.2582435640644</v>
      </c>
    </row>
    <row r="61" customFormat="false" ht="15" hidden="false" customHeight="false" outlineLevel="0" collapsed="false">
      <c r="A61" s="14" t="s">
        <v>259</v>
      </c>
      <c r="B61" s="14" t="s">
        <v>117</v>
      </c>
      <c r="C61" s="14" t="s">
        <v>260</v>
      </c>
      <c r="D61" s="14"/>
      <c r="E61" s="15" t="n">
        <v>22</v>
      </c>
      <c r="F61" s="14" t="s">
        <v>388</v>
      </c>
      <c r="G61" s="8" t="n">
        <v>13</v>
      </c>
      <c r="H61" s="14" t="s">
        <v>1045</v>
      </c>
      <c r="I61" s="14" t="s">
        <v>681</v>
      </c>
      <c r="J61" s="14" t="s">
        <v>154</v>
      </c>
      <c r="K61" s="8" t="n">
        <v>8</v>
      </c>
      <c r="L61" s="8" t="n">
        <v>126</v>
      </c>
      <c r="M61" s="8" t="n">
        <v>7</v>
      </c>
      <c r="N61" s="8" t="n">
        <v>35</v>
      </c>
      <c r="O61" s="8" t="n">
        <v>9</v>
      </c>
      <c r="P61" s="9" t="n">
        <v>20.4308468429859</v>
      </c>
      <c r="Q61" s="10" t="n">
        <v>0.0489455971984494</v>
      </c>
      <c r="R61" s="9" t="n">
        <v>15</v>
      </c>
      <c r="S61" s="11" t="n">
        <f aca="false">IF(AND(ISNUMBER(R61),R61&gt;1,P61&gt;0),R61/P61-1,"")</f>
        <v>-0.265816042023259</v>
      </c>
      <c r="T61" s="9" t="n">
        <f aca="false">IF(AND(ISNUMBER(P61),P61&gt;0),P61*EXP('Read me'!$B$22),"")</f>
        <v>24.954292685571</v>
      </c>
    </row>
    <row r="62" customFormat="false" ht="15" hidden="false" customHeight="false" outlineLevel="0" collapsed="false">
      <c r="A62" s="14" t="s">
        <v>259</v>
      </c>
      <c r="B62" s="14" t="s">
        <v>117</v>
      </c>
      <c r="C62" s="14" t="s">
        <v>260</v>
      </c>
      <c r="D62" s="14"/>
      <c r="E62" s="15" t="n">
        <v>22</v>
      </c>
      <c r="F62" s="14" t="s">
        <v>388</v>
      </c>
      <c r="G62" s="8" t="n">
        <v>13</v>
      </c>
      <c r="H62" s="14" t="s">
        <v>1046</v>
      </c>
      <c r="I62" s="14" t="s">
        <v>584</v>
      </c>
      <c r="J62" s="14" t="s">
        <v>1047</v>
      </c>
      <c r="K62" s="8" t="n">
        <v>5</v>
      </c>
      <c r="L62" s="8" t="n">
        <v>130</v>
      </c>
      <c r="M62" s="8" t="n">
        <v>6</v>
      </c>
      <c r="N62" s="8" t="n">
        <v>33</v>
      </c>
      <c r="O62" s="8" t="n">
        <v>10</v>
      </c>
      <c r="P62" s="9" t="n">
        <v>30.5043226420138</v>
      </c>
      <c r="Q62" s="10" t="n">
        <v>0.0327822391513356</v>
      </c>
      <c r="R62" s="9" t="n">
        <v>21</v>
      </c>
      <c r="S62" s="11" t="n">
        <f aca="false">IF(AND(ISNUMBER(R62),R62&gt;1,P62&gt;0),R62/P62-1,"")</f>
        <v>-0.311572977821951</v>
      </c>
      <c r="T62" s="9" t="n">
        <f aca="false">IF(AND(ISNUMBER(P62),P62&gt;0),P62*EXP('Read me'!$B$22),"")</f>
        <v>37.2580638107634</v>
      </c>
    </row>
    <row r="63" customFormat="false" ht="15" hidden="false" customHeight="false" outlineLevel="0" collapsed="false">
      <c r="A63" s="14" t="s">
        <v>259</v>
      </c>
      <c r="B63" s="14" t="s">
        <v>117</v>
      </c>
      <c r="C63" s="14" t="s">
        <v>260</v>
      </c>
      <c r="D63" s="14"/>
      <c r="E63" s="15" t="n">
        <v>22</v>
      </c>
      <c r="F63" s="14" t="s">
        <v>388</v>
      </c>
      <c r="G63" s="8" t="n">
        <v>13</v>
      </c>
      <c r="H63" s="14" t="s">
        <v>1048</v>
      </c>
      <c r="I63" s="14" t="s">
        <v>598</v>
      </c>
      <c r="J63" s="14" t="s">
        <v>611</v>
      </c>
      <c r="K63" s="8" t="n">
        <v>13</v>
      </c>
      <c r="L63" s="8" t="n">
        <v>117</v>
      </c>
      <c r="M63" s="8" t="n">
        <v>8</v>
      </c>
      <c r="N63" s="8" t="n">
        <v>111</v>
      </c>
      <c r="O63" s="8" t="n">
        <v>11</v>
      </c>
      <c r="P63" s="9" t="n">
        <v>30.9583173243996</v>
      </c>
      <c r="Q63" s="10" t="n">
        <v>0.0323014971880224</v>
      </c>
      <c r="R63" s="9" t="n">
        <v>10</v>
      </c>
      <c r="S63" s="11" t="n">
        <f aca="false">IF(AND(ISNUMBER(R63),R63&gt;1,P63&gt;0),R63/P63-1,"")</f>
        <v>-0.676985028119775</v>
      </c>
      <c r="T63" s="9" t="n">
        <f aca="false">IF(AND(ISNUMBER(P63),P63&gt;0),P63*EXP('Read me'!$B$22),"")</f>
        <v>37.8125741680194</v>
      </c>
    </row>
    <row r="64" customFormat="false" ht="15" hidden="false" customHeight="false" outlineLevel="0" collapsed="false">
      <c r="A64" s="14" t="s">
        <v>259</v>
      </c>
      <c r="B64" s="14" t="s">
        <v>117</v>
      </c>
      <c r="C64" s="14" t="s">
        <v>260</v>
      </c>
      <c r="D64" s="14"/>
      <c r="E64" s="15" t="n">
        <v>22</v>
      </c>
      <c r="F64" s="14" t="s">
        <v>388</v>
      </c>
      <c r="G64" s="8" t="n">
        <v>13</v>
      </c>
      <c r="H64" s="14" t="s">
        <v>1049</v>
      </c>
      <c r="I64" s="14" t="s">
        <v>1050</v>
      </c>
      <c r="J64" s="14" t="s">
        <v>1051</v>
      </c>
      <c r="K64" s="8" t="n">
        <v>9</v>
      </c>
      <c r="L64" s="8" t="n">
        <v>125</v>
      </c>
      <c r="M64" s="8" t="n">
        <v>10</v>
      </c>
      <c r="N64" s="8" t="n">
        <v>71</v>
      </c>
      <c r="O64" s="8" t="n">
        <v>12</v>
      </c>
      <c r="P64" s="9" t="n">
        <v>31.0126540069976</v>
      </c>
      <c r="Q64" s="10" t="n">
        <v>0.0322449023477436</v>
      </c>
      <c r="R64" s="9" t="n">
        <v>26</v>
      </c>
      <c r="S64" s="11" t="n">
        <f aca="false">IF(AND(ISNUMBER(R64),R64&gt;1,P64&gt;0),R64/P64-1,"")</f>
        <v>-0.161632538958664</v>
      </c>
      <c r="T64" s="9" t="n">
        <f aca="false">IF(AND(ISNUMBER(P64),P64&gt;0),P64*EXP('Read me'!$B$22),"")</f>
        <v>37.8789411420139</v>
      </c>
    </row>
    <row r="65" customFormat="false" ht="15" hidden="false" customHeight="false" outlineLevel="0" collapsed="false">
      <c r="A65" s="14" t="s">
        <v>259</v>
      </c>
      <c r="B65" s="14" t="s">
        <v>117</v>
      </c>
      <c r="C65" s="14" t="s">
        <v>260</v>
      </c>
      <c r="D65" s="14"/>
      <c r="E65" s="15" t="n">
        <v>22</v>
      </c>
      <c r="F65" s="14" t="s">
        <v>388</v>
      </c>
      <c r="G65" s="8" t="n">
        <v>13</v>
      </c>
      <c r="H65" s="14" t="s">
        <v>1052</v>
      </c>
      <c r="I65" s="14" t="s">
        <v>1053</v>
      </c>
      <c r="J65" s="14" t="s">
        <v>920</v>
      </c>
      <c r="K65" s="8" t="n">
        <v>3</v>
      </c>
      <c r="L65" s="8" t="n">
        <v>138</v>
      </c>
      <c r="M65" s="8" t="n">
        <v>8</v>
      </c>
      <c r="N65" s="8" t="n">
        <v>59</v>
      </c>
      <c r="O65" s="8" t="n">
        <v>13</v>
      </c>
      <c r="P65" s="9" t="n">
        <v>43.4086587659523</v>
      </c>
      <c r="Q65" s="10" t="n">
        <v>0.023036878549778</v>
      </c>
      <c r="R65" s="9" t="n">
        <v>21</v>
      </c>
      <c r="S65" s="11" t="n">
        <f aca="false">IF(AND(ISNUMBER(R65),R65&gt;1,P65&gt;0),R65/P65-1,"")</f>
        <v>-0.516225550454661</v>
      </c>
      <c r="T65" s="9" t="n">
        <f aca="false">IF(AND(ISNUMBER(P65),P65&gt;0),P65*EXP('Read me'!$B$22),"")</f>
        <v>53.0194555447677</v>
      </c>
    </row>
    <row r="66" customFormat="false" ht="15" hidden="false" customHeight="false" outlineLevel="0" collapsed="false">
      <c r="A66" s="14" t="s">
        <v>291</v>
      </c>
      <c r="B66" s="14" t="s">
        <v>117</v>
      </c>
      <c r="C66" s="14" t="s">
        <v>292</v>
      </c>
      <c r="D66" s="14"/>
      <c r="E66" s="15" t="n">
        <v>24</v>
      </c>
      <c r="F66" s="14" t="s">
        <v>388</v>
      </c>
      <c r="G66" s="8" t="n">
        <v>14</v>
      </c>
      <c r="H66" s="14" t="s">
        <v>293</v>
      </c>
      <c r="I66" s="14" t="s">
        <v>294</v>
      </c>
      <c r="J66" s="14" t="s">
        <v>295</v>
      </c>
      <c r="K66" s="8" t="n">
        <v>10</v>
      </c>
      <c r="L66" s="8" t="n">
        <v>106</v>
      </c>
      <c r="M66" s="8" t="n">
        <v>7</v>
      </c>
      <c r="N66" s="8" t="n">
        <v>19</v>
      </c>
      <c r="O66" s="8" t="n">
        <v>1</v>
      </c>
      <c r="P66" s="9" t="n">
        <v>3.84992854605613</v>
      </c>
      <c r="Q66" s="10" t="n">
        <v>0.259745080470234</v>
      </c>
      <c r="R66" s="9" t="n">
        <v>3.75</v>
      </c>
      <c r="S66" s="11" t="n">
        <f aca="false">IF(AND(ISNUMBER(R66),R66&gt;1,P66&gt;0),R66/P66-1,"")</f>
        <v>-0.0259559482366223</v>
      </c>
      <c r="T66" s="9" t="n">
        <f aca="false">IF(AND(ISNUMBER(P66),P66&gt;0),P66*EXP('Read me'!$B$22),"")</f>
        <v>4.70231334487253</v>
      </c>
    </row>
    <row r="67" customFormat="false" ht="15" hidden="false" customHeight="false" outlineLevel="0" collapsed="false">
      <c r="A67" s="14" t="s">
        <v>291</v>
      </c>
      <c r="B67" s="14" t="s">
        <v>117</v>
      </c>
      <c r="C67" s="14" t="s">
        <v>292</v>
      </c>
      <c r="D67" s="14"/>
      <c r="E67" s="15" t="n">
        <v>24</v>
      </c>
      <c r="F67" s="14" t="s">
        <v>388</v>
      </c>
      <c r="G67" s="8" t="n">
        <v>14</v>
      </c>
      <c r="H67" s="14" t="s">
        <v>296</v>
      </c>
      <c r="I67" s="14" t="s">
        <v>1130</v>
      </c>
      <c r="J67" s="14" t="s">
        <v>1131</v>
      </c>
      <c r="K67" s="8" t="n">
        <v>8</v>
      </c>
      <c r="L67" s="8" t="n">
        <v>107</v>
      </c>
      <c r="M67" s="8" t="n">
        <v>5</v>
      </c>
      <c r="N67" s="8" t="n">
        <v>37</v>
      </c>
      <c r="O67" s="8" t="n">
        <v>2</v>
      </c>
      <c r="P67" s="9" t="n">
        <v>5.20936087776512</v>
      </c>
      <c r="Q67" s="10" t="n">
        <v>0.191962128073763</v>
      </c>
      <c r="R67" s="9" t="n">
        <v>5</v>
      </c>
      <c r="S67" s="11" t="n">
        <f aca="false">IF(AND(ISNUMBER(R67),R67&gt;1,P67&gt;0),R67/P67-1,"")</f>
        <v>-0.0401893596311825</v>
      </c>
      <c r="T67" s="9" t="n">
        <f aca="false">IF(AND(ISNUMBER(P67),P67&gt;0),P67*EXP('Read me'!$B$22),"")</f>
        <v>6.362727744354</v>
      </c>
    </row>
    <row r="68" customFormat="false" ht="15" hidden="false" customHeight="false" outlineLevel="0" collapsed="false">
      <c r="A68" s="14" t="s">
        <v>291</v>
      </c>
      <c r="B68" s="14" t="s">
        <v>117</v>
      </c>
      <c r="C68" s="14" t="s">
        <v>292</v>
      </c>
      <c r="D68" s="14"/>
      <c r="E68" s="15" t="n">
        <v>24</v>
      </c>
      <c r="F68" s="14" t="s">
        <v>388</v>
      </c>
      <c r="G68" s="8" t="n">
        <v>14</v>
      </c>
      <c r="H68" s="14" t="s">
        <v>1132</v>
      </c>
      <c r="I68" s="14" t="s">
        <v>1133</v>
      </c>
      <c r="J68" s="14" t="s">
        <v>295</v>
      </c>
      <c r="K68" s="8" t="n">
        <v>7</v>
      </c>
      <c r="L68" s="8" t="n">
        <v>109</v>
      </c>
      <c r="M68" s="8" t="n">
        <v>7</v>
      </c>
      <c r="N68" s="8" t="n">
        <v>59</v>
      </c>
      <c r="O68" s="8" t="n">
        <v>3</v>
      </c>
      <c r="P68" s="9" t="n">
        <v>9.95175868024113</v>
      </c>
      <c r="Q68" s="10" t="n">
        <v>0.100484751703783</v>
      </c>
      <c r="R68" s="9" t="n">
        <v>7.5</v>
      </c>
      <c r="S68" s="11" t="n">
        <f aca="false">IF(AND(ISNUMBER(R68),R68&gt;1,P68&gt;0),R68/P68-1,"")</f>
        <v>-0.246364362221625</v>
      </c>
      <c r="T68" s="9" t="n">
        <f aca="false">IF(AND(ISNUMBER(P68),P68&gt;0),P68*EXP('Read me'!$B$22),"")</f>
        <v>12.1551055005909</v>
      </c>
    </row>
    <row r="69" customFormat="false" ht="15" hidden="false" customHeight="false" outlineLevel="0" collapsed="false">
      <c r="A69" s="14" t="s">
        <v>291</v>
      </c>
      <c r="B69" s="14" t="s">
        <v>117</v>
      </c>
      <c r="C69" s="14" t="s">
        <v>292</v>
      </c>
      <c r="D69" s="14"/>
      <c r="E69" s="15" t="n">
        <v>24</v>
      </c>
      <c r="F69" s="14" t="s">
        <v>388</v>
      </c>
      <c r="G69" s="8" t="n">
        <v>14</v>
      </c>
      <c r="H69" s="14" t="s">
        <v>1134</v>
      </c>
      <c r="I69" s="14" t="s">
        <v>1135</v>
      </c>
      <c r="J69" s="14" t="s">
        <v>1131</v>
      </c>
      <c r="K69" s="8" t="n">
        <v>12</v>
      </c>
      <c r="L69" s="8" t="n">
        <v>104</v>
      </c>
      <c r="M69" s="8" t="n">
        <v>8</v>
      </c>
      <c r="N69" s="8" t="n">
        <v>35</v>
      </c>
      <c r="O69" s="8" t="n">
        <v>4</v>
      </c>
      <c r="P69" s="9" t="n">
        <v>10.3822612786595</v>
      </c>
      <c r="Q69" s="10" t="n">
        <v>0.0963181308156328</v>
      </c>
      <c r="R69" s="9" t="n">
        <v>8</v>
      </c>
      <c r="S69" s="11" t="n">
        <f aca="false">IF(AND(ISNUMBER(R69),R69&gt;1,P69&gt;0),R69/P69-1,"")</f>
        <v>-0.229454953474938</v>
      </c>
      <c r="T69" s="9" t="n">
        <f aca="false">IF(AND(ISNUMBER(P69),P69&gt;0),P69*EXP('Read me'!$B$22),"")</f>
        <v>12.6809225616942</v>
      </c>
    </row>
    <row r="70" customFormat="false" ht="15" hidden="false" customHeight="false" outlineLevel="0" collapsed="false">
      <c r="A70" s="14" t="s">
        <v>291</v>
      </c>
      <c r="B70" s="14" t="s">
        <v>117</v>
      </c>
      <c r="C70" s="14" t="s">
        <v>292</v>
      </c>
      <c r="D70" s="14"/>
      <c r="E70" s="15" t="n">
        <v>24</v>
      </c>
      <c r="F70" s="14" t="s">
        <v>388</v>
      </c>
      <c r="G70" s="8" t="n">
        <v>14</v>
      </c>
      <c r="H70" s="14" t="s">
        <v>1136</v>
      </c>
      <c r="I70" s="14" t="s">
        <v>224</v>
      </c>
      <c r="J70" s="14" t="s">
        <v>1137</v>
      </c>
      <c r="K70" s="8" t="n">
        <v>4</v>
      </c>
      <c r="L70" s="8" t="n">
        <v>113</v>
      </c>
      <c r="M70" s="8" t="n">
        <v>8</v>
      </c>
      <c r="N70" s="8" t="n">
        <v>174</v>
      </c>
      <c r="O70" s="8" t="n">
        <v>5</v>
      </c>
      <c r="P70" s="9" t="n">
        <v>12.5665154899614</v>
      </c>
      <c r="Q70" s="10" t="n">
        <v>0.0795765541210557</v>
      </c>
      <c r="R70" s="9" t="n">
        <v>13</v>
      </c>
      <c r="S70" s="11" t="n">
        <f aca="false">IF(AND(ISNUMBER(R70),R70&gt;1,P70&gt;0),R70/P70-1,"")</f>
        <v>0.0344952035737245</v>
      </c>
      <c r="T70" s="9" t="n">
        <f aca="false">IF(AND(ISNUMBER(P70),P70&gt;0),P70*EXP('Read me'!$B$22),"")</f>
        <v>15.3487766799014</v>
      </c>
    </row>
    <row r="71" customFormat="false" ht="15" hidden="false" customHeight="false" outlineLevel="0" collapsed="false">
      <c r="A71" s="14" t="s">
        <v>291</v>
      </c>
      <c r="B71" s="14" t="s">
        <v>117</v>
      </c>
      <c r="C71" s="14" t="s">
        <v>292</v>
      </c>
      <c r="D71" s="14"/>
      <c r="E71" s="15" t="n">
        <v>24</v>
      </c>
      <c r="F71" s="14" t="s">
        <v>388</v>
      </c>
      <c r="G71" s="8" t="n">
        <v>14</v>
      </c>
      <c r="H71" s="14" t="s">
        <v>1138</v>
      </c>
      <c r="I71" s="14" t="s">
        <v>1139</v>
      </c>
      <c r="J71" s="14" t="s">
        <v>418</v>
      </c>
      <c r="K71" s="8" t="n">
        <v>6</v>
      </c>
      <c r="L71" s="8" t="n">
        <v>112</v>
      </c>
      <c r="M71" s="8" t="n">
        <v>8</v>
      </c>
      <c r="N71" s="8" t="n">
        <v>88</v>
      </c>
      <c r="O71" s="8" t="n">
        <v>6</v>
      </c>
      <c r="P71" s="9" t="n">
        <v>20.7480845842619</v>
      </c>
      <c r="Q71" s="10" t="n">
        <v>0.0481972201307937</v>
      </c>
      <c r="R71" s="9" t="n">
        <v>13</v>
      </c>
      <c r="S71" s="11" t="n">
        <f aca="false">IF(AND(ISNUMBER(R71),R71&gt;1,P71&gt;0),R71/P71-1,"")</f>
        <v>-0.373436138299682</v>
      </c>
      <c r="T71" s="9" t="n">
        <f aca="false">IF(AND(ISNUMBER(P71),P71&gt;0),P71*EXP('Read me'!$B$22),"")</f>
        <v>25.341767737758</v>
      </c>
    </row>
    <row r="72" customFormat="false" ht="15" hidden="false" customHeight="false" outlineLevel="0" collapsed="false">
      <c r="A72" s="14" t="s">
        <v>291</v>
      </c>
      <c r="B72" s="14" t="s">
        <v>117</v>
      </c>
      <c r="C72" s="14" t="s">
        <v>292</v>
      </c>
      <c r="D72" s="14"/>
      <c r="E72" s="15" t="n">
        <v>24</v>
      </c>
      <c r="F72" s="14" t="s">
        <v>388</v>
      </c>
      <c r="G72" s="8" t="n">
        <v>14</v>
      </c>
      <c r="H72" s="14" t="s">
        <v>1140</v>
      </c>
      <c r="I72" s="14" t="s">
        <v>316</v>
      </c>
      <c r="J72" s="14" t="s">
        <v>611</v>
      </c>
      <c r="K72" s="8" t="n">
        <v>11</v>
      </c>
      <c r="L72" s="8" t="n">
        <v>105</v>
      </c>
      <c r="M72" s="8" t="n">
        <v>8</v>
      </c>
      <c r="N72" s="8" t="n">
        <v>3</v>
      </c>
      <c r="O72" s="8" t="n">
        <v>7</v>
      </c>
      <c r="P72" s="9" t="n">
        <v>21.8913856231418</v>
      </c>
      <c r="Q72" s="10" t="n">
        <v>0.0456800687363928</v>
      </c>
      <c r="R72" s="9" t="n">
        <v>13</v>
      </c>
      <c r="S72" s="11" t="n">
        <f aca="false">IF(AND(ISNUMBER(R72),R72&gt;1,P72&gt;0),R72/P72-1,"")</f>
        <v>-0.406159106426893</v>
      </c>
      <c r="T72" s="9" t="n">
        <f aca="false">IF(AND(ISNUMBER(P72),P72&gt;0),P72*EXP('Read me'!$B$22),"")</f>
        <v>26.7381987800533</v>
      </c>
    </row>
    <row r="73" customFormat="false" ht="15" hidden="false" customHeight="false" outlineLevel="0" collapsed="false">
      <c r="A73" s="14" t="s">
        <v>291</v>
      </c>
      <c r="B73" s="14" t="s">
        <v>117</v>
      </c>
      <c r="C73" s="14" t="s">
        <v>292</v>
      </c>
      <c r="D73" s="14"/>
      <c r="E73" s="15" t="n">
        <v>24</v>
      </c>
      <c r="F73" s="14" t="s">
        <v>388</v>
      </c>
      <c r="G73" s="8" t="n">
        <v>14</v>
      </c>
      <c r="H73" s="14" t="s">
        <v>1141</v>
      </c>
      <c r="I73" s="14" t="s">
        <v>1142</v>
      </c>
      <c r="J73" s="14" t="s">
        <v>1047</v>
      </c>
      <c r="K73" s="8" t="n">
        <v>5</v>
      </c>
      <c r="L73" s="8" t="n">
        <v>112</v>
      </c>
      <c r="M73" s="8" t="n">
        <v>7</v>
      </c>
      <c r="N73" s="8" t="n">
        <v>36</v>
      </c>
      <c r="O73" s="8" t="n">
        <v>8</v>
      </c>
      <c r="P73" s="9" t="n">
        <v>26.5028432425703</v>
      </c>
      <c r="Q73" s="10" t="n">
        <v>0.0377318007297325</v>
      </c>
      <c r="R73" s="9" t="n">
        <v>17</v>
      </c>
      <c r="S73" s="11" t="n">
        <f aca="false">IF(AND(ISNUMBER(R73),R73&gt;1,P73&gt;0),R73/P73-1,"")</f>
        <v>-0.358559387594547</v>
      </c>
      <c r="T73" s="9" t="n">
        <f aca="false">IF(AND(ISNUMBER(P73),P73&gt;0),P73*EXP('Read me'!$B$22),"")</f>
        <v>32.370645835562</v>
      </c>
    </row>
    <row r="74" customFormat="false" ht="15" hidden="false" customHeight="false" outlineLevel="0" collapsed="false">
      <c r="A74" s="14" t="s">
        <v>291</v>
      </c>
      <c r="B74" s="14" t="s">
        <v>117</v>
      </c>
      <c r="C74" s="14" t="s">
        <v>292</v>
      </c>
      <c r="D74" s="14"/>
      <c r="E74" s="15" t="n">
        <v>24</v>
      </c>
      <c r="F74" s="14" t="s">
        <v>388</v>
      </c>
      <c r="G74" s="8" t="n">
        <v>14</v>
      </c>
      <c r="H74" s="14" t="s">
        <v>1143</v>
      </c>
      <c r="I74" s="14" t="s">
        <v>1144</v>
      </c>
      <c r="J74" s="14" t="s">
        <v>1145</v>
      </c>
      <c r="K74" s="8" t="n">
        <v>1</v>
      </c>
      <c r="L74" s="8" t="n">
        <v>120</v>
      </c>
      <c r="M74" s="8" t="n">
        <v>9</v>
      </c>
      <c r="N74" s="8" t="n">
        <v>49</v>
      </c>
      <c r="O74" s="8" t="n">
        <v>9</v>
      </c>
      <c r="P74" s="9" t="n">
        <v>27.8754193341196</v>
      </c>
      <c r="Q74" s="10" t="n">
        <v>0.0358738997973026</v>
      </c>
      <c r="R74" s="9" t="n">
        <v>26</v>
      </c>
      <c r="S74" s="11" t="n">
        <f aca="false">IF(AND(ISNUMBER(R74),R74&gt;1,P74&gt;0),R74/P74-1,"")</f>
        <v>-0.0672786052701313</v>
      </c>
      <c r="T74" s="9" t="n">
        <f aca="false">IF(AND(ISNUMBER(P74),P74&gt;0),P74*EXP('Read me'!$B$22),"")</f>
        <v>34.047114059565</v>
      </c>
    </row>
    <row r="75" customFormat="false" ht="15" hidden="false" customHeight="false" outlineLevel="0" collapsed="false">
      <c r="A75" s="14" t="s">
        <v>291</v>
      </c>
      <c r="B75" s="14" t="s">
        <v>117</v>
      </c>
      <c r="C75" s="14" t="s">
        <v>292</v>
      </c>
      <c r="D75" s="14"/>
      <c r="E75" s="15" t="n">
        <v>24</v>
      </c>
      <c r="F75" s="14" t="s">
        <v>388</v>
      </c>
      <c r="G75" s="8" t="n">
        <v>14</v>
      </c>
      <c r="H75" s="14" t="s">
        <v>1146</v>
      </c>
      <c r="I75" s="14" t="s">
        <v>684</v>
      </c>
      <c r="J75" s="14" t="s">
        <v>1147</v>
      </c>
      <c r="K75" s="8" t="n">
        <v>13</v>
      </c>
      <c r="L75" s="8" t="n">
        <v>104</v>
      </c>
      <c r="M75" s="8" t="n">
        <v>10</v>
      </c>
      <c r="N75" s="8" t="n">
        <v>19</v>
      </c>
      <c r="O75" s="8" t="n">
        <v>10</v>
      </c>
      <c r="P75" s="9" t="n">
        <v>28.9142336598863</v>
      </c>
      <c r="Q75" s="10" t="n">
        <v>0.0345850425006191</v>
      </c>
      <c r="R75" s="9" t="n">
        <v>19</v>
      </c>
      <c r="S75" s="11" t="n">
        <f aca="false">IF(AND(ISNUMBER(R75),R75&gt;1,P75&gt;0),R75/P75-1,"")</f>
        <v>-0.342884192488235</v>
      </c>
      <c r="T75" s="9" t="n">
        <f aca="false">IF(AND(ISNUMBER(P75),P75&gt;0),P75*EXP('Read me'!$B$22),"")</f>
        <v>35.3159247422727</v>
      </c>
    </row>
    <row r="76" customFormat="false" ht="15" hidden="false" customHeight="false" outlineLevel="0" collapsed="false">
      <c r="A76" s="14" t="s">
        <v>291</v>
      </c>
      <c r="B76" s="14" t="s">
        <v>117</v>
      </c>
      <c r="C76" s="14" t="s">
        <v>292</v>
      </c>
      <c r="D76" s="14"/>
      <c r="E76" s="15" t="n">
        <v>24</v>
      </c>
      <c r="F76" s="14" t="s">
        <v>388</v>
      </c>
      <c r="G76" s="8" t="n">
        <v>14</v>
      </c>
      <c r="H76" s="14" t="s">
        <v>1148</v>
      </c>
      <c r="I76" s="14" t="s">
        <v>1149</v>
      </c>
      <c r="J76" s="14" t="s">
        <v>1150</v>
      </c>
      <c r="K76" s="8" t="n">
        <v>2</v>
      </c>
      <c r="L76" s="8" t="n">
        <v>114</v>
      </c>
      <c r="M76" s="8" t="n">
        <v>7</v>
      </c>
      <c r="N76" s="8" t="n">
        <v>110</v>
      </c>
      <c r="O76" s="8" t="n">
        <v>11</v>
      </c>
      <c r="P76" s="9" t="n">
        <v>31.5069351569727</v>
      </c>
      <c r="Q76" s="10" t="n">
        <v>0.031739043960253</v>
      </c>
      <c r="R76" s="9" t="n">
        <v>13</v>
      </c>
      <c r="S76" s="11" t="n">
        <f aca="false">IF(AND(ISNUMBER(R76),R76&gt;1,P76&gt;0),R76/P76-1,"")</f>
        <v>-0.58739242851671</v>
      </c>
      <c r="T76" s="9" t="n">
        <f aca="false">IF(AND(ISNUMBER(P76),P76&gt;0),P76*EXP('Read me'!$B$22),"")</f>
        <v>38.4826575019001</v>
      </c>
    </row>
    <row r="77" customFormat="false" ht="15" hidden="false" customHeight="false" outlineLevel="0" collapsed="false">
      <c r="A77" s="14" t="s">
        <v>291</v>
      </c>
      <c r="B77" s="14" t="s">
        <v>117</v>
      </c>
      <c r="C77" s="14" t="s">
        <v>292</v>
      </c>
      <c r="D77" s="14"/>
      <c r="E77" s="15" t="n">
        <v>24</v>
      </c>
      <c r="F77" s="14" t="s">
        <v>388</v>
      </c>
      <c r="G77" s="8" t="n">
        <v>14</v>
      </c>
      <c r="H77" s="14" t="s">
        <v>1151</v>
      </c>
      <c r="I77" s="14" t="s">
        <v>1152</v>
      </c>
      <c r="J77" s="14" t="s">
        <v>910</v>
      </c>
      <c r="K77" s="8" t="n">
        <v>9</v>
      </c>
      <c r="L77" s="8" t="n">
        <v>107</v>
      </c>
      <c r="M77" s="8" t="n">
        <v>8</v>
      </c>
      <c r="N77" s="8" t="n">
        <v>134</v>
      </c>
      <c r="O77" s="8" t="n">
        <v>12</v>
      </c>
      <c r="P77" s="9" t="n">
        <v>45.2186018844468</v>
      </c>
      <c r="Q77" s="10" t="n">
        <v>0.0221147925483285</v>
      </c>
      <c r="R77" s="9" t="n">
        <v>10</v>
      </c>
      <c r="S77" s="11" t="n">
        <f aca="false">IF(AND(ISNUMBER(R77),R77&gt;1,P77&gt;0),R77/P77-1,"")</f>
        <v>-0.778852074516715</v>
      </c>
      <c r="T77" s="9" t="n">
        <f aca="false">IF(AND(ISNUMBER(P77),P77&gt;0),P77*EXP('Read me'!$B$22),"")</f>
        <v>55.23012506181</v>
      </c>
    </row>
    <row r="78" customFormat="false" ht="15" hidden="false" customHeight="false" outlineLevel="0" collapsed="false">
      <c r="A78" s="14" t="s">
        <v>291</v>
      </c>
      <c r="B78" s="14" t="s">
        <v>117</v>
      </c>
      <c r="C78" s="14" t="s">
        <v>292</v>
      </c>
      <c r="D78" s="14"/>
      <c r="E78" s="15" t="n">
        <v>24</v>
      </c>
      <c r="F78" s="14" t="s">
        <v>388</v>
      </c>
      <c r="G78" s="8" t="n">
        <v>14</v>
      </c>
      <c r="H78" s="14" t="s">
        <v>1153</v>
      </c>
      <c r="I78" s="14" t="s">
        <v>1154</v>
      </c>
      <c r="J78" s="14" t="s">
        <v>1155</v>
      </c>
      <c r="K78" s="8" t="n">
        <v>3</v>
      </c>
      <c r="L78" s="8" t="n">
        <v>114</v>
      </c>
      <c r="M78" s="8" t="n">
        <v>11</v>
      </c>
      <c r="N78" s="8" t="n">
        <v>19</v>
      </c>
      <c r="O78" s="8" t="n">
        <v>13</v>
      </c>
      <c r="P78" s="9" t="n">
        <v>97.4217211462748</v>
      </c>
      <c r="Q78" s="10" t="n">
        <v>0.010264651334773</v>
      </c>
      <c r="R78" s="9" t="n">
        <v>26</v>
      </c>
      <c r="S78" s="11" t="n">
        <f aca="false">IF(AND(ISNUMBER(R78),R78&gt;1,P78&gt;0),R78/P78-1,"")</f>
        <v>-0.7331190652959</v>
      </c>
      <c r="T78" s="9" t="n">
        <f aca="false">IF(AND(ISNUMBER(P78),P78&gt;0),P78*EXP('Read me'!$B$22),"")</f>
        <v>118.991158912771</v>
      </c>
    </row>
    <row r="79" customFormat="false" ht="15" hidden="false" customHeight="false" outlineLevel="0" collapsed="false">
      <c r="A79" s="14" t="s">
        <v>291</v>
      </c>
      <c r="B79" s="14" t="s">
        <v>117</v>
      </c>
      <c r="C79" s="14" t="s">
        <v>292</v>
      </c>
      <c r="D79" s="14"/>
      <c r="E79" s="15" t="n">
        <v>24</v>
      </c>
      <c r="F79" s="14" t="s">
        <v>388</v>
      </c>
      <c r="G79" s="8" t="n">
        <v>14</v>
      </c>
      <c r="H79" s="14" t="s">
        <v>1156</v>
      </c>
      <c r="I79" s="14" t="s">
        <v>1157</v>
      </c>
      <c r="J79" s="14" t="s">
        <v>903</v>
      </c>
      <c r="K79" s="8" t="n">
        <v>15</v>
      </c>
      <c r="L79" s="8" t="n">
        <v>93</v>
      </c>
      <c r="M79" s="8" t="n">
        <v>10</v>
      </c>
      <c r="N79" s="8" t="n">
        <v>37</v>
      </c>
      <c r="O79" s="8" t="n">
        <v>14</v>
      </c>
      <c r="P79" s="9" t="n">
        <v>174.616517936357</v>
      </c>
      <c r="Q79" s="10" t="n">
        <v>0.0057268350773348</v>
      </c>
      <c r="R79" s="9" t="n">
        <v>34</v>
      </c>
      <c r="S79" s="11" t="n">
        <f aca="false">IF(AND(ISNUMBER(R79),R79&gt;1,P79&gt;0),R79/P79-1,"")</f>
        <v>-0.805287607370615</v>
      </c>
      <c r="T79" s="9" t="n">
        <f aca="false">IF(AND(ISNUMBER(P79),P79&gt;0),P79*EXP('Read me'!$B$22),"")</f>
        <v>213.277096627791</v>
      </c>
    </row>
    <row r="80" customFormat="false" ht="15" hidden="false" customHeight="false" outlineLevel="0" collapsed="false">
      <c r="A80" s="14" t="s">
        <v>313</v>
      </c>
      <c r="B80" s="14" t="s">
        <v>117</v>
      </c>
      <c r="C80" s="14" t="s">
        <v>314</v>
      </c>
      <c r="D80" s="14"/>
      <c r="E80" s="15" t="n">
        <v>16</v>
      </c>
      <c r="F80" s="14" t="s">
        <v>388</v>
      </c>
      <c r="G80" s="8" t="n">
        <v>6</v>
      </c>
      <c r="H80" s="14" t="s">
        <v>315</v>
      </c>
      <c r="I80" s="14" t="s">
        <v>316</v>
      </c>
      <c r="J80" s="14" t="s">
        <v>317</v>
      </c>
      <c r="K80" s="8" t="n">
        <v>3</v>
      </c>
      <c r="L80" s="8" t="n">
        <v>0</v>
      </c>
      <c r="M80" s="8" t="n">
        <v>4</v>
      </c>
      <c r="N80" s="8" t="n">
        <v>15</v>
      </c>
      <c r="O80" s="8" t="n">
        <v>1</v>
      </c>
      <c r="P80" s="9" t="n">
        <v>1.64822357562607</v>
      </c>
      <c r="Q80" s="10" t="n">
        <v>0.606713806784469</v>
      </c>
      <c r="R80" s="9" t="n">
        <v>1.57142857142857</v>
      </c>
      <c r="S80" s="11" t="n">
        <f aca="false">IF(AND(ISNUMBER(R80),R80&gt;1,P80&gt;0),R80/P80-1,"")</f>
        <v>-0.0465925893386922</v>
      </c>
      <c r="T80" s="9" t="n">
        <f aca="false">IF(AND(ISNUMBER(P80),P80&gt;0),P80*EXP('Read me'!$B$22),"")</f>
        <v>2.0131448213343</v>
      </c>
    </row>
    <row r="81" customFormat="false" ht="15" hidden="false" customHeight="false" outlineLevel="0" collapsed="false">
      <c r="A81" s="14" t="s">
        <v>313</v>
      </c>
      <c r="B81" s="14" t="s">
        <v>117</v>
      </c>
      <c r="C81" s="14" t="s">
        <v>314</v>
      </c>
      <c r="D81" s="14"/>
      <c r="E81" s="15" t="n">
        <v>16</v>
      </c>
      <c r="F81" s="14" t="s">
        <v>388</v>
      </c>
      <c r="G81" s="8" t="n">
        <v>6</v>
      </c>
      <c r="H81" s="14" t="s">
        <v>318</v>
      </c>
      <c r="I81" s="14" t="s">
        <v>1187</v>
      </c>
      <c r="J81" s="14" t="s">
        <v>1047</v>
      </c>
      <c r="K81" s="8" t="n">
        <v>2</v>
      </c>
      <c r="L81" s="8" t="n">
        <v>0</v>
      </c>
      <c r="M81" s="8" t="n">
        <v>4</v>
      </c>
      <c r="N81" s="8" t="n">
        <v>42</v>
      </c>
      <c r="O81" s="8" t="n">
        <v>2</v>
      </c>
      <c r="P81" s="9" t="n">
        <v>4.43808915537955</v>
      </c>
      <c r="Q81" s="10" t="n">
        <v>0.225322197231632</v>
      </c>
      <c r="R81" s="9" t="n">
        <v>2.875</v>
      </c>
      <c r="S81" s="11" t="n">
        <f aca="false">IF(AND(ISNUMBER(R81),R81&gt;1,P81&gt;0),R81/P81-1,"")</f>
        <v>-0.352198682959057</v>
      </c>
      <c r="T81" s="9" t="n">
        <f aca="false">IF(AND(ISNUMBER(P81),P81&gt;0),P81*EXP('Read me'!$B$22),"")</f>
        <v>5.42069433534133</v>
      </c>
    </row>
    <row r="82" customFormat="false" ht="15" hidden="false" customHeight="false" outlineLevel="0" collapsed="false">
      <c r="A82" s="14" t="s">
        <v>313</v>
      </c>
      <c r="B82" s="14" t="s">
        <v>117</v>
      </c>
      <c r="C82" s="14" t="s">
        <v>314</v>
      </c>
      <c r="D82" s="14"/>
      <c r="E82" s="15" t="n">
        <v>16</v>
      </c>
      <c r="F82" s="14" t="s">
        <v>388</v>
      </c>
      <c r="G82" s="8" t="n">
        <v>6</v>
      </c>
      <c r="H82" s="14" t="s">
        <v>1188</v>
      </c>
      <c r="I82" s="14" t="s">
        <v>224</v>
      </c>
      <c r="J82" s="14" t="s">
        <v>1189</v>
      </c>
      <c r="K82" s="8" t="n">
        <v>4</v>
      </c>
      <c r="L82" s="8" t="n">
        <v>0</v>
      </c>
      <c r="M82" s="8" t="n">
        <v>5</v>
      </c>
      <c r="N82" s="8" t="n">
        <v>65</v>
      </c>
      <c r="O82" s="8" t="n">
        <v>3</v>
      </c>
      <c r="P82" s="9" t="n">
        <v>7.21121767991177</v>
      </c>
      <c r="Q82" s="10" t="n">
        <v>0.138672835072736</v>
      </c>
      <c r="R82" s="9" t="n">
        <v>15</v>
      </c>
      <c r="S82" s="11" t="n">
        <f aca="false">IF(AND(ISNUMBER(R82),R82&gt;1,P82&gt;0),R82/P82-1,"")</f>
        <v>1.08009252609103</v>
      </c>
      <c r="T82" s="9" t="n">
        <f aca="false">IF(AND(ISNUMBER(P82),P82&gt;0),P82*EXP('Read me'!$B$22),"")</f>
        <v>8.80780116393762</v>
      </c>
    </row>
    <row r="83" customFormat="false" ht="15" hidden="false" customHeight="false" outlineLevel="0" collapsed="false">
      <c r="A83" s="14" t="s">
        <v>313</v>
      </c>
      <c r="B83" s="14" t="s">
        <v>117</v>
      </c>
      <c r="C83" s="14" t="s">
        <v>314</v>
      </c>
      <c r="D83" s="14"/>
      <c r="E83" s="15" t="n">
        <v>16</v>
      </c>
      <c r="F83" s="14" t="s">
        <v>388</v>
      </c>
      <c r="G83" s="8" t="n">
        <v>6</v>
      </c>
      <c r="H83" s="14" t="s">
        <v>1190</v>
      </c>
      <c r="I83" s="14" t="s">
        <v>1191</v>
      </c>
      <c r="J83" s="14" t="s">
        <v>1192</v>
      </c>
      <c r="K83" s="8" t="n">
        <v>5</v>
      </c>
      <c r="L83" s="8" t="n">
        <v>0</v>
      </c>
      <c r="M83" s="8" t="n">
        <v>6</v>
      </c>
      <c r="N83" s="8"/>
      <c r="O83" s="8" t="n">
        <v>4</v>
      </c>
      <c r="P83" s="9" t="n">
        <v>52.8448757884378</v>
      </c>
      <c r="Q83" s="10" t="n">
        <v>0.0189233106347615</v>
      </c>
      <c r="R83" s="9" t="n">
        <v>26</v>
      </c>
      <c r="S83" s="11" t="n">
        <f aca="false">IF(AND(ISNUMBER(R83),R83&gt;1,P83&gt;0),R83/P83-1,"")</f>
        <v>-0.507993923496199</v>
      </c>
      <c r="T83" s="9" t="n">
        <f aca="false">IF(AND(ISNUMBER(P83),P83&gt;0),P83*EXP('Read me'!$B$22),"")</f>
        <v>64.5448770426295</v>
      </c>
    </row>
    <row r="84" customFormat="false" ht="15" hidden="false" customHeight="false" outlineLevel="0" collapsed="false">
      <c r="A84" s="14" t="s">
        <v>313</v>
      </c>
      <c r="B84" s="14" t="s">
        <v>117</v>
      </c>
      <c r="C84" s="14" t="s">
        <v>314</v>
      </c>
      <c r="D84" s="14"/>
      <c r="E84" s="15" t="n">
        <v>16</v>
      </c>
      <c r="F84" s="14" t="s">
        <v>388</v>
      </c>
      <c r="G84" s="8" t="n">
        <v>6</v>
      </c>
      <c r="H84" s="14" t="s">
        <v>1193</v>
      </c>
      <c r="I84" s="14" t="s">
        <v>1194</v>
      </c>
      <c r="J84" s="14" t="s">
        <v>1195</v>
      </c>
      <c r="K84" s="8" t="n">
        <v>6</v>
      </c>
      <c r="L84" s="8" t="n">
        <v>0</v>
      </c>
      <c r="M84" s="8" t="n">
        <v>4</v>
      </c>
      <c r="N84" s="8"/>
      <c r="O84" s="8" t="n">
        <v>5</v>
      </c>
      <c r="P84" s="9" t="n">
        <v>177.451824888959</v>
      </c>
      <c r="Q84" s="10" t="n">
        <v>0.0056353322972347</v>
      </c>
      <c r="R84" s="9" t="n">
        <v>41</v>
      </c>
      <c r="S84" s="11" t="n">
        <f aca="false">IF(AND(ISNUMBER(R84),R84&gt;1,P84&gt;0),R84/P84-1,"")</f>
        <v>-0.768951375813374</v>
      </c>
      <c r="T84" s="9" t="n">
        <f aca="false">IF(AND(ISNUMBER(P84),P84&gt;0),P84*EXP('Read me'!$B$22),"")</f>
        <v>216.740148359929</v>
      </c>
    </row>
    <row r="85" customFormat="false" ht="15" hidden="false" customHeight="false" outlineLevel="0" collapsed="false">
      <c r="A85" s="14" t="s">
        <v>313</v>
      </c>
      <c r="B85" s="14" t="s">
        <v>117</v>
      </c>
      <c r="C85" s="14" t="s">
        <v>314</v>
      </c>
      <c r="D85" s="14"/>
      <c r="E85" s="15" t="n">
        <v>16</v>
      </c>
      <c r="F85" s="14" t="s">
        <v>388</v>
      </c>
      <c r="G85" s="8" t="n">
        <v>6</v>
      </c>
      <c r="H85" s="14" t="s">
        <v>1196</v>
      </c>
      <c r="I85" s="14" t="s">
        <v>1197</v>
      </c>
      <c r="J85" s="14" t="s">
        <v>1198</v>
      </c>
      <c r="K85" s="8" t="n">
        <v>7</v>
      </c>
      <c r="L85" s="8" t="n">
        <v>0</v>
      </c>
      <c r="M85" s="8" t="n">
        <v>4</v>
      </c>
      <c r="N85" s="8" t="n">
        <v>72</v>
      </c>
      <c r="O85" s="8" t="n">
        <v>6</v>
      </c>
      <c r="P85" s="9" t="n">
        <v>211.304004422614</v>
      </c>
      <c r="Q85" s="10" t="n">
        <v>0.0047325179791669</v>
      </c>
      <c r="R85" s="9" t="n">
        <v>41</v>
      </c>
      <c r="S85" s="11" t="n">
        <f aca="false">IF(AND(ISNUMBER(R85),R85&gt;1,P85&gt;0),R85/P85-1,"")</f>
        <v>-0.805966762854154</v>
      </c>
      <c r="T85" s="9" t="n">
        <f aca="false">IF(AND(ISNUMBER(P85),P85&gt;0),P85*EXP('Read me'!$B$22),"")</f>
        <v>258.08729381207</v>
      </c>
    </row>
  </sheetData>
  <autoFilter ref="A1:T85"/>
  <conditionalFormatting sqref="A2:T85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358</v>
      </c>
      <c r="E1" s="6" t="s">
        <v>359</v>
      </c>
      <c r="F1" s="6" t="s">
        <v>360</v>
      </c>
      <c r="G1" s="6" t="s">
        <v>1</v>
      </c>
      <c r="H1" s="6" t="s">
        <v>361</v>
      </c>
      <c r="I1" s="6" t="s">
        <v>35</v>
      </c>
      <c r="J1" s="6" t="s">
        <v>36</v>
      </c>
      <c r="K1" s="6" t="s">
        <v>362</v>
      </c>
      <c r="L1" s="6" t="s">
        <v>363</v>
      </c>
      <c r="M1" s="6" t="s">
        <v>364</v>
      </c>
      <c r="N1" s="6" t="s">
        <v>365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4" t="s">
        <v>196</v>
      </c>
      <c r="B2" s="14" t="s">
        <v>197</v>
      </c>
      <c r="C2" s="14" t="s">
        <v>198</v>
      </c>
      <c r="D2" s="14" t="s">
        <v>803</v>
      </c>
      <c r="E2" s="15" t="n">
        <v>5</v>
      </c>
      <c r="F2" s="14" t="s">
        <v>819</v>
      </c>
      <c r="G2" s="8" t="n">
        <v>9</v>
      </c>
      <c r="H2" s="14" t="s">
        <v>199</v>
      </c>
      <c r="I2" s="14" t="s">
        <v>200</v>
      </c>
      <c r="J2" s="14" t="s">
        <v>201</v>
      </c>
      <c r="K2" s="8" t="n">
        <v>5</v>
      </c>
      <c r="L2" s="8" t="n">
        <v>46</v>
      </c>
      <c r="M2" s="8" t="n">
        <v>3</v>
      </c>
      <c r="N2" s="8" t="n">
        <v>9</v>
      </c>
      <c r="O2" s="8" t="n">
        <v>1</v>
      </c>
      <c r="P2" s="9" t="n">
        <v>5.05173217737264</v>
      </c>
      <c r="Q2" s="10" t="n">
        <v>0.197951903404367</v>
      </c>
      <c r="R2" s="9" t="n">
        <v>4</v>
      </c>
      <c r="S2" s="11" t="n">
        <f aca="false">IF(AND(ISNUMBER(R2),R2&gt;1,P2&gt;0),R2/P2-1,"")</f>
        <v>-0.208192386382532</v>
      </c>
      <c r="T2" s="9" t="n">
        <f aca="false">IF(AND(ISNUMBER(P2),P2&gt;0),P2*EXP('Read me'!$B$22),"")</f>
        <v>6.17019961492942</v>
      </c>
    </row>
    <row r="3" customFormat="false" ht="15" hidden="false" customHeight="false" outlineLevel="0" collapsed="false">
      <c r="A3" s="14" t="s">
        <v>196</v>
      </c>
      <c r="B3" s="14" t="s">
        <v>197</v>
      </c>
      <c r="C3" s="14" t="s">
        <v>198</v>
      </c>
      <c r="D3" s="14" t="s">
        <v>803</v>
      </c>
      <c r="E3" s="15" t="n">
        <v>5</v>
      </c>
      <c r="F3" s="14" t="s">
        <v>819</v>
      </c>
      <c r="G3" s="8" t="n">
        <v>9</v>
      </c>
      <c r="H3" s="14" t="s">
        <v>202</v>
      </c>
      <c r="I3" s="14" t="s">
        <v>820</v>
      </c>
      <c r="J3" s="14" t="s">
        <v>821</v>
      </c>
      <c r="K3" s="8" t="n">
        <v>8</v>
      </c>
      <c r="L3" s="8" t="n">
        <v>62</v>
      </c>
      <c r="M3" s="8" t="n">
        <v>6</v>
      </c>
      <c r="N3" s="8" t="n">
        <v>16</v>
      </c>
      <c r="O3" s="8" t="n">
        <v>2</v>
      </c>
      <c r="P3" s="9" t="n">
        <v>5.49913543258334</v>
      </c>
      <c r="Q3" s="10" t="n">
        <v>0.181846767052658</v>
      </c>
      <c r="R3" s="9" t="n">
        <v>5.5</v>
      </c>
      <c r="S3" s="11" t="n">
        <f aca="false">IF(AND(ISNUMBER(R3),R3&gt;1,P3&gt;0),R3/P3-1,"")</f>
        <v>0.000157218789619273</v>
      </c>
      <c r="T3" s="9" t="n">
        <f aca="false">IF(AND(ISNUMBER(P3),P3&gt;0),P3*EXP('Read me'!$B$22),"")</f>
        <v>6.71665918485361</v>
      </c>
    </row>
    <row r="4" customFormat="false" ht="15" hidden="false" customHeight="false" outlineLevel="0" collapsed="false">
      <c r="A4" s="14" t="s">
        <v>196</v>
      </c>
      <c r="B4" s="14" t="s">
        <v>197</v>
      </c>
      <c r="C4" s="14" t="s">
        <v>198</v>
      </c>
      <c r="D4" s="14" t="s">
        <v>803</v>
      </c>
      <c r="E4" s="15" t="n">
        <v>5</v>
      </c>
      <c r="F4" s="14" t="s">
        <v>819</v>
      </c>
      <c r="G4" s="8" t="n">
        <v>9</v>
      </c>
      <c r="H4" s="14" t="s">
        <v>355</v>
      </c>
      <c r="I4" s="14" t="s">
        <v>822</v>
      </c>
      <c r="J4" s="14" t="s">
        <v>823</v>
      </c>
      <c r="K4" s="8" t="n">
        <v>7</v>
      </c>
      <c r="L4" s="8" t="n">
        <v>65</v>
      </c>
      <c r="M4" s="8" t="n">
        <v>6</v>
      </c>
      <c r="N4" s="8" t="n">
        <v>18</v>
      </c>
      <c r="O4" s="8" t="n">
        <v>3</v>
      </c>
      <c r="P4" s="9" t="n">
        <v>6.22566252610872</v>
      </c>
      <c r="Q4" s="10" t="n">
        <v>0.160625474928375</v>
      </c>
      <c r="R4" s="9" t="n">
        <v>8</v>
      </c>
      <c r="S4" s="11" t="n">
        <f aca="false">IF(AND(ISNUMBER(R4),R4&gt;1,P4&gt;0),R4/P4-1,"")</f>
        <v>0.285003799427</v>
      </c>
      <c r="T4" s="9" t="n">
        <f aca="false">IF(AND(ISNUMBER(P4),P4&gt;0),P4*EXP('Read me'!$B$22),"")</f>
        <v>7.6040413807636</v>
      </c>
    </row>
    <row r="5" customFormat="false" ht="15" hidden="false" customHeight="false" outlineLevel="0" collapsed="false">
      <c r="A5" s="14" t="s">
        <v>196</v>
      </c>
      <c r="B5" s="14" t="s">
        <v>197</v>
      </c>
      <c r="C5" s="14" t="s">
        <v>198</v>
      </c>
      <c r="D5" s="14" t="s">
        <v>803</v>
      </c>
      <c r="E5" s="15" t="n">
        <v>5</v>
      </c>
      <c r="F5" s="14" t="s">
        <v>819</v>
      </c>
      <c r="G5" s="8" t="n">
        <v>9</v>
      </c>
      <c r="H5" s="14" t="s">
        <v>824</v>
      </c>
      <c r="I5" s="14" t="s">
        <v>278</v>
      </c>
      <c r="J5" s="14" t="s">
        <v>825</v>
      </c>
      <c r="K5" s="8" t="n">
        <v>1</v>
      </c>
      <c r="L5" s="8" t="n">
        <v>55</v>
      </c>
      <c r="M5" s="8" t="n">
        <v>4</v>
      </c>
      <c r="N5" s="8" t="n">
        <v>18</v>
      </c>
      <c r="O5" s="8" t="n">
        <v>4</v>
      </c>
      <c r="P5" s="9" t="n">
        <v>6.58794574435213</v>
      </c>
      <c r="Q5" s="10" t="n">
        <v>0.15179238548789</v>
      </c>
      <c r="R5" s="9" t="n">
        <v>6.5</v>
      </c>
      <c r="S5" s="11" t="n">
        <f aca="false">IF(AND(ISNUMBER(R5),R5&gt;1,P5&gt;0),R5/P5-1,"")</f>
        <v>-0.0133494943287173</v>
      </c>
      <c r="T5" s="9" t="n">
        <f aca="false">IF(AND(ISNUMBER(P5),P5&gt;0),P5*EXP('Read me'!$B$22),"")</f>
        <v>8.04653510276124</v>
      </c>
    </row>
    <row r="6" customFormat="false" ht="15" hidden="false" customHeight="false" outlineLevel="0" collapsed="false">
      <c r="A6" s="14" t="s">
        <v>196</v>
      </c>
      <c r="B6" s="14" t="s">
        <v>197</v>
      </c>
      <c r="C6" s="14" t="s">
        <v>198</v>
      </c>
      <c r="D6" s="14" t="s">
        <v>803</v>
      </c>
      <c r="E6" s="15" t="n">
        <v>5</v>
      </c>
      <c r="F6" s="14" t="s">
        <v>819</v>
      </c>
      <c r="G6" s="8" t="n">
        <v>9</v>
      </c>
      <c r="H6" s="14" t="s">
        <v>826</v>
      </c>
      <c r="I6" s="14" t="s">
        <v>827</v>
      </c>
      <c r="J6" s="14" t="s">
        <v>828</v>
      </c>
      <c r="K6" s="8" t="n">
        <v>9</v>
      </c>
      <c r="L6" s="8" t="n">
        <v>60</v>
      </c>
      <c r="M6" s="8" t="n">
        <v>6</v>
      </c>
      <c r="N6" s="8" t="n">
        <v>27</v>
      </c>
      <c r="O6" s="8" t="n">
        <v>5</v>
      </c>
      <c r="P6" s="9" t="n">
        <v>9.20762870745275</v>
      </c>
      <c r="Q6" s="10" t="n">
        <v>0.10860559561775</v>
      </c>
      <c r="R6" s="9" t="n">
        <v>5.5</v>
      </c>
      <c r="S6" s="11" t="n">
        <f aca="false">IF(AND(ISNUMBER(R6),R6&gt;1,P6&gt;0),R6/P6-1,"")</f>
        <v>-0.402669224102375</v>
      </c>
      <c r="T6" s="9" t="n">
        <f aca="false">IF(AND(ISNUMBER(P6),P6&gt;0),P6*EXP('Read me'!$B$22),"")</f>
        <v>11.2462230993976</v>
      </c>
    </row>
    <row r="7" customFormat="false" ht="15" hidden="false" customHeight="false" outlineLevel="0" collapsed="false">
      <c r="A7" s="14" t="s">
        <v>196</v>
      </c>
      <c r="B7" s="14" t="s">
        <v>197</v>
      </c>
      <c r="C7" s="14" t="s">
        <v>198</v>
      </c>
      <c r="D7" s="14" t="s">
        <v>803</v>
      </c>
      <c r="E7" s="15" t="n">
        <v>5</v>
      </c>
      <c r="F7" s="14" t="s">
        <v>819</v>
      </c>
      <c r="G7" s="8" t="n">
        <v>9</v>
      </c>
      <c r="H7" s="14" t="s">
        <v>829</v>
      </c>
      <c r="I7" s="14" t="s">
        <v>830</v>
      </c>
      <c r="J7" s="14" t="s">
        <v>831</v>
      </c>
      <c r="K7" s="8" t="n">
        <v>3</v>
      </c>
      <c r="L7" s="8" t="n">
        <v>55</v>
      </c>
      <c r="M7" s="8" t="n">
        <v>6</v>
      </c>
      <c r="N7" s="8" t="n">
        <v>41</v>
      </c>
      <c r="O7" s="8" t="n">
        <v>6</v>
      </c>
      <c r="P7" s="9" t="n">
        <v>10.6552175245621</v>
      </c>
      <c r="Q7" s="10" t="n">
        <v>0.0938507353505298</v>
      </c>
      <c r="R7" s="9" t="n">
        <v>6</v>
      </c>
      <c r="S7" s="11" t="n">
        <f aca="false">IF(AND(ISNUMBER(R7),R7&gt;1,P7&gt;0),R7/P7-1,"")</f>
        <v>-0.436895587896821</v>
      </c>
      <c r="T7" s="9" t="n">
        <f aca="false">IF(AND(ISNUMBER(P7),P7&gt;0),P7*EXP('Read me'!$B$22),"")</f>
        <v>13.0143120732967</v>
      </c>
    </row>
    <row r="8" customFormat="false" ht="15" hidden="false" customHeight="false" outlineLevel="0" collapsed="false">
      <c r="A8" s="14" t="s">
        <v>196</v>
      </c>
      <c r="B8" s="14" t="s">
        <v>197</v>
      </c>
      <c r="C8" s="14" t="s">
        <v>198</v>
      </c>
      <c r="D8" s="14" t="s">
        <v>803</v>
      </c>
      <c r="E8" s="15" t="n">
        <v>5</v>
      </c>
      <c r="F8" s="14" t="s">
        <v>819</v>
      </c>
      <c r="G8" s="8" t="n">
        <v>9</v>
      </c>
      <c r="H8" s="14" t="s">
        <v>832</v>
      </c>
      <c r="I8" s="14" t="s">
        <v>833</v>
      </c>
      <c r="J8" s="14" t="s">
        <v>834</v>
      </c>
      <c r="K8" s="8" t="n">
        <v>6</v>
      </c>
      <c r="L8" s="8" t="n">
        <v>57</v>
      </c>
      <c r="M8" s="8" t="n">
        <v>6</v>
      </c>
      <c r="N8" s="8" t="n">
        <v>128</v>
      </c>
      <c r="O8" s="8" t="n">
        <v>7</v>
      </c>
      <c r="P8" s="9" t="n">
        <v>16.7538044266437</v>
      </c>
      <c r="Q8" s="10" t="n">
        <v>0.0596879356195474</v>
      </c>
      <c r="R8" s="9" t="n">
        <v>15</v>
      </c>
      <c r="S8" s="11" t="n">
        <f aca="false">IF(AND(ISNUMBER(R8),R8&gt;1,P8&gt;0),R8/P8-1,"")</f>
        <v>-0.104680965706788</v>
      </c>
      <c r="T8" s="9" t="n">
        <f aca="false">IF(AND(ISNUMBER(P8),P8&gt;0),P8*EXP('Read me'!$B$22),"")</f>
        <v>20.4631429363787</v>
      </c>
    </row>
    <row r="9" customFormat="false" ht="15" hidden="false" customHeight="false" outlineLevel="0" collapsed="false">
      <c r="A9" s="14" t="s">
        <v>196</v>
      </c>
      <c r="B9" s="14" t="s">
        <v>197</v>
      </c>
      <c r="C9" s="14" t="s">
        <v>198</v>
      </c>
      <c r="D9" s="14" t="s">
        <v>803</v>
      </c>
      <c r="E9" s="15" t="n">
        <v>5</v>
      </c>
      <c r="F9" s="14" t="s">
        <v>819</v>
      </c>
      <c r="G9" s="8" t="n">
        <v>9</v>
      </c>
      <c r="H9" s="14" t="s">
        <v>835</v>
      </c>
      <c r="I9" s="14" t="s">
        <v>337</v>
      </c>
      <c r="J9" s="14" t="s">
        <v>836</v>
      </c>
      <c r="K9" s="8" t="n">
        <v>2</v>
      </c>
      <c r="L9" s="8" t="n">
        <v>52</v>
      </c>
      <c r="M9" s="8" t="n">
        <v>3</v>
      </c>
      <c r="N9" s="8" t="n">
        <v>33</v>
      </c>
      <c r="O9" s="8" t="n">
        <v>8</v>
      </c>
      <c r="P9" s="9" t="n">
        <v>41.3964237994016</v>
      </c>
      <c r="Q9" s="10" t="n">
        <v>0.024156676065686</v>
      </c>
      <c r="R9" s="9" t="n">
        <v>41</v>
      </c>
      <c r="S9" s="11" t="n">
        <f aca="false">IF(AND(ISNUMBER(R9),R9&gt;1,P9&gt;0),R9/P9-1,"")</f>
        <v>-0.00957628130687382</v>
      </c>
      <c r="T9" s="9" t="n">
        <f aca="false">IF(AND(ISNUMBER(P9),P9&gt;0),P9*EXP('Read me'!$B$22),"")</f>
        <v>50.5617062065565</v>
      </c>
    </row>
    <row r="10" customFormat="false" ht="15" hidden="false" customHeight="false" outlineLevel="0" collapsed="false">
      <c r="A10" s="14" t="s">
        <v>196</v>
      </c>
      <c r="B10" s="14" t="s">
        <v>197</v>
      </c>
      <c r="C10" s="14" t="s">
        <v>198</v>
      </c>
      <c r="D10" s="14" t="s">
        <v>803</v>
      </c>
      <c r="E10" s="15" t="n">
        <v>5</v>
      </c>
      <c r="F10" s="14" t="s">
        <v>819</v>
      </c>
      <c r="G10" s="8" t="n">
        <v>9</v>
      </c>
      <c r="H10" s="14" t="s">
        <v>837</v>
      </c>
      <c r="I10" s="14" t="s">
        <v>838</v>
      </c>
      <c r="J10" s="14" t="s">
        <v>839</v>
      </c>
      <c r="K10" s="8" t="n">
        <v>4</v>
      </c>
      <c r="L10" s="8" t="n">
        <v>55</v>
      </c>
      <c r="M10" s="8" t="n">
        <v>7</v>
      </c>
      <c r="N10" s="8" t="n">
        <v>25</v>
      </c>
      <c r="O10" s="8" t="n">
        <v>9</v>
      </c>
      <c r="P10" s="9" t="n">
        <v>46.5494596851845</v>
      </c>
      <c r="Q10" s="10" t="n">
        <v>0.0214825264731971</v>
      </c>
      <c r="R10" s="9" t="n">
        <v>34</v>
      </c>
      <c r="S10" s="11" t="n">
        <f aca="false">IF(AND(ISNUMBER(R10),R10&gt;1,P10&gt;0),R10/P10-1,"")</f>
        <v>-0.269594099911297</v>
      </c>
      <c r="T10" s="9" t="n">
        <f aca="false">IF(AND(ISNUMBER(P10),P10&gt;0),P10*EXP('Read me'!$B$22),"")</f>
        <v>56.85563845035</v>
      </c>
    </row>
    <row r="11" customFormat="false" ht="15" hidden="false" customHeight="false" outlineLevel="0" collapsed="false">
      <c r="A11" s="14" t="s">
        <v>238</v>
      </c>
      <c r="B11" s="14" t="s">
        <v>197</v>
      </c>
      <c r="C11" s="14" t="s">
        <v>239</v>
      </c>
      <c r="D11" s="14" t="s">
        <v>877</v>
      </c>
      <c r="E11" s="15" t="n">
        <v>5</v>
      </c>
      <c r="F11" s="14" t="s">
        <v>819</v>
      </c>
      <c r="G11" s="8" t="n">
        <v>10</v>
      </c>
      <c r="H11" s="14" t="s">
        <v>240</v>
      </c>
      <c r="I11" s="14" t="s">
        <v>200</v>
      </c>
      <c r="J11" s="14" t="s">
        <v>241</v>
      </c>
      <c r="K11" s="8" t="n">
        <v>6</v>
      </c>
      <c r="L11" s="8" t="n">
        <v>70</v>
      </c>
      <c r="M11" s="8" t="n">
        <v>2</v>
      </c>
      <c r="N11" s="8" t="n">
        <v>19</v>
      </c>
      <c r="O11" s="8" t="n">
        <v>1</v>
      </c>
      <c r="P11" s="9" t="n">
        <v>2.31421543300291</v>
      </c>
      <c r="Q11" s="10" t="n">
        <v>0.432111888002754</v>
      </c>
      <c r="R11" s="9" t="n">
        <v>2.875</v>
      </c>
      <c r="S11" s="11" t="n">
        <f aca="false">IF(AND(ISNUMBER(R11),R11&gt;1,P11&gt;0),R11/P11-1,"")</f>
        <v>0.242321678007918</v>
      </c>
      <c r="T11" s="9" t="n">
        <f aca="false">IF(AND(ISNUMBER(P11),P11&gt;0),P11*EXP('Read me'!$B$22),"")</f>
        <v>2.82658911284659</v>
      </c>
    </row>
    <row r="12" customFormat="false" ht="15" hidden="false" customHeight="false" outlineLevel="0" collapsed="false">
      <c r="A12" s="14" t="s">
        <v>238</v>
      </c>
      <c r="B12" s="14" t="s">
        <v>197</v>
      </c>
      <c r="C12" s="14" t="s">
        <v>239</v>
      </c>
      <c r="D12" s="14" t="s">
        <v>877</v>
      </c>
      <c r="E12" s="15" t="n">
        <v>5</v>
      </c>
      <c r="F12" s="14" t="s">
        <v>819</v>
      </c>
      <c r="G12" s="8" t="n">
        <v>10</v>
      </c>
      <c r="H12" s="14" t="s">
        <v>242</v>
      </c>
      <c r="I12" s="14" t="s">
        <v>820</v>
      </c>
      <c r="J12" s="14" t="s">
        <v>692</v>
      </c>
      <c r="K12" s="8" t="n">
        <v>3</v>
      </c>
      <c r="L12" s="8" t="n">
        <v>68</v>
      </c>
      <c r="M12" s="8" t="n">
        <v>2</v>
      </c>
      <c r="N12" s="8" t="n">
        <v>37</v>
      </c>
      <c r="O12" s="8" t="n">
        <v>2</v>
      </c>
      <c r="P12" s="9" t="n">
        <v>5.82025846048623</v>
      </c>
      <c r="Q12" s="10" t="n">
        <v>0.171813675765261</v>
      </c>
      <c r="R12" s="9" t="n">
        <v>4.5</v>
      </c>
      <c r="S12" s="11" t="n">
        <f aca="false">IF(AND(ISNUMBER(R12),R12&gt;1,P12&gt;0),R12/P12-1,"")</f>
        <v>-0.226838459056325</v>
      </c>
      <c r="T12" s="9" t="n">
        <f aca="false">IF(AND(ISNUMBER(P12),P12&gt;0),P12*EXP('Read me'!$B$22),"")</f>
        <v>7.10887973684295</v>
      </c>
    </row>
    <row r="13" customFormat="false" ht="15" hidden="false" customHeight="false" outlineLevel="0" collapsed="false">
      <c r="A13" s="14" t="s">
        <v>238</v>
      </c>
      <c r="B13" s="14" t="s">
        <v>197</v>
      </c>
      <c r="C13" s="14" t="s">
        <v>239</v>
      </c>
      <c r="D13" s="14" t="s">
        <v>877</v>
      </c>
      <c r="E13" s="15" t="n">
        <v>5</v>
      </c>
      <c r="F13" s="14" t="s">
        <v>819</v>
      </c>
      <c r="G13" s="8" t="n">
        <v>10</v>
      </c>
      <c r="H13" s="14" t="s">
        <v>953</v>
      </c>
      <c r="I13" s="14" t="s">
        <v>306</v>
      </c>
      <c r="J13" s="14" t="s">
        <v>954</v>
      </c>
      <c r="K13" s="8" t="n">
        <v>7</v>
      </c>
      <c r="L13" s="8" t="n">
        <v>69</v>
      </c>
      <c r="M13" s="8" t="n">
        <v>2</v>
      </c>
      <c r="N13" s="8" t="n">
        <v>10</v>
      </c>
      <c r="O13" s="8" t="n">
        <v>3</v>
      </c>
      <c r="P13" s="9" t="n">
        <v>7.5572084010296</v>
      </c>
      <c r="Q13" s="10" t="n">
        <v>0.132323994117161</v>
      </c>
      <c r="R13" s="9" t="n">
        <v>6.5</v>
      </c>
      <c r="S13" s="11" t="n">
        <f aca="false">IF(AND(ISNUMBER(R13),R13&gt;1,P13&gt;0),R13/P13-1,"")</f>
        <v>-0.139894038238453</v>
      </c>
      <c r="T13" s="9" t="n">
        <f aca="false">IF(AND(ISNUMBER(P13),P13&gt;0),P13*EXP('Read me'!$B$22),"")</f>
        <v>9.23039518500876</v>
      </c>
    </row>
    <row r="14" customFormat="false" ht="15" hidden="false" customHeight="false" outlineLevel="0" collapsed="false">
      <c r="A14" s="14" t="s">
        <v>238</v>
      </c>
      <c r="B14" s="14" t="s">
        <v>197</v>
      </c>
      <c r="C14" s="14" t="s">
        <v>239</v>
      </c>
      <c r="D14" s="14" t="s">
        <v>877</v>
      </c>
      <c r="E14" s="15" t="n">
        <v>5</v>
      </c>
      <c r="F14" s="14" t="s">
        <v>819</v>
      </c>
      <c r="G14" s="8" t="n">
        <v>10</v>
      </c>
      <c r="H14" s="14" t="s">
        <v>955</v>
      </c>
      <c r="I14" s="14" t="s">
        <v>956</v>
      </c>
      <c r="J14" s="14" t="s">
        <v>456</v>
      </c>
      <c r="K14" s="8" t="n">
        <v>8</v>
      </c>
      <c r="L14" s="8" t="n">
        <v>72</v>
      </c>
      <c r="M14" s="8" t="n">
        <v>2</v>
      </c>
      <c r="N14" s="8" t="n">
        <v>31</v>
      </c>
      <c r="O14" s="8" t="n">
        <v>4</v>
      </c>
      <c r="P14" s="9" t="n">
        <v>10.198812216014</v>
      </c>
      <c r="Q14" s="10" t="n">
        <v>0.0980506336247491</v>
      </c>
      <c r="R14" s="9" t="n">
        <v>6.5</v>
      </c>
      <c r="S14" s="11" t="n">
        <f aca="false">IF(AND(ISNUMBER(R14),R14&gt;1,P14&gt;0),R14/P14-1,"")</f>
        <v>-0.362670881439131</v>
      </c>
      <c r="T14" s="9" t="n">
        <f aca="false">IF(AND(ISNUMBER(P14),P14&gt;0),P14*EXP('Read me'!$B$22),"")</f>
        <v>12.4568573705971</v>
      </c>
    </row>
    <row r="15" customFormat="false" ht="15" hidden="false" customHeight="false" outlineLevel="0" collapsed="false">
      <c r="A15" s="14" t="s">
        <v>238</v>
      </c>
      <c r="B15" s="14" t="s">
        <v>197</v>
      </c>
      <c r="C15" s="14" t="s">
        <v>239</v>
      </c>
      <c r="D15" s="14" t="s">
        <v>877</v>
      </c>
      <c r="E15" s="15" t="n">
        <v>5</v>
      </c>
      <c r="F15" s="14" t="s">
        <v>819</v>
      </c>
      <c r="G15" s="8" t="n">
        <v>10</v>
      </c>
      <c r="H15" s="14" t="s">
        <v>957</v>
      </c>
      <c r="I15" s="14" t="s">
        <v>822</v>
      </c>
      <c r="J15" s="14" t="s">
        <v>655</v>
      </c>
      <c r="K15" s="8" t="n">
        <v>4</v>
      </c>
      <c r="L15" s="8" t="n">
        <v>70</v>
      </c>
      <c r="M15" s="8" t="n">
        <v>2</v>
      </c>
      <c r="N15" s="8" t="n">
        <v>7</v>
      </c>
      <c r="O15" s="8" t="n">
        <v>5</v>
      </c>
      <c r="P15" s="9" t="n">
        <v>13.2459855903363</v>
      </c>
      <c r="Q15" s="10" t="n">
        <v>0.0754945710290943</v>
      </c>
      <c r="R15" s="9" t="n">
        <v>8.5</v>
      </c>
      <c r="S15" s="11" t="n">
        <f aca="false">IF(AND(ISNUMBER(R15),R15&gt;1,P15&gt;0),R15/P15-1,"")</f>
        <v>-0.358296146252698</v>
      </c>
      <c r="T15" s="9" t="n">
        <f aca="false">IF(AND(ISNUMBER(P15),P15&gt;0),P15*EXP('Read me'!$B$22),"")</f>
        <v>16.1786833345866</v>
      </c>
    </row>
    <row r="16" customFormat="false" ht="15" hidden="false" customHeight="false" outlineLevel="0" collapsed="false">
      <c r="A16" s="14" t="s">
        <v>238</v>
      </c>
      <c r="B16" s="14" t="s">
        <v>197</v>
      </c>
      <c r="C16" s="14" t="s">
        <v>239</v>
      </c>
      <c r="D16" s="14" t="s">
        <v>877</v>
      </c>
      <c r="E16" s="15" t="n">
        <v>5</v>
      </c>
      <c r="F16" s="14" t="s">
        <v>819</v>
      </c>
      <c r="G16" s="8" t="n">
        <v>10</v>
      </c>
      <c r="H16" s="14" t="s">
        <v>958</v>
      </c>
      <c r="I16" s="14" t="s">
        <v>959</v>
      </c>
      <c r="J16" s="14" t="s">
        <v>67</v>
      </c>
      <c r="K16" s="8" t="n">
        <v>1</v>
      </c>
      <c r="L16" s="8" t="n">
        <v>0</v>
      </c>
      <c r="M16" s="8" t="n">
        <v>2</v>
      </c>
      <c r="N16" s="8"/>
      <c r="O16" s="8" t="n">
        <v>6</v>
      </c>
      <c r="P16" s="9" t="n">
        <v>26.1469617869335</v>
      </c>
      <c r="Q16" s="10" t="n">
        <v>0.0382453612832268</v>
      </c>
      <c r="R16" s="9" t="n">
        <v>13</v>
      </c>
      <c r="S16" s="11" t="n">
        <f aca="false">IF(AND(ISNUMBER(R16),R16&gt;1,P16&gt;0),R16/P16-1,"")</f>
        <v>-0.502810303318051</v>
      </c>
      <c r="T16" s="9" t="n">
        <f aca="false">IF(AND(ISNUMBER(P16),P16&gt;0),P16*EXP('Read me'!$B$22),"")</f>
        <v>31.9359712440692</v>
      </c>
    </row>
    <row r="17" customFormat="false" ht="15" hidden="false" customHeight="false" outlineLevel="0" collapsed="false">
      <c r="A17" s="14" t="s">
        <v>238</v>
      </c>
      <c r="B17" s="14" t="s">
        <v>197</v>
      </c>
      <c r="C17" s="14" t="s">
        <v>239</v>
      </c>
      <c r="D17" s="14" t="s">
        <v>877</v>
      </c>
      <c r="E17" s="15" t="n">
        <v>5</v>
      </c>
      <c r="F17" s="14" t="s">
        <v>819</v>
      </c>
      <c r="G17" s="8" t="n">
        <v>10</v>
      </c>
      <c r="H17" s="14" t="s">
        <v>960</v>
      </c>
      <c r="I17" s="14" t="s">
        <v>961</v>
      </c>
      <c r="J17" s="14" t="s">
        <v>480</v>
      </c>
      <c r="K17" s="8" t="n">
        <v>5</v>
      </c>
      <c r="L17" s="8" t="n">
        <v>0</v>
      </c>
      <c r="M17" s="8" t="n">
        <v>2</v>
      </c>
      <c r="N17" s="8" t="n">
        <v>5</v>
      </c>
      <c r="O17" s="8" t="n">
        <v>7</v>
      </c>
      <c r="P17" s="9" t="n">
        <v>31.2649109824003</v>
      </c>
      <c r="Q17" s="10" t="n">
        <v>0.0319847384360992</v>
      </c>
      <c r="R17" s="9" t="n">
        <v>17</v>
      </c>
      <c r="S17" s="11" t="n">
        <f aca="false">IF(AND(ISNUMBER(R17),R17&gt;1,P17&gt;0),R17/P17-1,"")</f>
        <v>-0.456259446586313</v>
      </c>
      <c r="T17" s="9" t="n">
        <f aca="false">IF(AND(ISNUMBER(P17),P17&gt;0),P17*EXP('Read me'!$B$22),"")</f>
        <v>38.1870485075359</v>
      </c>
    </row>
    <row r="18" customFormat="false" ht="15" hidden="false" customHeight="false" outlineLevel="0" collapsed="false">
      <c r="A18" s="14" t="s">
        <v>238</v>
      </c>
      <c r="B18" s="14" t="s">
        <v>197</v>
      </c>
      <c r="C18" s="14" t="s">
        <v>239</v>
      </c>
      <c r="D18" s="14" t="s">
        <v>877</v>
      </c>
      <c r="E18" s="15" t="n">
        <v>5</v>
      </c>
      <c r="F18" s="14" t="s">
        <v>819</v>
      </c>
      <c r="G18" s="8" t="n">
        <v>10</v>
      </c>
      <c r="H18" s="14" t="s">
        <v>962</v>
      </c>
      <c r="I18" s="14" t="s">
        <v>963</v>
      </c>
      <c r="J18" s="14" t="s">
        <v>964</v>
      </c>
      <c r="K18" s="8" t="n">
        <v>9</v>
      </c>
      <c r="L18" s="8" t="n">
        <v>0</v>
      </c>
      <c r="M18" s="8" t="n">
        <v>2</v>
      </c>
      <c r="N18" s="8" t="n">
        <v>11</v>
      </c>
      <c r="O18" s="8" t="n">
        <v>8</v>
      </c>
      <c r="P18" s="9" t="n">
        <v>60.8617312169326</v>
      </c>
      <c r="Q18" s="10" t="n">
        <v>0.0164306860814663</v>
      </c>
      <c r="R18" s="9" t="n">
        <v>26</v>
      </c>
      <c r="S18" s="11" t="n">
        <f aca="false">IF(AND(ISNUMBER(R18),R18&gt;1,P18&gt;0),R18/P18-1,"")</f>
        <v>-0.572802161881875</v>
      </c>
      <c r="T18" s="9" t="n">
        <f aca="false">IF(AND(ISNUMBER(P18),P18&gt;0),P18*EXP('Read me'!$B$22),"")</f>
        <v>74.3366863747644</v>
      </c>
    </row>
    <row r="19" customFormat="false" ht="15" hidden="false" customHeight="false" outlineLevel="0" collapsed="false">
      <c r="A19" s="14" t="s">
        <v>238</v>
      </c>
      <c r="B19" s="14" t="s">
        <v>197</v>
      </c>
      <c r="C19" s="14" t="s">
        <v>239</v>
      </c>
      <c r="D19" s="14" t="s">
        <v>877</v>
      </c>
      <c r="E19" s="15" t="n">
        <v>5</v>
      </c>
      <c r="F19" s="14" t="s">
        <v>819</v>
      </c>
      <c r="G19" s="8" t="n">
        <v>10</v>
      </c>
      <c r="H19" s="14" t="s">
        <v>965</v>
      </c>
      <c r="I19" s="14" t="s">
        <v>966</v>
      </c>
      <c r="J19" s="14" t="s">
        <v>67</v>
      </c>
      <c r="K19" s="8" t="n">
        <v>10</v>
      </c>
      <c r="L19" s="8" t="n">
        <v>0</v>
      </c>
      <c r="M19" s="8" t="n">
        <v>2</v>
      </c>
      <c r="N19" s="8" t="n">
        <v>11</v>
      </c>
      <c r="O19" s="8" t="n">
        <v>9</v>
      </c>
      <c r="P19" s="9" t="n">
        <v>404.063417887461</v>
      </c>
      <c r="Q19" s="10" t="n">
        <v>0.0024748590338324</v>
      </c>
      <c r="R19" s="9" t="n">
        <v>67</v>
      </c>
      <c r="S19" s="11" t="n">
        <f aca="false">IF(AND(ISNUMBER(R19),R19&gt;1,P19&gt;0),R19/P19-1,"")</f>
        <v>-0.834184444733226</v>
      </c>
      <c r="T19" s="9" t="n">
        <f aca="false">IF(AND(ISNUMBER(P19),P19&gt;0),P19*EXP('Read me'!$B$22),"")</f>
        <v>493.52417307937</v>
      </c>
    </row>
    <row r="20" customFormat="false" ht="15" hidden="false" customHeight="false" outlineLevel="0" collapsed="false">
      <c r="A20" s="14" t="s">
        <v>238</v>
      </c>
      <c r="B20" s="14" t="s">
        <v>197</v>
      </c>
      <c r="C20" s="14" t="s">
        <v>239</v>
      </c>
      <c r="D20" s="14" t="s">
        <v>877</v>
      </c>
      <c r="E20" s="15" t="n">
        <v>5</v>
      </c>
      <c r="F20" s="14" t="s">
        <v>819</v>
      </c>
      <c r="G20" s="8" t="n">
        <v>10</v>
      </c>
      <c r="H20" s="14" t="s">
        <v>967</v>
      </c>
      <c r="I20" s="14" t="s">
        <v>968</v>
      </c>
      <c r="J20" s="14" t="s">
        <v>207</v>
      </c>
      <c r="K20" s="8" t="n">
        <v>2</v>
      </c>
      <c r="L20" s="8" t="n">
        <v>0</v>
      </c>
      <c r="M20" s="8" t="n">
        <v>2</v>
      </c>
      <c r="N20" s="8" t="n">
        <v>24</v>
      </c>
      <c r="O20" s="8" t="n">
        <v>10</v>
      </c>
      <c r="P20" s="9" t="n">
        <v>934.935390689433</v>
      </c>
      <c r="Q20" s="10" t="n">
        <v>0.0010695926263552</v>
      </c>
      <c r="R20" s="9" t="n">
        <v>101</v>
      </c>
      <c r="S20" s="11" t="n">
        <f aca="false">IF(AND(ISNUMBER(R20),R20&gt;1,P20&gt;0),R20/P20-1,"")</f>
        <v>-0.891971144738118</v>
      </c>
      <c r="T20" s="9" t="n">
        <f aca="false">IF(AND(ISNUMBER(P20),P20&gt;0),P20*EXP('Read me'!$B$22),"")</f>
        <v>1141.93266488963</v>
      </c>
    </row>
    <row r="21" customFormat="false" ht="15" hidden="false" customHeight="false" outlineLevel="0" collapsed="false">
      <c r="A21" s="14" t="s">
        <v>275</v>
      </c>
      <c r="B21" s="14" t="s">
        <v>197</v>
      </c>
      <c r="C21" s="14" t="s">
        <v>276</v>
      </c>
      <c r="D21" s="14" t="s">
        <v>436</v>
      </c>
      <c r="E21" s="15" t="n">
        <v>5</v>
      </c>
      <c r="F21" s="14" t="s">
        <v>819</v>
      </c>
      <c r="G21" s="8" t="n">
        <v>10</v>
      </c>
      <c r="H21" s="14" t="s">
        <v>277</v>
      </c>
      <c r="I21" s="14" t="s">
        <v>278</v>
      </c>
      <c r="J21" s="14" t="s">
        <v>279</v>
      </c>
      <c r="K21" s="8" t="n">
        <v>10</v>
      </c>
      <c r="L21" s="8" t="n">
        <v>84</v>
      </c>
      <c r="M21" s="8" t="n">
        <v>4</v>
      </c>
      <c r="N21" s="8" t="n">
        <v>23</v>
      </c>
      <c r="O21" s="8" t="n">
        <v>1</v>
      </c>
      <c r="P21" s="9" t="n">
        <v>3.52310281748753</v>
      </c>
      <c r="Q21" s="10" t="n">
        <v>0.283840708547116</v>
      </c>
      <c r="R21" s="9" t="n">
        <v>2.625</v>
      </c>
      <c r="S21" s="11" t="n">
        <f aca="false">IF(AND(ISNUMBER(R21),R21&gt;1,P21&gt;0),R21/P21-1,"")</f>
        <v>-0.254918140063822</v>
      </c>
      <c r="T21" s="9" t="n">
        <f aca="false">IF(AND(ISNUMBER(P21),P21&gt;0),P21*EXP('Read me'!$B$22),"")</f>
        <v>4.30312749856114</v>
      </c>
    </row>
    <row r="22" customFormat="false" ht="15" hidden="false" customHeight="false" outlineLevel="0" collapsed="false">
      <c r="A22" s="14" t="s">
        <v>275</v>
      </c>
      <c r="B22" s="14" t="s">
        <v>197</v>
      </c>
      <c r="C22" s="14" t="s">
        <v>276</v>
      </c>
      <c r="D22" s="14" t="s">
        <v>436</v>
      </c>
      <c r="E22" s="15" t="n">
        <v>5</v>
      </c>
      <c r="F22" s="14" t="s">
        <v>819</v>
      </c>
      <c r="G22" s="8" t="n">
        <v>10</v>
      </c>
      <c r="H22" s="14" t="s">
        <v>280</v>
      </c>
      <c r="I22" s="14" t="s">
        <v>306</v>
      </c>
      <c r="J22" s="14" t="s">
        <v>127</v>
      </c>
      <c r="K22" s="8" t="n">
        <v>9</v>
      </c>
      <c r="L22" s="8" t="n">
        <v>86</v>
      </c>
      <c r="M22" s="8" t="n">
        <v>4</v>
      </c>
      <c r="N22" s="8" t="n">
        <v>38</v>
      </c>
      <c r="O22" s="8" t="n">
        <v>2</v>
      </c>
      <c r="P22" s="9" t="n">
        <v>4.70530492906764</v>
      </c>
      <c r="Q22" s="10" t="n">
        <v>0.212526077496565</v>
      </c>
      <c r="R22" s="9" t="n">
        <v>5.5</v>
      </c>
      <c r="S22" s="11" t="n">
        <f aca="false">IF(AND(ISNUMBER(R22),R22&gt;1,P22&gt;0),R22/P22-1,"")</f>
        <v>0.168893426231109</v>
      </c>
      <c r="T22" s="9" t="n">
        <f aca="false">IF(AND(ISNUMBER(P22),P22&gt;0),P22*EXP('Read me'!$B$22),"")</f>
        <v>5.74707241834786</v>
      </c>
    </row>
    <row r="23" customFormat="false" ht="15" hidden="false" customHeight="false" outlineLevel="0" collapsed="false">
      <c r="A23" s="14" t="s">
        <v>275</v>
      </c>
      <c r="B23" s="14" t="s">
        <v>197</v>
      </c>
      <c r="C23" s="14" t="s">
        <v>276</v>
      </c>
      <c r="D23" s="14" t="s">
        <v>436</v>
      </c>
      <c r="E23" s="15" t="n">
        <v>5</v>
      </c>
      <c r="F23" s="14" t="s">
        <v>819</v>
      </c>
      <c r="G23" s="8" t="n">
        <v>10</v>
      </c>
      <c r="H23" s="14" t="s">
        <v>1078</v>
      </c>
      <c r="I23" s="14" t="s">
        <v>833</v>
      </c>
      <c r="J23" s="14" t="s">
        <v>453</v>
      </c>
      <c r="K23" s="8" t="n">
        <v>4</v>
      </c>
      <c r="L23" s="8" t="n">
        <v>82</v>
      </c>
      <c r="M23" s="8" t="n">
        <v>6</v>
      </c>
      <c r="N23" s="8" t="n">
        <v>13</v>
      </c>
      <c r="O23" s="8" t="n">
        <v>3</v>
      </c>
      <c r="P23" s="9" t="n">
        <v>6.84333750569688</v>
      </c>
      <c r="Q23" s="10" t="n">
        <v>0.146127529026229</v>
      </c>
      <c r="R23" s="9" t="n">
        <v>5.5</v>
      </c>
      <c r="S23" s="11" t="n">
        <f aca="false">IF(AND(ISNUMBER(R23),R23&gt;1,P23&gt;0),R23/P23-1,"")</f>
        <v>-0.196298590355743</v>
      </c>
      <c r="T23" s="9" t="n">
        <f aca="false">IF(AND(ISNUMBER(P23),P23&gt;0),P23*EXP('Read me'!$B$22),"")</f>
        <v>8.35847130447911</v>
      </c>
    </row>
    <row r="24" customFormat="false" ht="15" hidden="false" customHeight="false" outlineLevel="0" collapsed="false">
      <c r="A24" s="14" t="s">
        <v>275</v>
      </c>
      <c r="B24" s="14" t="s">
        <v>197</v>
      </c>
      <c r="C24" s="14" t="s">
        <v>276</v>
      </c>
      <c r="D24" s="14" t="s">
        <v>436</v>
      </c>
      <c r="E24" s="15" t="n">
        <v>5</v>
      </c>
      <c r="F24" s="14" t="s">
        <v>819</v>
      </c>
      <c r="G24" s="8" t="n">
        <v>10</v>
      </c>
      <c r="H24" s="14" t="s">
        <v>1079</v>
      </c>
      <c r="I24" s="14" t="s">
        <v>830</v>
      </c>
      <c r="J24" s="14" t="s">
        <v>625</v>
      </c>
      <c r="K24" s="8" t="n">
        <v>1</v>
      </c>
      <c r="L24" s="8" t="n">
        <v>84</v>
      </c>
      <c r="M24" s="8" t="n">
        <v>7</v>
      </c>
      <c r="N24" s="8" t="n">
        <v>49</v>
      </c>
      <c r="O24" s="8" t="n">
        <v>4</v>
      </c>
      <c r="P24" s="9" t="n">
        <v>8.93125495694302</v>
      </c>
      <c r="Q24" s="10" t="n">
        <v>0.111966347934409</v>
      </c>
      <c r="R24" s="9" t="n">
        <v>7.5</v>
      </c>
      <c r="S24" s="11" t="n">
        <f aca="false">IF(AND(ISNUMBER(R24),R24&gt;1,P24&gt;0),R24/P24-1,"")</f>
        <v>-0.16025239049193</v>
      </c>
      <c r="T24" s="9" t="n">
        <f aca="false">IF(AND(ISNUMBER(P24),P24&gt;0),P24*EXP('Read me'!$B$22),"")</f>
        <v>10.9086594382419</v>
      </c>
    </row>
    <row r="25" customFormat="false" ht="15" hidden="false" customHeight="false" outlineLevel="0" collapsed="false">
      <c r="A25" s="14" t="s">
        <v>275</v>
      </c>
      <c r="B25" s="14" t="s">
        <v>197</v>
      </c>
      <c r="C25" s="14" t="s">
        <v>276</v>
      </c>
      <c r="D25" s="14" t="s">
        <v>436</v>
      </c>
      <c r="E25" s="15" t="n">
        <v>5</v>
      </c>
      <c r="F25" s="14" t="s">
        <v>819</v>
      </c>
      <c r="G25" s="8" t="n">
        <v>10</v>
      </c>
      <c r="H25" s="14" t="s">
        <v>1080</v>
      </c>
      <c r="I25" s="14" t="s">
        <v>1081</v>
      </c>
      <c r="J25" s="14" t="s">
        <v>201</v>
      </c>
      <c r="K25" s="8" t="n">
        <v>2</v>
      </c>
      <c r="L25" s="8" t="n">
        <v>76</v>
      </c>
      <c r="M25" s="8" t="n">
        <v>9</v>
      </c>
      <c r="N25" s="8" t="n">
        <v>35</v>
      </c>
      <c r="O25" s="8" t="n">
        <v>5</v>
      </c>
      <c r="P25" s="9" t="n">
        <v>13.7443653492664</v>
      </c>
      <c r="Q25" s="10" t="n">
        <v>0.0727570880566975</v>
      </c>
      <c r="R25" s="9" t="n">
        <v>10</v>
      </c>
      <c r="S25" s="11" t="n">
        <f aca="false">IF(AND(ISNUMBER(R25),R25&gt;1,P25&gt;0),R25/P25-1,"")</f>
        <v>-0.272429119433025</v>
      </c>
      <c r="T25" s="9" t="n">
        <f aca="false">IF(AND(ISNUMBER(P25),P25&gt;0),P25*EXP('Read me'!$B$22),"")</f>
        <v>16.7874057467551</v>
      </c>
    </row>
    <row r="26" customFormat="false" ht="15" hidden="false" customHeight="false" outlineLevel="0" collapsed="false">
      <c r="A26" s="14" t="s">
        <v>275</v>
      </c>
      <c r="B26" s="14" t="s">
        <v>197</v>
      </c>
      <c r="C26" s="14" t="s">
        <v>276</v>
      </c>
      <c r="D26" s="14" t="s">
        <v>436</v>
      </c>
      <c r="E26" s="15" t="n">
        <v>5</v>
      </c>
      <c r="F26" s="14" t="s">
        <v>819</v>
      </c>
      <c r="G26" s="8" t="n">
        <v>10</v>
      </c>
      <c r="H26" s="14" t="s">
        <v>1082</v>
      </c>
      <c r="I26" s="14" t="s">
        <v>1083</v>
      </c>
      <c r="J26" s="14" t="s">
        <v>247</v>
      </c>
      <c r="K26" s="8" t="n">
        <v>8</v>
      </c>
      <c r="L26" s="8" t="n">
        <v>86</v>
      </c>
      <c r="M26" s="8" t="n">
        <v>3</v>
      </c>
      <c r="N26" s="8" t="n">
        <v>63</v>
      </c>
      <c r="O26" s="8" t="n">
        <v>6</v>
      </c>
      <c r="P26" s="9" t="n">
        <v>17.4969288579762</v>
      </c>
      <c r="Q26" s="10" t="n">
        <v>0.0571528871219099</v>
      </c>
      <c r="R26" s="9" t="n">
        <v>10</v>
      </c>
      <c r="S26" s="11" t="n">
        <f aca="false">IF(AND(ISNUMBER(R26),R26&gt;1,P26&gt;0),R26/P26-1,"")</f>
        <v>-0.428471128780901</v>
      </c>
      <c r="T26" s="9" t="n">
        <f aca="false">IF(AND(ISNUMBER(P26),P26&gt;0),P26*EXP('Read me'!$B$22),"")</f>
        <v>21.3707971664644</v>
      </c>
    </row>
    <row r="27" customFormat="false" ht="15" hidden="false" customHeight="false" outlineLevel="0" collapsed="false">
      <c r="A27" s="14" t="s">
        <v>275</v>
      </c>
      <c r="B27" s="14" t="s">
        <v>197</v>
      </c>
      <c r="C27" s="14" t="s">
        <v>276</v>
      </c>
      <c r="D27" s="14" t="s">
        <v>436</v>
      </c>
      <c r="E27" s="15" t="n">
        <v>5</v>
      </c>
      <c r="F27" s="14" t="s">
        <v>819</v>
      </c>
      <c r="G27" s="8" t="n">
        <v>10</v>
      </c>
      <c r="H27" s="14" t="s">
        <v>1084</v>
      </c>
      <c r="I27" s="14" t="s">
        <v>1085</v>
      </c>
      <c r="J27" s="14" t="s">
        <v>188</v>
      </c>
      <c r="K27" s="8" t="n">
        <v>7</v>
      </c>
      <c r="L27" s="8" t="n">
        <v>80</v>
      </c>
      <c r="M27" s="8" t="n">
        <v>3</v>
      </c>
      <c r="N27" s="8" t="n">
        <v>7</v>
      </c>
      <c r="O27" s="8" t="n">
        <v>7</v>
      </c>
      <c r="P27" s="9" t="n">
        <v>20.899199255321</v>
      </c>
      <c r="Q27" s="10" t="n">
        <v>0.0478487231871048</v>
      </c>
      <c r="R27" s="9" t="n">
        <v>29</v>
      </c>
      <c r="S27" s="11" t="n">
        <f aca="false">IF(AND(ISNUMBER(R27),R27&gt;1,P27&gt;0),R27/P27-1,"")</f>
        <v>0.387612972426041</v>
      </c>
      <c r="T27" s="9" t="n">
        <f aca="false">IF(AND(ISNUMBER(P27),P27&gt;0),P27*EXP('Read me'!$B$22),"")</f>
        <v>25.526339613788</v>
      </c>
    </row>
    <row r="28" customFormat="false" ht="15" hidden="false" customHeight="false" outlineLevel="0" collapsed="false">
      <c r="A28" s="14" t="s">
        <v>275</v>
      </c>
      <c r="B28" s="14" t="s">
        <v>197</v>
      </c>
      <c r="C28" s="14" t="s">
        <v>276</v>
      </c>
      <c r="D28" s="14" t="s">
        <v>436</v>
      </c>
      <c r="E28" s="15" t="n">
        <v>5</v>
      </c>
      <c r="F28" s="14" t="s">
        <v>819</v>
      </c>
      <c r="G28" s="8" t="n">
        <v>10</v>
      </c>
      <c r="H28" s="14" t="s">
        <v>1086</v>
      </c>
      <c r="I28" s="14" t="s">
        <v>1087</v>
      </c>
      <c r="J28" s="14" t="s">
        <v>1088</v>
      </c>
      <c r="K28" s="8" t="n">
        <v>3</v>
      </c>
      <c r="L28" s="8" t="n">
        <v>87</v>
      </c>
      <c r="M28" s="8" t="n">
        <v>4</v>
      </c>
      <c r="N28" s="8" t="n">
        <v>14</v>
      </c>
      <c r="O28" s="8" t="n">
        <v>8</v>
      </c>
      <c r="P28" s="9" t="n">
        <v>30.9895108076775</v>
      </c>
      <c r="Q28" s="10" t="n">
        <v>0.0322689830828905</v>
      </c>
      <c r="R28" s="9" t="n">
        <v>34</v>
      </c>
      <c r="S28" s="11" t="n">
        <f aca="false">IF(AND(ISNUMBER(R28),R28&gt;1,P28&gt;0),R28/P28-1,"")</f>
        <v>0.097145424818279</v>
      </c>
      <c r="T28" s="9" t="n">
        <f aca="false">IF(AND(ISNUMBER(P28),P28&gt;0),P28*EXP('Read me'!$B$22),"")</f>
        <v>37.8506739745317</v>
      </c>
    </row>
    <row r="29" customFormat="false" ht="15" hidden="false" customHeight="false" outlineLevel="0" collapsed="false">
      <c r="A29" s="14" t="s">
        <v>275</v>
      </c>
      <c r="B29" s="14" t="s">
        <v>197</v>
      </c>
      <c r="C29" s="14" t="s">
        <v>276</v>
      </c>
      <c r="D29" s="14" t="s">
        <v>436</v>
      </c>
      <c r="E29" s="15" t="n">
        <v>5</v>
      </c>
      <c r="F29" s="14" t="s">
        <v>819</v>
      </c>
      <c r="G29" s="8" t="n">
        <v>10</v>
      </c>
      <c r="H29" s="14" t="s">
        <v>1089</v>
      </c>
      <c r="I29" s="14" t="s">
        <v>343</v>
      </c>
      <c r="J29" s="14" t="s">
        <v>1090</v>
      </c>
      <c r="K29" s="8" t="n">
        <v>5</v>
      </c>
      <c r="L29" s="8" t="n">
        <v>81</v>
      </c>
      <c r="M29" s="8" t="n">
        <v>3</v>
      </c>
      <c r="N29" s="8" t="n">
        <v>98</v>
      </c>
      <c r="O29" s="8" t="n">
        <v>9</v>
      </c>
      <c r="P29" s="9" t="n">
        <v>52.2752716873193</v>
      </c>
      <c r="Q29" s="10" t="n">
        <v>0.0191295036395301</v>
      </c>
      <c r="R29" s="9" t="n">
        <v>51</v>
      </c>
      <c r="S29" s="11" t="n">
        <f aca="false">IF(AND(ISNUMBER(R29),R29&gt;1,P29&gt;0),R29/P29-1,"")</f>
        <v>-0.0243953143839633</v>
      </c>
      <c r="T29" s="9" t="n">
        <f aca="false">IF(AND(ISNUMBER(P29),P29&gt;0),P29*EXP('Read me'!$B$22),"")</f>
        <v>63.849161022464</v>
      </c>
    </row>
    <row r="30" customFormat="false" ht="15" hidden="false" customHeight="false" outlineLevel="0" collapsed="false">
      <c r="A30" s="14" t="s">
        <v>275</v>
      </c>
      <c r="B30" s="14" t="s">
        <v>197</v>
      </c>
      <c r="C30" s="14" t="s">
        <v>276</v>
      </c>
      <c r="D30" s="14" t="s">
        <v>436</v>
      </c>
      <c r="E30" s="15" t="n">
        <v>5</v>
      </c>
      <c r="F30" s="14" t="s">
        <v>819</v>
      </c>
      <c r="G30" s="8" t="n">
        <v>10</v>
      </c>
      <c r="H30" s="14" t="s">
        <v>1091</v>
      </c>
      <c r="I30" s="14" t="s">
        <v>1092</v>
      </c>
      <c r="J30" s="14" t="s">
        <v>1093</v>
      </c>
      <c r="K30" s="8" t="n">
        <v>6</v>
      </c>
      <c r="L30" s="8" t="n">
        <v>83</v>
      </c>
      <c r="M30" s="8" t="n">
        <v>8</v>
      </c>
      <c r="N30" s="8" t="n">
        <v>364</v>
      </c>
      <c r="O30" s="8" t="n">
        <v>10</v>
      </c>
      <c r="P30" s="9" t="n">
        <v>61.0420417075509</v>
      </c>
      <c r="Q30" s="10" t="n">
        <v>0.0163821519075483</v>
      </c>
      <c r="R30" s="9" t="n">
        <v>34</v>
      </c>
      <c r="S30" s="11" t="n">
        <f aca="false">IF(AND(ISNUMBER(R30),R30&gt;1,P30&gt;0),R30/P30-1,"")</f>
        <v>-0.443006835143357</v>
      </c>
      <c r="T30" s="9" t="n">
        <f aca="false">IF(AND(ISNUMBER(P30),P30&gt;0),P30*EXP('Read me'!$B$22),"")</f>
        <v>74.5569181053308</v>
      </c>
    </row>
    <row r="31" customFormat="false" ht="15" hidden="false" customHeight="false" outlineLevel="0" collapsed="false">
      <c r="A31" s="14" t="s">
        <v>303</v>
      </c>
      <c r="B31" s="14" t="s">
        <v>197</v>
      </c>
      <c r="C31" s="14" t="s">
        <v>304</v>
      </c>
      <c r="D31" s="14" t="s">
        <v>436</v>
      </c>
      <c r="E31" s="15" t="n">
        <v>5</v>
      </c>
      <c r="F31" s="14" t="s">
        <v>819</v>
      </c>
      <c r="G31" s="8" t="n">
        <v>9</v>
      </c>
      <c r="H31" s="14" t="s">
        <v>305</v>
      </c>
      <c r="I31" s="14" t="s">
        <v>306</v>
      </c>
      <c r="J31" s="14" t="s">
        <v>307</v>
      </c>
      <c r="K31" s="8" t="n">
        <v>9</v>
      </c>
      <c r="L31" s="8" t="n">
        <v>83</v>
      </c>
      <c r="M31" s="8" t="n">
        <v>3</v>
      </c>
      <c r="N31" s="8" t="n">
        <v>13</v>
      </c>
      <c r="O31" s="8" t="n">
        <v>1</v>
      </c>
      <c r="P31" s="9" t="n">
        <v>3.31822413341024</v>
      </c>
      <c r="Q31" s="10" t="n">
        <v>0.301366019833105</v>
      </c>
      <c r="R31" s="9" t="n">
        <v>2.5</v>
      </c>
      <c r="S31" s="11" t="n">
        <f aca="false">IF(AND(ISNUMBER(R31),R31&gt;1,P31&gt;0),R31/P31-1,"")</f>
        <v>-0.246584950417236</v>
      </c>
      <c r="T31" s="9" t="n">
        <f aca="false">IF(AND(ISNUMBER(P31),P31&gt;0),P31*EXP('Read me'!$B$22),"")</f>
        <v>4.05288810874091</v>
      </c>
    </row>
    <row r="32" customFormat="false" ht="15" hidden="false" customHeight="false" outlineLevel="0" collapsed="false">
      <c r="A32" s="14" t="s">
        <v>303</v>
      </c>
      <c r="B32" s="14" t="s">
        <v>197</v>
      </c>
      <c r="C32" s="14" t="s">
        <v>304</v>
      </c>
      <c r="D32" s="14" t="s">
        <v>436</v>
      </c>
      <c r="E32" s="15" t="n">
        <v>5</v>
      </c>
      <c r="F32" s="14" t="s">
        <v>819</v>
      </c>
      <c r="G32" s="8" t="n">
        <v>9</v>
      </c>
      <c r="H32" s="14" t="s">
        <v>308</v>
      </c>
      <c r="I32" s="14" t="s">
        <v>822</v>
      </c>
      <c r="J32" s="14" t="s">
        <v>805</v>
      </c>
      <c r="K32" s="8" t="n">
        <v>4</v>
      </c>
      <c r="L32" s="8" t="n">
        <v>80</v>
      </c>
      <c r="M32" s="8" t="n">
        <v>5</v>
      </c>
      <c r="N32" s="8" t="n">
        <v>13</v>
      </c>
      <c r="O32" s="8" t="n">
        <v>2</v>
      </c>
      <c r="P32" s="9" t="n">
        <v>5.78786943729925</v>
      </c>
      <c r="Q32" s="10" t="n">
        <v>0.172775148236001</v>
      </c>
      <c r="R32" s="9" t="n">
        <v>5</v>
      </c>
      <c r="S32" s="11" t="n">
        <f aca="false">IF(AND(ISNUMBER(R32),R32&gt;1,P32&gt;0),R32/P32-1,"")</f>
        <v>-0.136124258819993</v>
      </c>
      <c r="T32" s="9" t="n">
        <f aca="false">IF(AND(ISNUMBER(P32),P32&gt;0),P32*EXP('Read me'!$B$22),"")</f>
        <v>7.06931969458826</v>
      </c>
    </row>
    <row r="33" customFormat="false" ht="15" hidden="false" customHeight="false" outlineLevel="0" collapsed="false">
      <c r="A33" s="14" t="s">
        <v>303</v>
      </c>
      <c r="B33" s="14" t="s">
        <v>197</v>
      </c>
      <c r="C33" s="14" t="s">
        <v>304</v>
      </c>
      <c r="D33" s="14" t="s">
        <v>436</v>
      </c>
      <c r="E33" s="15" t="n">
        <v>5</v>
      </c>
      <c r="F33" s="14" t="s">
        <v>819</v>
      </c>
      <c r="G33" s="8" t="n">
        <v>9</v>
      </c>
      <c r="H33" s="14" t="s">
        <v>1162</v>
      </c>
      <c r="I33" s="14" t="s">
        <v>961</v>
      </c>
      <c r="J33" s="14" t="s">
        <v>1090</v>
      </c>
      <c r="K33" s="8" t="n">
        <v>3</v>
      </c>
      <c r="L33" s="8" t="n">
        <v>85</v>
      </c>
      <c r="M33" s="8" t="n">
        <v>5</v>
      </c>
      <c r="N33" s="8" t="n">
        <v>14</v>
      </c>
      <c r="O33" s="8" t="n">
        <v>3</v>
      </c>
      <c r="P33" s="9" t="n">
        <v>7.09278677638299</v>
      </c>
      <c r="Q33" s="10" t="n">
        <v>0.140988307068489</v>
      </c>
      <c r="R33" s="9" t="n">
        <v>5.5</v>
      </c>
      <c r="S33" s="11" t="n">
        <f aca="false">IF(AND(ISNUMBER(R33),R33&gt;1,P33&gt;0),R33/P33-1,"")</f>
        <v>-0.224564311123313</v>
      </c>
      <c r="T33" s="9" t="n">
        <f aca="false">IF(AND(ISNUMBER(P33),P33&gt;0),P33*EXP('Read me'!$B$22),"")</f>
        <v>8.66314933171617</v>
      </c>
    </row>
    <row r="34" customFormat="false" ht="15" hidden="false" customHeight="false" outlineLevel="0" collapsed="false">
      <c r="A34" s="14" t="s">
        <v>303</v>
      </c>
      <c r="B34" s="14" t="s">
        <v>197</v>
      </c>
      <c r="C34" s="14" t="s">
        <v>304</v>
      </c>
      <c r="D34" s="14" t="s">
        <v>436</v>
      </c>
      <c r="E34" s="15" t="n">
        <v>5</v>
      </c>
      <c r="F34" s="14" t="s">
        <v>819</v>
      </c>
      <c r="G34" s="8" t="n">
        <v>9</v>
      </c>
      <c r="H34" s="14" t="s">
        <v>1163</v>
      </c>
      <c r="I34" s="14" t="s">
        <v>1164</v>
      </c>
      <c r="J34" s="14" t="s">
        <v>1165</v>
      </c>
      <c r="K34" s="8" t="n">
        <v>5</v>
      </c>
      <c r="L34" s="8" t="n">
        <v>84</v>
      </c>
      <c r="M34" s="8" t="n">
        <v>4</v>
      </c>
      <c r="N34" s="8" t="n">
        <v>63</v>
      </c>
      <c r="O34" s="8" t="n">
        <v>4</v>
      </c>
      <c r="P34" s="9" t="n">
        <v>8.21200662319696</v>
      </c>
      <c r="Q34" s="10" t="n">
        <v>0.12177291688675</v>
      </c>
      <c r="R34" s="9" t="n">
        <v>9.5</v>
      </c>
      <c r="S34" s="11" t="n">
        <f aca="false">IF(AND(ISNUMBER(R34),R34&gt;1,P34&gt;0),R34/P34-1,"")</f>
        <v>0.156842710424121</v>
      </c>
      <c r="T34" s="9" t="n">
        <f aca="false">IF(AND(ISNUMBER(P34),P34&gt;0),P34*EXP('Read me'!$B$22),"")</f>
        <v>10.0301675396023</v>
      </c>
    </row>
    <row r="35" customFormat="false" ht="15" hidden="false" customHeight="false" outlineLevel="0" collapsed="false">
      <c r="A35" s="14" t="s">
        <v>303</v>
      </c>
      <c r="B35" s="14" t="s">
        <v>197</v>
      </c>
      <c r="C35" s="14" t="s">
        <v>304</v>
      </c>
      <c r="D35" s="14" t="s">
        <v>436</v>
      </c>
      <c r="E35" s="15" t="n">
        <v>5</v>
      </c>
      <c r="F35" s="14" t="s">
        <v>819</v>
      </c>
      <c r="G35" s="8" t="n">
        <v>9</v>
      </c>
      <c r="H35" s="14" t="s">
        <v>1166</v>
      </c>
      <c r="I35" s="14" t="s">
        <v>278</v>
      </c>
      <c r="J35" s="14" t="s">
        <v>267</v>
      </c>
      <c r="K35" s="8" t="n">
        <v>2</v>
      </c>
      <c r="L35" s="8" t="n">
        <v>84</v>
      </c>
      <c r="M35" s="8" t="n">
        <v>6</v>
      </c>
      <c r="N35" s="8" t="n">
        <v>43</v>
      </c>
      <c r="O35" s="8" t="n">
        <v>5</v>
      </c>
      <c r="P35" s="9" t="n">
        <v>11.9614034645895</v>
      </c>
      <c r="Q35" s="10" t="n">
        <v>0.0836022297015895</v>
      </c>
      <c r="R35" s="9" t="n">
        <v>10</v>
      </c>
      <c r="S35" s="11" t="n">
        <f aca="false">IF(AND(ISNUMBER(R35),R35&gt;1,P35&gt;0),R35/P35-1,"")</f>
        <v>-0.163977702984104</v>
      </c>
      <c r="T35" s="9" t="n">
        <f aca="false">IF(AND(ISNUMBER(P35),P35&gt;0),P35*EXP('Read me'!$B$22),"")</f>
        <v>14.6096911831162</v>
      </c>
    </row>
    <row r="36" customFormat="false" ht="15" hidden="false" customHeight="false" outlineLevel="0" collapsed="false">
      <c r="A36" s="14" t="s">
        <v>303</v>
      </c>
      <c r="B36" s="14" t="s">
        <v>197</v>
      </c>
      <c r="C36" s="14" t="s">
        <v>304</v>
      </c>
      <c r="D36" s="14" t="s">
        <v>436</v>
      </c>
      <c r="E36" s="15" t="n">
        <v>5</v>
      </c>
      <c r="F36" s="14" t="s">
        <v>819</v>
      </c>
      <c r="G36" s="8" t="n">
        <v>9</v>
      </c>
      <c r="H36" s="14" t="s">
        <v>1167</v>
      </c>
      <c r="I36" s="14" t="s">
        <v>1168</v>
      </c>
      <c r="J36" s="14" t="s">
        <v>91</v>
      </c>
      <c r="K36" s="8" t="n">
        <v>7</v>
      </c>
      <c r="L36" s="8" t="n">
        <v>78</v>
      </c>
      <c r="M36" s="8" t="n">
        <v>3</v>
      </c>
      <c r="N36" s="8" t="n">
        <v>21</v>
      </c>
      <c r="O36" s="8" t="n">
        <v>6</v>
      </c>
      <c r="P36" s="9" t="n">
        <v>14.5927957717641</v>
      </c>
      <c r="Q36" s="10" t="n">
        <v>0.06852696465025</v>
      </c>
      <c r="R36" s="9" t="n">
        <v>26</v>
      </c>
      <c r="S36" s="11" t="n">
        <f aca="false">IF(AND(ISNUMBER(R36),R36&gt;1,P36&gt;0),R36/P36-1,"")</f>
        <v>0.781701080906502</v>
      </c>
      <c r="T36" s="9" t="n">
        <f aca="false">IF(AND(ISNUMBER(P36),P36&gt;0),P36*EXP('Read me'!$B$22),"")</f>
        <v>17.8236810049008</v>
      </c>
    </row>
    <row r="37" customFormat="false" ht="15" hidden="false" customHeight="false" outlineLevel="0" collapsed="false">
      <c r="A37" s="14" t="s">
        <v>303</v>
      </c>
      <c r="B37" s="14" t="s">
        <v>197</v>
      </c>
      <c r="C37" s="14" t="s">
        <v>304</v>
      </c>
      <c r="D37" s="14" t="s">
        <v>436</v>
      </c>
      <c r="E37" s="15" t="n">
        <v>5</v>
      </c>
      <c r="F37" s="14" t="s">
        <v>819</v>
      </c>
      <c r="G37" s="8" t="n">
        <v>9</v>
      </c>
      <c r="H37" s="14" t="s">
        <v>1169</v>
      </c>
      <c r="I37" s="14" t="s">
        <v>1170</v>
      </c>
      <c r="J37" s="14" t="s">
        <v>1090</v>
      </c>
      <c r="K37" s="8" t="n">
        <v>1</v>
      </c>
      <c r="L37" s="8" t="n">
        <v>84</v>
      </c>
      <c r="M37" s="8" t="n">
        <v>6</v>
      </c>
      <c r="N37" s="8" t="n">
        <v>14</v>
      </c>
      <c r="O37" s="8" t="n">
        <v>7</v>
      </c>
      <c r="P37" s="9" t="n">
        <v>20.591569350919</v>
      </c>
      <c r="Q37" s="10" t="n">
        <v>0.0485635641926132</v>
      </c>
      <c r="R37" s="9" t="n">
        <v>17</v>
      </c>
      <c r="S37" s="11" t="n">
        <f aca="false">IF(AND(ISNUMBER(R37),R37&gt;1,P37&gt;0),R37/P37-1,"")</f>
        <v>-0.174419408725575</v>
      </c>
      <c r="T37" s="9" t="n">
        <f aca="false">IF(AND(ISNUMBER(P37),P37&gt;0),P37*EXP('Read me'!$B$22),"")</f>
        <v>25.1505996000588</v>
      </c>
    </row>
    <row r="38" customFormat="false" ht="15" hidden="false" customHeight="false" outlineLevel="0" collapsed="false">
      <c r="A38" s="14" t="s">
        <v>303</v>
      </c>
      <c r="B38" s="14" t="s">
        <v>197</v>
      </c>
      <c r="C38" s="14" t="s">
        <v>304</v>
      </c>
      <c r="D38" s="14" t="s">
        <v>436</v>
      </c>
      <c r="E38" s="15" t="n">
        <v>5</v>
      </c>
      <c r="F38" s="14" t="s">
        <v>819</v>
      </c>
      <c r="G38" s="8" t="n">
        <v>9</v>
      </c>
      <c r="H38" s="14" t="s">
        <v>1171</v>
      </c>
      <c r="I38" s="14" t="s">
        <v>1172</v>
      </c>
      <c r="J38" s="14" t="s">
        <v>1173</v>
      </c>
      <c r="K38" s="8" t="n">
        <v>6</v>
      </c>
      <c r="L38" s="8" t="n">
        <v>79</v>
      </c>
      <c r="M38" s="8" t="n">
        <v>5</v>
      </c>
      <c r="N38" s="8" t="n">
        <v>20</v>
      </c>
      <c r="O38" s="8" t="n">
        <v>8</v>
      </c>
      <c r="P38" s="9" t="n">
        <v>28.8488729850463</v>
      </c>
      <c r="Q38" s="10" t="n">
        <v>0.0346633991739762</v>
      </c>
      <c r="R38" s="9" t="n">
        <v>29</v>
      </c>
      <c r="S38" s="11" t="n">
        <f aca="false">IF(AND(ISNUMBER(R38),R38&gt;1,P38&gt;0),R38/P38-1,"")</f>
        <v>0.00523857604531042</v>
      </c>
      <c r="T38" s="9" t="n">
        <f aca="false">IF(AND(ISNUMBER(P38),P38&gt;0),P38*EXP('Read me'!$B$22),"")</f>
        <v>35.236093033748</v>
      </c>
    </row>
    <row r="39" customFormat="false" ht="15" hidden="false" customHeight="false" outlineLevel="0" collapsed="false">
      <c r="A39" s="14" t="s">
        <v>303</v>
      </c>
      <c r="B39" s="14" t="s">
        <v>197</v>
      </c>
      <c r="C39" s="14" t="s">
        <v>304</v>
      </c>
      <c r="D39" s="14" t="s">
        <v>436</v>
      </c>
      <c r="E39" s="15" t="n">
        <v>5</v>
      </c>
      <c r="F39" s="14" t="s">
        <v>819</v>
      </c>
      <c r="G39" s="8" t="n">
        <v>9</v>
      </c>
      <c r="H39" s="14" t="s">
        <v>1174</v>
      </c>
      <c r="I39" s="14" t="s">
        <v>833</v>
      </c>
      <c r="J39" s="14" t="s">
        <v>453</v>
      </c>
      <c r="K39" s="8" t="n">
        <v>8</v>
      </c>
      <c r="L39" s="8" t="n">
        <v>87</v>
      </c>
      <c r="M39" s="8" t="n">
        <v>5</v>
      </c>
      <c r="N39" s="8" t="n">
        <v>31</v>
      </c>
      <c r="O39" s="8" t="n">
        <v>9</v>
      </c>
      <c r="P39" s="9" t="n">
        <v>36.0471421186613</v>
      </c>
      <c r="Q39" s="10" t="n">
        <v>0.027741450257226</v>
      </c>
      <c r="R39" s="9" t="n">
        <v>13</v>
      </c>
      <c r="S39" s="11" t="n">
        <f aca="false">IF(AND(ISNUMBER(R39),R39&gt;1,P39&gt;0),R39/P39-1,"")</f>
        <v>-0.639361146656062</v>
      </c>
      <c r="T39" s="9" t="n">
        <f aca="false">IF(AND(ISNUMBER(P39),P39&gt;0),P39*EXP('Read me'!$B$22),"")</f>
        <v>44.0280788075246</v>
      </c>
    </row>
    <row r="40" customFormat="false" ht="15" hidden="false" customHeight="false" outlineLevel="0" collapsed="false">
      <c r="A40" s="14" t="s">
        <v>319</v>
      </c>
      <c r="B40" s="14" t="s">
        <v>197</v>
      </c>
      <c r="C40" s="14" t="s">
        <v>320</v>
      </c>
      <c r="D40" s="14" t="s">
        <v>877</v>
      </c>
      <c r="E40" s="15" t="n">
        <v>12</v>
      </c>
      <c r="F40" s="14" t="s">
        <v>819</v>
      </c>
      <c r="G40" s="8" t="n">
        <v>8</v>
      </c>
      <c r="H40" s="14" t="s">
        <v>321</v>
      </c>
      <c r="I40" s="14" t="s">
        <v>306</v>
      </c>
      <c r="J40" s="14" t="s">
        <v>307</v>
      </c>
      <c r="K40" s="8" t="n">
        <v>7</v>
      </c>
      <c r="L40" s="8" t="n">
        <v>75</v>
      </c>
      <c r="M40" s="8" t="n">
        <v>3</v>
      </c>
      <c r="N40" s="8" t="n">
        <v>24</v>
      </c>
      <c r="O40" s="8" t="n">
        <v>1</v>
      </c>
      <c r="P40" s="9" t="n">
        <v>3.3880756452045</v>
      </c>
      <c r="Q40" s="10" t="n">
        <v>0.295152796076264</v>
      </c>
      <c r="R40" s="9" t="n">
        <v>3.5</v>
      </c>
      <c r="S40" s="11" t="n">
        <f aca="false">IF(AND(ISNUMBER(R40),R40&gt;1,P40&gt;0),R40/P40-1,"")</f>
        <v>0.0330347862669242</v>
      </c>
      <c r="T40" s="9" t="n">
        <f aca="false">IF(AND(ISNUMBER(P40),P40&gt;0),P40*EXP('Read me'!$B$22),"")</f>
        <v>4.13820493790807</v>
      </c>
    </row>
    <row r="41" customFormat="false" ht="15" hidden="false" customHeight="false" outlineLevel="0" collapsed="false">
      <c r="A41" s="14" t="s">
        <v>319</v>
      </c>
      <c r="B41" s="14" t="s">
        <v>197</v>
      </c>
      <c r="C41" s="14" t="s">
        <v>320</v>
      </c>
      <c r="D41" s="14" t="s">
        <v>877</v>
      </c>
      <c r="E41" s="15" t="n">
        <v>12</v>
      </c>
      <c r="F41" s="14" t="s">
        <v>819</v>
      </c>
      <c r="G41" s="8" t="n">
        <v>8</v>
      </c>
      <c r="H41" s="14" t="s">
        <v>322</v>
      </c>
      <c r="I41" s="14" t="s">
        <v>343</v>
      </c>
      <c r="J41" s="14" t="s">
        <v>344</v>
      </c>
      <c r="K41" s="8" t="n">
        <v>5</v>
      </c>
      <c r="L41" s="8" t="n">
        <v>75</v>
      </c>
      <c r="M41" s="8" t="n">
        <v>4</v>
      </c>
      <c r="N41" s="8" t="n">
        <v>16</v>
      </c>
      <c r="O41" s="8" t="n">
        <v>2</v>
      </c>
      <c r="P41" s="9" t="n">
        <v>4.29981569424984</v>
      </c>
      <c r="Q41" s="10" t="n">
        <v>0.232568107823157</v>
      </c>
      <c r="R41" s="9" t="n">
        <v>3.5</v>
      </c>
      <c r="S41" s="11" t="n">
        <f aca="false">IF(AND(ISNUMBER(R41),R41&gt;1,P41&gt;0),R41/P41-1,"")</f>
        <v>-0.18601162261895</v>
      </c>
      <c r="T41" s="9" t="n">
        <f aca="false">IF(AND(ISNUMBER(P41),P41&gt;0),P41*EXP('Read me'!$B$22),"")</f>
        <v>5.25180674853714</v>
      </c>
    </row>
    <row r="42" customFormat="false" ht="15" hidden="false" customHeight="false" outlineLevel="0" collapsed="false">
      <c r="A42" s="14" t="s">
        <v>319</v>
      </c>
      <c r="B42" s="14" t="s">
        <v>197</v>
      </c>
      <c r="C42" s="14" t="s">
        <v>320</v>
      </c>
      <c r="D42" s="14" t="s">
        <v>877</v>
      </c>
      <c r="E42" s="15" t="n">
        <v>12</v>
      </c>
      <c r="F42" s="14" t="s">
        <v>819</v>
      </c>
      <c r="G42" s="8" t="n">
        <v>8</v>
      </c>
      <c r="H42" s="14" t="s">
        <v>1199</v>
      </c>
      <c r="I42" s="14" t="s">
        <v>1170</v>
      </c>
      <c r="J42" s="14" t="s">
        <v>230</v>
      </c>
      <c r="K42" s="8" t="n">
        <v>1</v>
      </c>
      <c r="L42" s="8" t="n">
        <v>73</v>
      </c>
      <c r="M42" s="8" t="n">
        <v>3</v>
      </c>
      <c r="N42" s="8" t="n">
        <v>23</v>
      </c>
      <c r="O42" s="8" t="n">
        <v>3</v>
      </c>
      <c r="P42" s="9" t="n">
        <v>6.09960181189157</v>
      </c>
      <c r="Q42" s="10" t="n">
        <v>0.163945128032855</v>
      </c>
      <c r="R42" s="9" t="n">
        <v>6</v>
      </c>
      <c r="S42" s="11" t="n">
        <f aca="false">IF(AND(ISNUMBER(R42),R42&gt;1,P42&gt;0),R42/P42-1,"")</f>
        <v>-0.0163292318028681</v>
      </c>
      <c r="T42" s="9" t="n">
        <f aca="false">IF(AND(ISNUMBER(P42),P42&gt;0),P42*EXP('Read me'!$B$22),"")</f>
        <v>7.45007047672314</v>
      </c>
    </row>
    <row r="43" customFormat="false" ht="15" hidden="false" customHeight="false" outlineLevel="0" collapsed="false">
      <c r="A43" s="14" t="s">
        <v>319</v>
      </c>
      <c r="B43" s="14" t="s">
        <v>197</v>
      </c>
      <c r="C43" s="14" t="s">
        <v>320</v>
      </c>
      <c r="D43" s="14" t="s">
        <v>877</v>
      </c>
      <c r="E43" s="15" t="n">
        <v>12</v>
      </c>
      <c r="F43" s="14" t="s">
        <v>819</v>
      </c>
      <c r="G43" s="8" t="n">
        <v>8</v>
      </c>
      <c r="H43" s="14" t="s">
        <v>1200</v>
      </c>
      <c r="I43" s="14" t="s">
        <v>200</v>
      </c>
      <c r="J43" s="14" t="s">
        <v>674</v>
      </c>
      <c r="K43" s="8" t="n">
        <v>4</v>
      </c>
      <c r="L43" s="8" t="n">
        <v>73</v>
      </c>
      <c r="M43" s="8" t="n">
        <v>4</v>
      </c>
      <c r="N43" s="8" t="n">
        <v>23</v>
      </c>
      <c r="O43" s="8" t="n">
        <v>4</v>
      </c>
      <c r="P43" s="9" t="n">
        <v>7.03193947800192</v>
      </c>
      <c r="Q43" s="10" t="n">
        <v>0.142208277407436</v>
      </c>
      <c r="R43" s="9" t="n">
        <v>6</v>
      </c>
      <c r="S43" s="11" t="n">
        <f aca="false">IF(AND(ISNUMBER(R43),R43&gt;1,P43&gt;0),R43/P43-1,"")</f>
        <v>-0.146750335555382</v>
      </c>
      <c r="T43" s="9" t="n">
        <f aca="false">IF(AND(ISNUMBER(P43),P43&gt;0),P43*EXP('Read me'!$B$22),"")</f>
        <v>8.58883027364693</v>
      </c>
    </row>
    <row r="44" customFormat="false" ht="15" hidden="false" customHeight="false" outlineLevel="0" collapsed="false">
      <c r="A44" s="14" t="s">
        <v>319</v>
      </c>
      <c r="B44" s="14" t="s">
        <v>197</v>
      </c>
      <c r="C44" s="14" t="s">
        <v>320</v>
      </c>
      <c r="D44" s="14" t="s">
        <v>877</v>
      </c>
      <c r="E44" s="15" t="n">
        <v>12</v>
      </c>
      <c r="F44" s="14" t="s">
        <v>819</v>
      </c>
      <c r="G44" s="8" t="n">
        <v>8</v>
      </c>
      <c r="H44" s="14" t="s">
        <v>1201</v>
      </c>
      <c r="I44" s="14" t="s">
        <v>1168</v>
      </c>
      <c r="J44" s="14" t="s">
        <v>91</v>
      </c>
      <c r="K44" s="8" t="n">
        <v>6</v>
      </c>
      <c r="L44" s="8" t="n">
        <v>73</v>
      </c>
      <c r="M44" s="8" t="n">
        <v>3</v>
      </c>
      <c r="N44" s="8" t="n">
        <v>15</v>
      </c>
      <c r="O44" s="8" t="n">
        <v>5</v>
      </c>
      <c r="P44" s="9" t="n">
        <v>12.0665593461044</v>
      </c>
      <c r="Q44" s="10" t="n">
        <v>0.0828736652526255</v>
      </c>
      <c r="R44" s="9" t="n">
        <v>10</v>
      </c>
      <c r="S44" s="11" t="n">
        <f aca="false">IF(AND(ISNUMBER(R44),R44&gt;1,P44&gt;0),R44/P44-1,"")</f>
        <v>-0.171263347473744</v>
      </c>
      <c r="T44" s="9" t="n">
        <f aca="false">IF(AND(ISNUMBER(P44),P44&gt;0),P44*EXP('Read me'!$B$22),"")</f>
        <v>14.7381288668353</v>
      </c>
    </row>
    <row r="45" customFormat="false" ht="15" hidden="false" customHeight="false" outlineLevel="0" collapsed="false">
      <c r="A45" s="14" t="s">
        <v>319</v>
      </c>
      <c r="B45" s="14" t="s">
        <v>197</v>
      </c>
      <c r="C45" s="14" t="s">
        <v>320</v>
      </c>
      <c r="D45" s="14" t="s">
        <v>877</v>
      </c>
      <c r="E45" s="15" t="n">
        <v>12</v>
      </c>
      <c r="F45" s="14" t="s">
        <v>819</v>
      </c>
      <c r="G45" s="8" t="n">
        <v>8</v>
      </c>
      <c r="H45" s="14" t="s">
        <v>1202</v>
      </c>
      <c r="I45" s="14" t="s">
        <v>1164</v>
      </c>
      <c r="J45" s="14" t="s">
        <v>1165</v>
      </c>
      <c r="K45" s="8" t="n">
        <v>8</v>
      </c>
      <c r="L45" s="8" t="n">
        <v>70</v>
      </c>
      <c r="M45" s="8" t="n">
        <v>4</v>
      </c>
      <c r="N45" s="8" t="n">
        <v>41</v>
      </c>
      <c r="O45" s="8" t="n">
        <v>6</v>
      </c>
      <c r="P45" s="9" t="n">
        <v>26.0328311308386</v>
      </c>
      <c r="Q45" s="10" t="n">
        <v>0.0384130329495893</v>
      </c>
      <c r="R45" s="9" t="n">
        <v>12</v>
      </c>
      <c r="S45" s="11" t="n">
        <f aca="false">IF(AND(ISNUMBER(R45),R45&gt;1,P45&gt;0),R45/P45-1,"")</f>
        <v>-0.539043604604927</v>
      </c>
      <c r="T45" s="9" t="n">
        <f aca="false">IF(AND(ISNUMBER(P45),P45&gt;0),P45*EXP('Read me'!$B$22),"")</f>
        <v>31.7965717459242</v>
      </c>
    </row>
    <row r="46" customFormat="false" ht="15" hidden="false" customHeight="false" outlineLevel="0" collapsed="false">
      <c r="A46" s="14" t="s">
        <v>319</v>
      </c>
      <c r="B46" s="14" t="s">
        <v>197</v>
      </c>
      <c r="C46" s="14" t="s">
        <v>320</v>
      </c>
      <c r="D46" s="14" t="s">
        <v>877</v>
      </c>
      <c r="E46" s="15" t="n">
        <v>12</v>
      </c>
      <c r="F46" s="14" t="s">
        <v>819</v>
      </c>
      <c r="G46" s="8" t="n">
        <v>8</v>
      </c>
      <c r="H46" s="14" t="s">
        <v>1203</v>
      </c>
      <c r="I46" s="14" t="s">
        <v>822</v>
      </c>
      <c r="J46" s="14" t="s">
        <v>629</v>
      </c>
      <c r="K46" s="8" t="n">
        <v>3</v>
      </c>
      <c r="L46" s="8" t="n">
        <v>72</v>
      </c>
      <c r="M46" s="8" t="n">
        <v>3</v>
      </c>
      <c r="N46" s="8" t="n">
        <v>11</v>
      </c>
      <c r="O46" s="8" t="n">
        <v>7</v>
      </c>
      <c r="P46" s="9" t="n">
        <v>35.6410035307655</v>
      </c>
      <c r="Q46" s="10" t="n">
        <v>0.0280575713626243</v>
      </c>
      <c r="R46" s="9" t="n">
        <v>21</v>
      </c>
      <c r="S46" s="11" t="n">
        <f aca="false">IF(AND(ISNUMBER(R46),R46&gt;1,P46&gt;0),R46/P46-1,"")</f>
        <v>-0.410791001384888</v>
      </c>
      <c r="T46" s="9" t="n">
        <f aca="false">IF(AND(ISNUMBER(P46),P46&gt;0),P46*EXP('Read me'!$B$22),"")</f>
        <v>43.5320200160733</v>
      </c>
    </row>
    <row r="47" customFormat="false" ht="15" hidden="false" customHeight="false" outlineLevel="0" collapsed="false">
      <c r="A47" s="14" t="s">
        <v>319</v>
      </c>
      <c r="B47" s="14" t="s">
        <v>197</v>
      </c>
      <c r="C47" s="14" t="s">
        <v>320</v>
      </c>
      <c r="D47" s="14" t="s">
        <v>877</v>
      </c>
      <c r="E47" s="15" t="n">
        <v>12</v>
      </c>
      <c r="F47" s="14" t="s">
        <v>819</v>
      </c>
      <c r="G47" s="8" t="n">
        <v>8</v>
      </c>
      <c r="H47" s="14" t="s">
        <v>1204</v>
      </c>
      <c r="I47" s="14" t="s">
        <v>961</v>
      </c>
      <c r="J47" s="14" t="s">
        <v>1205</v>
      </c>
      <c r="K47" s="8" t="n">
        <v>2</v>
      </c>
      <c r="L47" s="8" t="n">
        <v>73</v>
      </c>
      <c r="M47" s="8" t="n">
        <v>7</v>
      </c>
      <c r="N47" s="8" t="n">
        <v>22</v>
      </c>
      <c r="O47" s="8" t="n">
        <v>8</v>
      </c>
      <c r="P47" s="9" t="n">
        <v>59.5897090188192</v>
      </c>
      <c r="Q47" s="10" t="n">
        <v>0.0167814210954476</v>
      </c>
      <c r="R47" s="9" t="n">
        <v>34</v>
      </c>
      <c r="S47" s="11" t="n">
        <f aca="false">IF(AND(ISNUMBER(R47),R47&gt;1,P47&gt;0),R47/P47-1,"")</f>
        <v>-0.429431682754779</v>
      </c>
      <c r="T47" s="9" t="n">
        <f aca="false">IF(AND(ISNUMBER(P47),P47&gt;0),P47*EXP('Read me'!$B$22),"")</f>
        <v>72.7830349535477</v>
      </c>
    </row>
    <row r="48" customFormat="false" ht="15" hidden="false" customHeight="false" outlineLevel="0" collapsed="false">
      <c r="A48" s="14" t="s">
        <v>323</v>
      </c>
      <c r="B48" s="14" t="s">
        <v>197</v>
      </c>
      <c r="C48" s="14" t="s">
        <v>324</v>
      </c>
      <c r="D48" s="14" t="s">
        <v>570</v>
      </c>
      <c r="E48" s="15" t="n">
        <v>11</v>
      </c>
      <c r="F48" s="14" t="s">
        <v>819</v>
      </c>
      <c r="G48" s="8" t="n">
        <v>13</v>
      </c>
      <c r="H48" s="14" t="s">
        <v>325</v>
      </c>
      <c r="I48" s="14" t="s">
        <v>326</v>
      </c>
      <c r="J48" s="14" t="s">
        <v>166</v>
      </c>
      <c r="K48" s="8" t="n">
        <v>5</v>
      </c>
      <c r="L48" s="8" t="n">
        <v>0</v>
      </c>
      <c r="M48" s="8" t="n">
        <v>3</v>
      </c>
      <c r="N48" s="8" t="n">
        <v>58</v>
      </c>
      <c r="O48" s="8" t="n">
        <v>1</v>
      </c>
      <c r="P48" s="9" t="n">
        <v>1.96240472965731</v>
      </c>
      <c r="Q48" s="10" t="n">
        <v>0.509578877836595</v>
      </c>
      <c r="R48" s="9" t="n">
        <v>1.53333333333333</v>
      </c>
      <c r="S48" s="11" t="n">
        <f aca="false">IF(AND(ISNUMBER(R48),R48&gt;1,P48&gt;0),R48/P48-1,"")</f>
        <v>-0.218645720650555</v>
      </c>
      <c r="T48" s="9" t="n">
        <f aca="false">IF(AND(ISNUMBER(P48),P48&gt;0),P48*EXP('Read me'!$B$22),"")</f>
        <v>2.39688654943</v>
      </c>
    </row>
    <row r="49" customFormat="false" ht="15" hidden="false" customHeight="false" outlineLevel="0" collapsed="false">
      <c r="A49" s="14" t="s">
        <v>323</v>
      </c>
      <c r="B49" s="14" t="s">
        <v>197</v>
      </c>
      <c r="C49" s="14" t="s">
        <v>324</v>
      </c>
      <c r="D49" s="14" t="s">
        <v>570</v>
      </c>
      <c r="E49" s="15" t="n">
        <v>11</v>
      </c>
      <c r="F49" s="14" t="s">
        <v>819</v>
      </c>
      <c r="G49" s="8" t="n">
        <v>13</v>
      </c>
      <c r="H49" s="14" t="s">
        <v>327</v>
      </c>
      <c r="I49" s="14" t="s">
        <v>1170</v>
      </c>
      <c r="J49" s="14" t="s">
        <v>230</v>
      </c>
      <c r="K49" s="8" t="n">
        <v>4</v>
      </c>
      <c r="L49" s="8" t="n">
        <v>0</v>
      </c>
      <c r="M49" s="8" t="n">
        <v>3</v>
      </c>
      <c r="N49" s="8" t="n">
        <v>80</v>
      </c>
      <c r="O49" s="8" t="n">
        <v>2</v>
      </c>
      <c r="P49" s="9" t="n">
        <v>3.83048068973723</v>
      </c>
      <c r="Q49" s="10" t="n">
        <v>0.261063840545976</v>
      </c>
      <c r="R49" s="9" t="n">
        <v>4.5</v>
      </c>
      <c r="S49" s="11" t="n">
        <f aca="false">IF(AND(ISNUMBER(R49),R49&gt;1,P49&gt;0),R49/P49-1,"")</f>
        <v>0.174787282456892</v>
      </c>
      <c r="T49" s="9" t="n">
        <f aca="false">IF(AND(ISNUMBER(P49),P49&gt;0),P49*EXP('Read me'!$B$22),"")</f>
        <v>4.67855967952432</v>
      </c>
    </row>
    <row r="50" customFormat="false" ht="15" hidden="false" customHeight="false" outlineLevel="0" collapsed="false">
      <c r="A50" s="14" t="s">
        <v>323</v>
      </c>
      <c r="B50" s="14" t="s">
        <v>197</v>
      </c>
      <c r="C50" s="14" t="s">
        <v>324</v>
      </c>
      <c r="D50" s="14" t="s">
        <v>570</v>
      </c>
      <c r="E50" s="15" t="n">
        <v>11</v>
      </c>
      <c r="F50" s="14" t="s">
        <v>819</v>
      </c>
      <c r="G50" s="8" t="n">
        <v>13</v>
      </c>
      <c r="H50" s="14" t="s">
        <v>1206</v>
      </c>
      <c r="I50" s="14" t="s">
        <v>200</v>
      </c>
      <c r="J50" s="14" t="s">
        <v>1207</v>
      </c>
      <c r="K50" s="8" t="n">
        <v>8</v>
      </c>
      <c r="L50" s="8" t="n">
        <v>0</v>
      </c>
      <c r="M50" s="8" t="n">
        <v>5</v>
      </c>
      <c r="N50" s="8" t="n">
        <v>23</v>
      </c>
      <c r="O50" s="8" t="n">
        <v>3</v>
      </c>
      <c r="P50" s="9" t="n">
        <v>9.12724399196439</v>
      </c>
      <c r="Q50" s="10" t="n">
        <v>0.109562097921388</v>
      </c>
      <c r="R50" s="9" t="n">
        <v>12</v>
      </c>
      <c r="S50" s="11" t="n">
        <f aca="false">IF(AND(ISNUMBER(R50),R50&gt;1,P50&gt;0),R50/P50-1,"")</f>
        <v>0.314745175056652</v>
      </c>
      <c r="T50" s="9" t="n">
        <f aca="false">IF(AND(ISNUMBER(P50),P50&gt;0),P50*EXP('Read me'!$B$22),"")</f>
        <v>11.1480409861861</v>
      </c>
    </row>
    <row r="51" customFormat="false" ht="15" hidden="false" customHeight="false" outlineLevel="0" collapsed="false">
      <c r="A51" s="14" t="s">
        <v>323</v>
      </c>
      <c r="B51" s="14" t="s">
        <v>197</v>
      </c>
      <c r="C51" s="14" t="s">
        <v>324</v>
      </c>
      <c r="D51" s="14" t="s">
        <v>570</v>
      </c>
      <c r="E51" s="15" t="n">
        <v>11</v>
      </c>
      <c r="F51" s="14" t="s">
        <v>819</v>
      </c>
      <c r="G51" s="8" t="n">
        <v>13</v>
      </c>
      <c r="H51" s="14" t="s">
        <v>1208</v>
      </c>
      <c r="I51" s="14" t="s">
        <v>1168</v>
      </c>
      <c r="J51" s="14" t="s">
        <v>91</v>
      </c>
      <c r="K51" s="8" t="n">
        <v>12</v>
      </c>
      <c r="L51" s="8" t="n">
        <v>0</v>
      </c>
      <c r="M51" s="8" t="n">
        <v>3</v>
      </c>
      <c r="N51" s="8" t="n">
        <v>52</v>
      </c>
      <c r="O51" s="8" t="n">
        <v>4</v>
      </c>
      <c r="P51" s="9" t="n">
        <v>13.2317820921082</v>
      </c>
      <c r="Q51" s="10" t="n">
        <v>0.0755756097734129</v>
      </c>
      <c r="R51" s="9" t="n">
        <v>9</v>
      </c>
      <c r="S51" s="11" t="n">
        <f aca="false">IF(AND(ISNUMBER(R51),R51&gt;1,P51&gt;0),R51/P51-1,"")</f>
        <v>-0.319819512039284</v>
      </c>
      <c r="T51" s="9" t="n">
        <f aca="false">IF(AND(ISNUMBER(P51),P51&gt;0),P51*EXP('Read me'!$B$22),"")</f>
        <v>16.1613351426753</v>
      </c>
    </row>
    <row r="52" customFormat="false" ht="15" hidden="false" customHeight="false" outlineLevel="0" collapsed="false">
      <c r="A52" s="14" t="s">
        <v>323</v>
      </c>
      <c r="B52" s="14" t="s">
        <v>197</v>
      </c>
      <c r="C52" s="14" t="s">
        <v>324</v>
      </c>
      <c r="D52" s="14" t="s">
        <v>570</v>
      </c>
      <c r="E52" s="15" t="n">
        <v>11</v>
      </c>
      <c r="F52" s="14" t="s">
        <v>819</v>
      </c>
      <c r="G52" s="8" t="n">
        <v>13</v>
      </c>
      <c r="H52" s="14" t="s">
        <v>1209</v>
      </c>
      <c r="I52" s="14" t="s">
        <v>343</v>
      </c>
      <c r="J52" s="14" t="s">
        <v>845</v>
      </c>
      <c r="K52" s="8" t="n">
        <v>1</v>
      </c>
      <c r="L52" s="8" t="n">
        <v>0</v>
      </c>
      <c r="M52" s="8" t="n">
        <v>3</v>
      </c>
      <c r="N52" s="8"/>
      <c r="O52" s="8" t="n">
        <v>5</v>
      </c>
      <c r="P52" s="9" t="n">
        <v>68.2604075999277</v>
      </c>
      <c r="Q52" s="10" t="n">
        <v>0.0146497806731681</v>
      </c>
      <c r="R52" s="9" t="n">
        <v>15</v>
      </c>
      <c r="S52" s="11" t="n">
        <f aca="false">IF(AND(ISNUMBER(R52),R52&gt;1,P52&gt;0),R52/P52-1,"")</f>
        <v>-0.780253289902478</v>
      </c>
      <c r="T52" s="9" t="n">
        <f aca="false">IF(AND(ISNUMBER(P52),P52&gt;0),P52*EXP('Read me'!$B$22),"")</f>
        <v>83.3734501156891</v>
      </c>
    </row>
    <row r="53" customFormat="false" ht="15" hidden="false" customHeight="false" outlineLevel="0" collapsed="false">
      <c r="A53" s="14" t="s">
        <v>323</v>
      </c>
      <c r="B53" s="14" t="s">
        <v>197</v>
      </c>
      <c r="C53" s="14" t="s">
        <v>324</v>
      </c>
      <c r="D53" s="14" t="s">
        <v>570</v>
      </c>
      <c r="E53" s="15" t="n">
        <v>11</v>
      </c>
      <c r="F53" s="14" t="s">
        <v>819</v>
      </c>
      <c r="G53" s="8" t="n">
        <v>13</v>
      </c>
      <c r="H53" s="14" t="s">
        <v>1210</v>
      </c>
      <c r="I53" s="14" t="s">
        <v>1081</v>
      </c>
      <c r="J53" s="14" t="s">
        <v>506</v>
      </c>
      <c r="K53" s="8" t="n">
        <v>3</v>
      </c>
      <c r="L53" s="8" t="n">
        <v>0</v>
      </c>
      <c r="M53" s="8" t="n">
        <v>3</v>
      </c>
      <c r="N53" s="8" t="n">
        <v>24</v>
      </c>
      <c r="O53" s="8" t="n">
        <v>6</v>
      </c>
      <c r="P53" s="9" t="n">
        <v>167.913266132246</v>
      </c>
      <c r="Q53" s="10" t="n">
        <v>0.0059554555934396</v>
      </c>
      <c r="R53" s="9" t="n">
        <v>41</v>
      </c>
      <c r="S53" s="11" t="n">
        <f aca="false">IF(AND(ISNUMBER(R53),R53&gt;1,P53&gt;0),R53/P53-1,"")</f>
        <v>-0.755826320668976</v>
      </c>
      <c r="T53" s="9" t="n">
        <f aca="false">IF(AND(ISNUMBER(P53),P53&gt;0),P53*EXP('Read me'!$B$22),"")</f>
        <v>205.089726385608</v>
      </c>
    </row>
    <row r="54" customFormat="false" ht="15" hidden="false" customHeight="false" outlineLevel="0" collapsed="false">
      <c r="A54" s="14" t="s">
        <v>323</v>
      </c>
      <c r="B54" s="14" t="s">
        <v>197</v>
      </c>
      <c r="C54" s="14" t="s">
        <v>324</v>
      </c>
      <c r="D54" s="14" t="s">
        <v>570</v>
      </c>
      <c r="E54" s="15" t="n">
        <v>11</v>
      </c>
      <c r="F54" s="14" t="s">
        <v>819</v>
      </c>
      <c r="G54" s="8" t="n">
        <v>13</v>
      </c>
      <c r="H54" s="14" t="s">
        <v>1211</v>
      </c>
      <c r="I54" s="14" t="s">
        <v>961</v>
      </c>
      <c r="J54" s="14" t="s">
        <v>1114</v>
      </c>
      <c r="K54" s="8" t="n">
        <v>14</v>
      </c>
      <c r="L54" s="8" t="n">
        <v>0</v>
      </c>
      <c r="M54" s="8" t="n">
        <v>3</v>
      </c>
      <c r="N54" s="8" t="n">
        <v>149</v>
      </c>
      <c r="O54" s="8" t="n">
        <v>7</v>
      </c>
      <c r="P54" s="9" t="n">
        <v>173.534245885453</v>
      </c>
      <c r="Q54" s="10" t="n">
        <v>0.0057625513332975</v>
      </c>
      <c r="R54" s="9" t="n">
        <v>51</v>
      </c>
      <c r="S54" s="11" t="n">
        <f aca="false">IF(AND(ISNUMBER(R54),R54&gt;1,P54&gt;0),R54/P54-1,"")</f>
        <v>-0.706109882001826</v>
      </c>
      <c r="T54" s="9" t="n">
        <f aca="false">IF(AND(ISNUMBER(P54),P54&gt;0),P54*EXP('Read me'!$B$22),"")</f>
        <v>211.955206559738</v>
      </c>
    </row>
    <row r="55" customFormat="false" ht="15" hidden="false" customHeight="false" outlineLevel="0" collapsed="false">
      <c r="A55" s="14" t="s">
        <v>323</v>
      </c>
      <c r="B55" s="14" t="s">
        <v>197</v>
      </c>
      <c r="C55" s="14" t="s">
        <v>324</v>
      </c>
      <c r="D55" s="14" t="s">
        <v>570</v>
      </c>
      <c r="E55" s="15" t="n">
        <v>11</v>
      </c>
      <c r="F55" s="14" t="s">
        <v>819</v>
      </c>
      <c r="G55" s="8" t="n">
        <v>13</v>
      </c>
      <c r="H55" s="14" t="s">
        <v>1212</v>
      </c>
      <c r="I55" s="14" t="s">
        <v>1092</v>
      </c>
      <c r="J55" s="14" t="s">
        <v>1213</v>
      </c>
      <c r="K55" s="8" t="n">
        <v>13</v>
      </c>
      <c r="L55" s="8" t="n">
        <v>0</v>
      </c>
      <c r="M55" s="8" t="n">
        <v>4</v>
      </c>
      <c r="N55" s="8" t="n">
        <v>23</v>
      </c>
      <c r="O55" s="8" t="n">
        <v>8</v>
      </c>
      <c r="P55" s="9" t="n">
        <v>180.420089972317</v>
      </c>
      <c r="Q55" s="10" t="n">
        <v>0.0055426200050861</v>
      </c>
      <c r="R55" s="9" t="n">
        <v>151</v>
      </c>
      <c r="S55" s="11" t="n">
        <f aca="false">IF(AND(ISNUMBER(R55),R55&gt;1,P55&gt;0),R55/P55-1,"")</f>
        <v>-0.163064379231996</v>
      </c>
      <c r="T55" s="9" t="n">
        <f aca="false">IF(AND(ISNUMBER(P55),P55&gt;0),P55*EXP('Read me'!$B$22),"")</f>
        <v>220.365595519694</v>
      </c>
    </row>
    <row r="56" customFormat="false" ht="15" hidden="false" customHeight="false" outlineLevel="0" collapsed="false">
      <c r="A56" s="14" t="s">
        <v>323</v>
      </c>
      <c r="B56" s="14" t="s">
        <v>197</v>
      </c>
      <c r="C56" s="14" t="s">
        <v>324</v>
      </c>
      <c r="D56" s="14" t="s">
        <v>570</v>
      </c>
      <c r="E56" s="15" t="n">
        <v>11</v>
      </c>
      <c r="F56" s="14" t="s">
        <v>819</v>
      </c>
      <c r="G56" s="8" t="n">
        <v>13</v>
      </c>
      <c r="H56" s="14" t="s">
        <v>1214</v>
      </c>
      <c r="I56" s="14" t="s">
        <v>278</v>
      </c>
      <c r="J56" s="14" t="s">
        <v>1215</v>
      </c>
      <c r="K56" s="8" t="n">
        <v>7</v>
      </c>
      <c r="L56" s="8" t="n">
        <v>0</v>
      </c>
      <c r="M56" s="8" t="n">
        <v>3</v>
      </c>
      <c r="N56" s="8" t="n">
        <v>17</v>
      </c>
      <c r="O56" s="8" t="n">
        <v>9</v>
      </c>
      <c r="P56" s="9" t="n">
        <v>238.439588143901</v>
      </c>
      <c r="Q56" s="10" t="n">
        <v>0.0041939344375837</v>
      </c>
      <c r="R56" s="9" t="n">
        <v>51</v>
      </c>
      <c r="S56" s="11" t="n">
        <f aca="false">IF(AND(ISNUMBER(R56),R56&gt;1,P56&gt;0),R56/P56-1,"")</f>
        <v>-0.786109343683227</v>
      </c>
      <c r="T56" s="9" t="n">
        <f aca="false">IF(AND(ISNUMBER(P56),P56&gt;0),P56*EXP('Read me'!$B$22),"")</f>
        <v>291.230770613535</v>
      </c>
    </row>
    <row r="57" customFormat="false" ht="15" hidden="false" customHeight="false" outlineLevel="0" collapsed="false">
      <c r="A57" s="14" t="s">
        <v>323</v>
      </c>
      <c r="B57" s="14" t="s">
        <v>197</v>
      </c>
      <c r="C57" s="14" t="s">
        <v>324</v>
      </c>
      <c r="D57" s="14" t="s">
        <v>570</v>
      </c>
      <c r="E57" s="15" t="n">
        <v>11</v>
      </c>
      <c r="F57" s="14" t="s">
        <v>819</v>
      </c>
      <c r="G57" s="8" t="n">
        <v>13</v>
      </c>
      <c r="H57" s="14" t="s">
        <v>1216</v>
      </c>
      <c r="I57" s="14" t="s">
        <v>822</v>
      </c>
      <c r="J57" s="14" t="s">
        <v>463</v>
      </c>
      <c r="K57" s="8" t="n">
        <v>6</v>
      </c>
      <c r="L57" s="8" t="n">
        <v>0</v>
      </c>
      <c r="M57" s="8" t="n">
        <v>5</v>
      </c>
      <c r="N57" s="8" t="n">
        <v>26</v>
      </c>
      <c r="O57" s="8" t="n">
        <v>10</v>
      </c>
      <c r="P57" s="9" t="n">
        <v>241.301816920747</v>
      </c>
      <c r="Q57" s="10" t="n">
        <v>0.0041441876101929</v>
      </c>
      <c r="R57" s="9" t="n">
        <v>67</v>
      </c>
      <c r="S57" s="11" t="n">
        <f aca="false">IF(AND(ISNUMBER(R57),R57&gt;1,P57&gt;0),R57/P57-1,"")</f>
        <v>-0.722339430117074</v>
      </c>
      <c r="T57" s="9" t="n">
        <f aca="false">IF(AND(ISNUMBER(P57),P57&gt;0),P57*EXP('Read me'!$B$22),"")</f>
        <v>294.72670473606</v>
      </c>
    </row>
    <row r="58" customFormat="false" ht="15" hidden="false" customHeight="false" outlineLevel="0" collapsed="false">
      <c r="A58" s="14" t="s">
        <v>323</v>
      </c>
      <c r="B58" s="14" t="s">
        <v>197</v>
      </c>
      <c r="C58" s="14" t="s">
        <v>324</v>
      </c>
      <c r="D58" s="14" t="s">
        <v>570</v>
      </c>
      <c r="E58" s="15" t="n">
        <v>11</v>
      </c>
      <c r="F58" s="14" t="s">
        <v>819</v>
      </c>
      <c r="G58" s="8" t="n">
        <v>13</v>
      </c>
      <c r="H58" s="14" t="s">
        <v>1217</v>
      </c>
      <c r="I58" s="14" t="s">
        <v>1218</v>
      </c>
      <c r="J58" s="14" t="s">
        <v>1205</v>
      </c>
      <c r="K58" s="8" t="n">
        <v>2</v>
      </c>
      <c r="L58" s="8" t="n">
        <v>0</v>
      </c>
      <c r="M58" s="8" t="n">
        <v>3</v>
      </c>
      <c r="N58" s="8" t="n">
        <v>17</v>
      </c>
      <c r="O58" s="8" t="n">
        <v>11</v>
      </c>
      <c r="P58" s="9" t="n">
        <v>541.772470414921</v>
      </c>
      <c r="Q58" s="10" t="n">
        <v>0.001845793307353</v>
      </c>
      <c r="R58" s="9" t="n">
        <v>51</v>
      </c>
      <c r="S58" s="11" t="n">
        <f aca="false">IF(AND(ISNUMBER(R58),R58&gt;1,P58&gt;0),R58/P58-1,"")</f>
        <v>-0.905864541324994</v>
      </c>
      <c r="T58" s="9" t="n">
        <f aca="false">IF(AND(ISNUMBER(P58),P58&gt;0),P58*EXP('Read me'!$B$22),"")</f>
        <v>661.722389660034</v>
      </c>
    </row>
    <row r="59" customFormat="false" ht="15" hidden="false" customHeight="false" outlineLevel="0" collapsed="false">
      <c r="A59" s="14" t="s">
        <v>323</v>
      </c>
      <c r="B59" s="14" t="s">
        <v>197</v>
      </c>
      <c r="C59" s="14" t="s">
        <v>324</v>
      </c>
      <c r="D59" s="14" t="s">
        <v>570</v>
      </c>
      <c r="E59" s="15" t="n">
        <v>11</v>
      </c>
      <c r="F59" s="14" t="s">
        <v>819</v>
      </c>
      <c r="G59" s="8" t="n">
        <v>13</v>
      </c>
      <c r="H59" s="14" t="s">
        <v>1219</v>
      </c>
      <c r="I59" s="14" t="s">
        <v>827</v>
      </c>
      <c r="J59" s="14" t="s">
        <v>1220</v>
      </c>
      <c r="K59" s="8" t="n">
        <v>11</v>
      </c>
      <c r="L59" s="8" t="n">
        <v>0</v>
      </c>
      <c r="M59" s="8" t="n">
        <v>3</v>
      </c>
      <c r="N59" s="8" t="n">
        <v>16</v>
      </c>
      <c r="O59" s="8" t="n">
        <v>12</v>
      </c>
      <c r="P59" s="9" t="n">
        <v>895.507070732748</v>
      </c>
      <c r="Q59" s="10" t="n">
        <v>0.0011166857668491</v>
      </c>
      <c r="R59" s="9" t="n">
        <v>101</v>
      </c>
      <c r="S59" s="11" t="n">
        <f aca="false">IF(AND(ISNUMBER(R59),R59&gt;1,P59&gt;0),R59/P59-1,"")</f>
        <v>-0.88721473754824</v>
      </c>
      <c r="T59" s="9" t="n">
        <f aca="false">IF(AND(ISNUMBER(P59),P59&gt;0),P59*EXP('Read me'!$B$22),"")</f>
        <v>1093.77480614491</v>
      </c>
    </row>
    <row r="60" customFormat="false" ht="15" hidden="false" customHeight="false" outlineLevel="0" collapsed="false">
      <c r="A60" s="14" t="s">
        <v>323</v>
      </c>
      <c r="B60" s="14" t="s">
        <v>197</v>
      </c>
      <c r="C60" s="14" t="s">
        <v>324</v>
      </c>
      <c r="D60" s="14" t="s">
        <v>570</v>
      </c>
      <c r="E60" s="15" t="n">
        <v>11</v>
      </c>
      <c r="F60" s="14" t="s">
        <v>819</v>
      </c>
      <c r="G60" s="8" t="n">
        <v>13</v>
      </c>
      <c r="H60" s="14" t="s">
        <v>1221</v>
      </c>
      <c r="I60" s="14" t="s">
        <v>1222</v>
      </c>
      <c r="J60" s="14" t="s">
        <v>847</v>
      </c>
      <c r="K60" s="8" t="n">
        <v>10</v>
      </c>
      <c r="L60" s="8" t="n">
        <v>0</v>
      </c>
      <c r="M60" s="8" t="n">
        <v>3</v>
      </c>
      <c r="N60" s="8" t="n">
        <v>14</v>
      </c>
      <c r="O60" s="8" t="n">
        <v>13</v>
      </c>
      <c r="P60" s="9" t="n">
        <v>991.507543890121</v>
      </c>
      <c r="Q60" s="10" t="n">
        <v>0.001008565195658</v>
      </c>
      <c r="R60" s="9" t="n">
        <v>101</v>
      </c>
      <c r="S60" s="11" t="n">
        <f aca="false">IF(AND(ISNUMBER(R60),R60&gt;1,P60&gt;0),R60/P60-1,"")</f>
        <v>-0.898134915238534</v>
      </c>
      <c r="T60" s="9" t="n">
        <f aca="false">IF(AND(ISNUMBER(P60),P60&gt;0),P60*EXP('Read me'!$B$22),"")</f>
        <v>1211.03004884401</v>
      </c>
    </row>
    <row r="61" customFormat="false" ht="15" hidden="false" customHeight="false" outlineLevel="0" collapsed="false">
      <c r="A61" s="14" t="s">
        <v>328</v>
      </c>
      <c r="B61" s="14" t="s">
        <v>197</v>
      </c>
      <c r="C61" s="14" t="s">
        <v>329</v>
      </c>
      <c r="D61" s="14" t="s">
        <v>803</v>
      </c>
      <c r="E61" s="15" t="n">
        <v>8</v>
      </c>
      <c r="F61" s="14" t="s">
        <v>819</v>
      </c>
      <c r="G61" s="8" t="n">
        <v>14</v>
      </c>
      <c r="H61" s="14" t="s">
        <v>330</v>
      </c>
      <c r="I61" s="14" t="s">
        <v>331</v>
      </c>
      <c r="J61" s="14" t="s">
        <v>332</v>
      </c>
      <c r="K61" s="8" t="n">
        <v>12</v>
      </c>
      <c r="L61" s="8" t="n">
        <v>65</v>
      </c>
      <c r="M61" s="8" t="n">
        <v>5</v>
      </c>
      <c r="N61" s="8" t="n">
        <v>9</v>
      </c>
      <c r="O61" s="8" t="n">
        <v>1</v>
      </c>
      <c r="P61" s="9" t="n">
        <v>5.67757655969021</v>
      </c>
      <c r="Q61" s="10" t="n">
        <v>0.176131486645169</v>
      </c>
      <c r="R61" s="9" t="n">
        <v>4.5</v>
      </c>
      <c r="S61" s="11" t="n">
        <f aca="false">IF(AND(ISNUMBER(R61),R61&gt;1,P61&gt;0),R61/P61-1,"")</f>
        <v>-0.20740831009674</v>
      </c>
      <c r="T61" s="9" t="n">
        <f aca="false">IF(AND(ISNUMBER(P61),P61&gt;0),P61*EXP('Read me'!$B$22),"")</f>
        <v>6.93460766967115</v>
      </c>
    </row>
    <row r="62" customFormat="false" ht="15" hidden="false" customHeight="false" outlineLevel="0" collapsed="false">
      <c r="A62" s="14" t="s">
        <v>328</v>
      </c>
      <c r="B62" s="14" t="s">
        <v>197</v>
      </c>
      <c r="C62" s="14" t="s">
        <v>329</v>
      </c>
      <c r="D62" s="14" t="s">
        <v>803</v>
      </c>
      <c r="E62" s="15" t="n">
        <v>8</v>
      </c>
      <c r="F62" s="14" t="s">
        <v>819</v>
      </c>
      <c r="G62" s="8" t="n">
        <v>14</v>
      </c>
      <c r="H62" s="14" t="s">
        <v>333</v>
      </c>
      <c r="I62" s="14" t="s">
        <v>1223</v>
      </c>
      <c r="J62" s="14" t="s">
        <v>1165</v>
      </c>
      <c r="K62" s="8" t="n">
        <v>2</v>
      </c>
      <c r="L62" s="8" t="n">
        <v>62</v>
      </c>
      <c r="M62" s="8" t="n">
        <v>5</v>
      </c>
      <c r="N62" s="8" t="n">
        <v>12</v>
      </c>
      <c r="O62" s="8" t="n">
        <v>2</v>
      </c>
      <c r="P62" s="9" t="n">
        <v>9.01418465242488</v>
      </c>
      <c r="Q62" s="10" t="n">
        <v>0.110936267511559</v>
      </c>
      <c r="R62" s="9" t="n">
        <v>9.5</v>
      </c>
      <c r="S62" s="11" t="n">
        <f aca="false">IF(AND(ISNUMBER(R62),R62&gt;1,P62&gt;0),R62/P62-1,"")</f>
        <v>0.0538945413598144</v>
      </c>
      <c r="T62" s="9" t="n">
        <f aca="false">IF(AND(ISNUMBER(P62),P62&gt;0),P62*EXP('Read me'!$B$22),"")</f>
        <v>11.0099499970368</v>
      </c>
    </row>
    <row r="63" customFormat="false" ht="15" hidden="false" customHeight="false" outlineLevel="0" collapsed="false">
      <c r="A63" s="14" t="s">
        <v>328</v>
      </c>
      <c r="B63" s="14" t="s">
        <v>197</v>
      </c>
      <c r="C63" s="14" t="s">
        <v>329</v>
      </c>
      <c r="D63" s="14" t="s">
        <v>803</v>
      </c>
      <c r="E63" s="15" t="n">
        <v>8</v>
      </c>
      <c r="F63" s="14" t="s">
        <v>819</v>
      </c>
      <c r="G63" s="8" t="n">
        <v>14</v>
      </c>
      <c r="H63" s="14" t="s">
        <v>1224</v>
      </c>
      <c r="I63" s="14" t="s">
        <v>1225</v>
      </c>
      <c r="J63" s="14" t="s">
        <v>201</v>
      </c>
      <c r="K63" s="8" t="n">
        <v>8</v>
      </c>
      <c r="L63" s="8" t="n">
        <v>63</v>
      </c>
      <c r="M63" s="8" t="n">
        <v>4</v>
      </c>
      <c r="N63" s="8" t="n">
        <v>11</v>
      </c>
      <c r="O63" s="8" t="n">
        <v>3</v>
      </c>
      <c r="P63" s="9" t="n">
        <v>9.43614717971501</v>
      </c>
      <c r="Q63" s="10" t="n">
        <v>0.105975455973144</v>
      </c>
      <c r="R63" s="9" t="n">
        <v>7</v>
      </c>
      <c r="S63" s="11" t="n">
        <f aca="false">IF(AND(ISNUMBER(R63),R63&gt;1,P63&gt;0),R63/P63-1,"")</f>
        <v>-0.258171808187989</v>
      </c>
      <c r="T63" s="9" t="n">
        <f aca="false">IF(AND(ISNUMBER(P63),P63&gt;0),P63*EXP('Read me'!$B$22),"")</f>
        <v>11.5253361917092</v>
      </c>
    </row>
    <row r="64" customFormat="false" ht="15" hidden="false" customHeight="false" outlineLevel="0" collapsed="false">
      <c r="A64" s="14" t="s">
        <v>328</v>
      </c>
      <c r="B64" s="14" t="s">
        <v>197</v>
      </c>
      <c r="C64" s="14" t="s">
        <v>329</v>
      </c>
      <c r="D64" s="14" t="s">
        <v>803</v>
      </c>
      <c r="E64" s="15" t="n">
        <v>8</v>
      </c>
      <c r="F64" s="14" t="s">
        <v>819</v>
      </c>
      <c r="G64" s="8" t="n">
        <v>14</v>
      </c>
      <c r="H64" s="14" t="s">
        <v>1226</v>
      </c>
      <c r="I64" s="14" t="s">
        <v>200</v>
      </c>
      <c r="J64" s="14" t="s">
        <v>1207</v>
      </c>
      <c r="K64" s="8" t="n">
        <v>3</v>
      </c>
      <c r="L64" s="8" t="n">
        <v>64</v>
      </c>
      <c r="M64" s="8" t="n">
        <v>4</v>
      </c>
      <c r="N64" s="8" t="n">
        <v>17</v>
      </c>
      <c r="O64" s="8" t="n">
        <v>4</v>
      </c>
      <c r="P64" s="9" t="n">
        <v>9.47187669067537</v>
      </c>
      <c r="Q64" s="10" t="n">
        <v>0.105575698740299</v>
      </c>
      <c r="R64" s="9" t="n">
        <v>9</v>
      </c>
      <c r="S64" s="11" t="n">
        <f aca="false">IF(AND(ISNUMBER(R64),R64&gt;1,P64&gt;0),R64/P64-1,"")</f>
        <v>-0.0498187113373118</v>
      </c>
      <c r="T64" s="9" t="n">
        <f aca="false">IF(AND(ISNUMBER(P64),P64&gt;0),P64*EXP('Read me'!$B$22),"")</f>
        <v>11.5689763149439</v>
      </c>
    </row>
    <row r="65" customFormat="false" ht="15" hidden="false" customHeight="false" outlineLevel="0" collapsed="false">
      <c r="A65" s="14" t="s">
        <v>328</v>
      </c>
      <c r="B65" s="14" t="s">
        <v>197</v>
      </c>
      <c r="C65" s="14" t="s">
        <v>329</v>
      </c>
      <c r="D65" s="14" t="s">
        <v>803</v>
      </c>
      <c r="E65" s="15" t="n">
        <v>8</v>
      </c>
      <c r="F65" s="14" t="s">
        <v>819</v>
      </c>
      <c r="G65" s="8" t="n">
        <v>14</v>
      </c>
      <c r="H65" s="14" t="s">
        <v>1227</v>
      </c>
      <c r="I65" s="14" t="s">
        <v>1228</v>
      </c>
      <c r="J65" s="14" t="s">
        <v>744</v>
      </c>
      <c r="K65" s="8" t="n">
        <v>11</v>
      </c>
      <c r="L65" s="8" t="n">
        <v>62</v>
      </c>
      <c r="M65" s="8" t="n">
        <v>5</v>
      </c>
      <c r="N65" s="8" t="n">
        <v>26</v>
      </c>
      <c r="O65" s="8" t="n">
        <v>5</v>
      </c>
      <c r="P65" s="9" t="n">
        <v>9.83632653756779</v>
      </c>
      <c r="Q65" s="10" t="n">
        <v>0.101663969387424</v>
      </c>
      <c r="R65" s="9" t="n">
        <v>7</v>
      </c>
      <c r="S65" s="11" t="n">
        <f aca="false">IF(AND(ISNUMBER(R65),R65&gt;1,P65&gt;0),R65/P65-1,"")</f>
        <v>-0.288352214288031</v>
      </c>
      <c r="T65" s="9" t="n">
        <f aca="false">IF(AND(ISNUMBER(P65),P65&gt;0),P65*EXP('Read me'!$B$22),"")</f>
        <v>12.0141163631494</v>
      </c>
    </row>
    <row r="66" customFormat="false" ht="15" hidden="false" customHeight="false" outlineLevel="0" collapsed="false">
      <c r="A66" s="14" t="s">
        <v>328</v>
      </c>
      <c r="B66" s="14" t="s">
        <v>197</v>
      </c>
      <c r="C66" s="14" t="s">
        <v>329</v>
      </c>
      <c r="D66" s="14" t="s">
        <v>803</v>
      </c>
      <c r="E66" s="15" t="n">
        <v>8</v>
      </c>
      <c r="F66" s="14" t="s">
        <v>819</v>
      </c>
      <c r="G66" s="8" t="n">
        <v>14</v>
      </c>
      <c r="H66" s="14" t="s">
        <v>1229</v>
      </c>
      <c r="I66" s="14" t="s">
        <v>1230</v>
      </c>
      <c r="J66" s="14" t="s">
        <v>582</v>
      </c>
      <c r="K66" s="8" t="n">
        <v>7</v>
      </c>
      <c r="L66" s="8" t="n">
        <v>63</v>
      </c>
      <c r="M66" s="8" t="n">
        <v>3</v>
      </c>
      <c r="N66" s="8" t="n">
        <v>11</v>
      </c>
      <c r="O66" s="8" t="n">
        <v>6</v>
      </c>
      <c r="P66" s="9" t="n">
        <v>10.7637356866216</v>
      </c>
      <c r="Q66" s="10" t="n">
        <v>0.0929045481154762</v>
      </c>
      <c r="R66" s="9" t="n">
        <v>8</v>
      </c>
      <c r="S66" s="11" t="n">
        <f aca="false">IF(AND(ISNUMBER(R66),R66&gt;1,P66&gt;0),R66/P66-1,"")</f>
        <v>-0.25676361507619</v>
      </c>
      <c r="T66" s="9" t="n">
        <f aca="false">IF(AND(ISNUMBER(P66),P66&gt;0),P66*EXP('Read me'!$B$22),"")</f>
        <v>13.1468564557466</v>
      </c>
    </row>
    <row r="67" customFormat="false" ht="15" hidden="false" customHeight="false" outlineLevel="0" collapsed="false">
      <c r="A67" s="14" t="s">
        <v>328</v>
      </c>
      <c r="B67" s="14" t="s">
        <v>197</v>
      </c>
      <c r="C67" s="14" t="s">
        <v>329</v>
      </c>
      <c r="D67" s="14" t="s">
        <v>803</v>
      </c>
      <c r="E67" s="15" t="n">
        <v>8</v>
      </c>
      <c r="F67" s="14" t="s">
        <v>819</v>
      </c>
      <c r="G67" s="8" t="n">
        <v>14</v>
      </c>
      <c r="H67" s="14" t="s">
        <v>1231</v>
      </c>
      <c r="I67" s="14" t="s">
        <v>963</v>
      </c>
      <c r="J67" s="14" t="s">
        <v>480</v>
      </c>
      <c r="K67" s="8" t="n">
        <v>14</v>
      </c>
      <c r="L67" s="8" t="n">
        <v>60</v>
      </c>
      <c r="M67" s="8" t="n">
        <v>4</v>
      </c>
      <c r="N67" s="8" t="n">
        <v>26</v>
      </c>
      <c r="O67" s="8" t="n">
        <v>7</v>
      </c>
      <c r="P67" s="9" t="n">
        <v>11.010429743532</v>
      </c>
      <c r="Q67" s="10" t="n">
        <v>0.0908229763318225</v>
      </c>
      <c r="R67" s="9" t="n">
        <v>12</v>
      </c>
      <c r="S67" s="11" t="n">
        <f aca="false">IF(AND(ISNUMBER(R67),R67&gt;1,P67&gt;0),R67/P67-1,"")</f>
        <v>0.0898757159818706</v>
      </c>
      <c r="T67" s="9" t="n">
        <f aca="false">IF(AND(ISNUMBER(P67),P67&gt;0),P67*EXP('Read me'!$B$22),"")</f>
        <v>13.4481692572787</v>
      </c>
    </row>
    <row r="68" customFormat="false" ht="15" hidden="false" customHeight="false" outlineLevel="0" collapsed="false">
      <c r="A68" s="14" t="s">
        <v>328</v>
      </c>
      <c r="B68" s="14" t="s">
        <v>197</v>
      </c>
      <c r="C68" s="14" t="s">
        <v>329</v>
      </c>
      <c r="D68" s="14" t="s">
        <v>803</v>
      </c>
      <c r="E68" s="15" t="n">
        <v>8</v>
      </c>
      <c r="F68" s="14" t="s">
        <v>819</v>
      </c>
      <c r="G68" s="8" t="n">
        <v>14</v>
      </c>
      <c r="H68" s="14" t="s">
        <v>1232</v>
      </c>
      <c r="I68" s="14" t="s">
        <v>820</v>
      </c>
      <c r="J68" s="14" t="s">
        <v>810</v>
      </c>
      <c r="K68" s="8" t="n">
        <v>10</v>
      </c>
      <c r="L68" s="8" t="n">
        <v>63</v>
      </c>
      <c r="M68" s="8" t="n">
        <v>5</v>
      </c>
      <c r="N68" s="8" t="n">
        <v>17</v>
      </c>
      <c r="O68" s="8" t="n">
        <v>8</v>
      </c>
      <c r="P68" s="9" t="n">
        <v>12.140105867876</v>
      </c>
      <c r="Q68" s="10" t="n">
        <v>0.0823716045711021</v>
      </c>
      <c r="R68" s="9" t="n">
        <v>11</v>
      </c>
      <c r="S68" s="11" t="n">
        <f aca="false">IF(AND(ISNUMBER(R68),R68&gt;1,P68&gt;0),R68/P68-1,"")</f>
        <v>-0.0939123497178759</v>
      </c>
      <c r="T68" s="9" t="n">
        <f aca="false">IF(AND(ISNUMBER(P68),P68&gt;0),P68*EXP('Read me'!$B$22),"")</f>
        <v>14.8279587913802</v>
      </c>
    </row>
    <row r="69" customFormat="false" ht="15" hidden="false" customHeight="false" outlineLevel="0" collapsed="false">
      <c r="A69" s="14" t="s">
        <v>328</v>
      </c>
      <c r="B69" s="14" t="s">
        <v>197</v>
      </c>
      <c r="C69" s="14" t="s">
        <v>329</v>
      </c>
      <c r="D69" s="14" t="s">
        <v>803</v>
      </c>
      <c r="E69" s="15" t="n">
        <v>8</v>
      </c>
      <c r="F69" s="14" t="s">
        <v>819</v>
      </c>
      <c r="G69" s="8" t="n">
        <v>14</v>
      </c>
      <c r="H69" s="14" t="s">
        <v>1233</v>
      </c>
      <c r="I69" s="14" t="s">
        <v>1234</v>
      </c>
      <c r="J69" s="14" t="s">
        <v>1235</v>
      </c>
      <c r="K69" s="8" t="n">
        <v>6</v>
      </c>
      <c r="L69" s="8" t="n">
        <v>55</v>
      </c>
      <c r="M69" s="8" t="n">
        <v>4</v>
      </c>
      <c r="N69" s="8" t="n">
        <v>27</v>
      </c>
      <c r="O69" s="8" t="n">
        <v>9</v>
      </c>
      <c r="P69" s="9" t="n">
        <v>31.3946100490601</v>
      </c>
      <c r="Q69" s="10" t="n">
        <v>0.0318526013999635</v>
      </c>
      <c r="R69" s="9" t="n">
        <v>19</v>
      </c>
      <c r="S69" s="11" t="n">
        <f aca="false">IF(AND(ISNUMBER(R69),R69&gt;1,P69&gt;0),R69/P69-1,"")</f>
        <v>-0.394800573400693</v>
      </c>
      <c r="T69" s="9" t="n">
        <f aca="false">IF(AND(ISNUMBER(P69),P69&gt;0),P69*EXP('Read me'!$B$22),"")</f>
        <v>38.3454633052849</v>
      </c>
    </row>
    <row r="70" customFormat="false" ht="15" hidden="false" customHeight="false" outlineLevel="0" collapsed="false">
      <c r="A70" s="14" t="s">
        <v>328</v>
      </c>
      <c r="B70" s="14" t="s">
        <v>197</v>
      </c>
      <c r="C70" s="14" t="s">
        <v>329</v>
      </c>
      <c r="D70" s="14" t="s">
        <v>803</v>
      </c>
      <c r="E70" s="15" t="n">
        <v>8</v>
      </c>
      <c r="F70" s="14" t="s">
        <v>819</v>
      </c>
      <c r="G70" s="8" t="n">
        <v>14</v>
      </c>
      <c r="H70" s="14" t="s">
        <v>1236</v>
      </c>
      <c r="I70" s="14" t="s">
        <v>1237</v>
      </c>
      <c r="J70" s="14" t="s">
        <v>1238</v>
      </c>
      <c r="K70" s="8" t="n">
        <v>1</v>
      </c>
      <c r="L70" s="8" t="n">
        <v>62</v>
      </c>
      <c r="M70" s="8" t="n">
        <v>4</v>
      </c>
      <c r="N70" s="8" t="n">
        <v>36</v>
      </c>
      <c r="O70" s="8" t="n">
        <v>10</v>
      </c>
      <c r="P70" s="9" t="n">
        <v>31.726470217962</v>
      </c>
      <c r="Q70" s="10" t="n">
        <v>0.0315194218937677</v>
      </c>
      <c r="R70" s="9" t="n">
        <v>19</v>
      </c>
      <c r="S70" s="11" t="n">
        <f aca="false">IF(AND(ISNUMBER(R70),R70&gt;1,P70&gt;0),R70/P70-1,"")</f>
        <v>-0.401130984018413</v>
      </c>
      <c r="T70" s="9" t="n">
        <f aca="false">IF(AND(ISNUMBER(P70),P70&gt;0),P70*EXP('Read me'!$B$22),"")</f>
        <v>38.7507982309052</v>
      </c>
    </row>
    <row r="71" customFormat="false" ht="15" hidden="false" customHeight="false" outlineLevel="0" collapsed="false">
      <c r="A71" s="14" t="s">
        <v>328</v>
      </c>
      <c r="B71" s="14" t="s">
        <v>197</v>
      </c>
      <c r="C71" s="14" t="s">
        <v>329</v>
      </c>
      <c r="D71" s="14" t="s">
        <v>803</v>
      </c>
      <c r="E71" s="15" t="n">
        <v>8</v>
      </c>
      <c r="F71" s="14" t="s">
        <v>819</v>
      </c>
      <c r="G71" s="8" t="n">
        <v>14</v>
      </c>
      <c r="H71" s="14" t="s">
        <v>1239</v>
      </c>
      <c r="I71" s="14" t="s">
        <v>833</v>
      </c>
      <c r="J71" s="14" t="s">
        <v>1240</v>
      </c>
      <c r="K71" s="8" t="n">
        <v>13</v>
      </c>
      <c r="L71" s="8" t="n">
        <v>63</v>
      </c>
      <c r="M71" s="8" t="n">
        <v>5</v>
      </c>
      <c r="N71" s="8" t="n">
        <v>67</v>
      </c>
      <c r="O71" s="8" t="n">
        <v>11</v>
      </c>
      <c r="P71" s="9" t="n">
        <v>35.557451451937</v>
      </c>
      <c r="Q71" s="10" t="n">
        <v>0.0281235003963009</v>
      </c>
      <c r="R71" s="9" t="n">
        <v>17</v>
      </c>
      <c r="S71" s="11" t="n">
        <f aca="false">IF(AND(ISNUMBER(R71),R71&gt;1,P71&gt;0),R71/P71-1,"")</f>
        <v>-0.521900493262885</v>
      </c>
      <c r="T71" s="9" t="n">
        <f aca="false">IF(AND(ISNUMBER(P71),P71&gt;0),P71*EXP('Read me'!$B$22),"")</f>
        <v>43.4299692765422</v>
      </c>
    </row>
    <row r="72" customFormat="false" ht="15" hidden="false" customHeight="false" outlineLevel="0" collapsed="false">
      <c r="A72" s="14" t="s">
        <v>328</v>
      </c>
      <c r="B72" s="14" t="s">
        <v>197</v>
      </c>
      <c r="C72" s="14" t="s">
        <v>329</v>
      </c>
      <c r="D72" s="14" t="s">
        <v>803</v>
      </c>
      <c r="E72" s="15" t="n">
        <v>8</v>
      </c>
      <c r="F72" s="14" t="s">
        <v>819</v>
      </c>
      <c r="G72" s="8" t="n">
        <v>14</v>
      </c>
      <c r="H72" s="14" t="s">
        <v>1241</v>
      </c>
      <c r="I72" s="14" t="s">
        <v>959</v>
      </c>
      <c r="J72" s="14" t="s">
        <v>1173</v>
      </c>
      <c r="K72" s="8" t="n">
        <v>9</v>
      </c>
      <c r="L72" s="8" t="n">
        <v>63</v>
      </c>
      <c r="M72" s="8" t="n">
        <v>7</v>
      </c>
      <c r="N72" s="8" t="n">
        <v>116</v>
      </c>
      <c r="O72" s="8" t="n">
        <v>12</v>
      </c>
      <c r="P72" s="9" t="n">
        <v>46.4144973636846</v>
      </c>
      <c r="Q72" s="10" t="n">
        <v>0.0215449925518834</v>
      </c>
      <c r="R72" s="9" t="n">
        <v>17</v>
      </c>
      <c r="S72" s="11" t="n">
        <f aca="false">IF(AND(ISNUMBER(R72),R72&gt;1,P72&gt;0),R72/P72-1,"")</f>
        <v>-0.633735126617981</v>
      </c>
      <c r="T72" s="9" t="n">
        <f aca="false">IF(AND(ISNUMBER(P72),P72&gt;0),P72*EXP('Read me'!$B$22),"")</f>
        <v>56.6907950986223</v>
      </c>
    </row>
    <row r="73" customFormat="false" ht="15" hidden="false" customHeight="false" outlineLevel="0" collapsed="false">
      <c r="A73" s="14" t="s">
        <v>328</v>
      </c>
      <c r="B73" s="14" t="s">
        <v>197</v>
      </c>
      <c r="C73" s="14" t="s">
        <v>329</v>
      </c>
      <c r="D73" s="14" t="s">
        <v>803</v>
      </c>
      <c r="E73" s="15" t="n">
        <v>8</v>
      </c>
      <c r="F73" s="14" t="s">
        <v>819</v>
      </c>
      <c r="G73" s="8" t="n">
        <v>14</v>
      </c>
      <c r="H73" s="14" t="s">
        <v>1242</v>
      </c>
      <c r="I73" s="14" t="s">
        <v>1243</v>
      </c>
      <c r="J73" s="14" t="s">
        <v>1244</v>
      </c>
      <c r="K73" s="8" t="n">
        <v>5</v>
      </c>
      <c r="L73" s="8" t="n">
        <v>65</v>
      </c>
      <c r="M73" s="8" t="n">
        <v>4</v>
      </c>
      <c r="N73" s="8" t="n">
        <v>23</v>
      </c>
      <c r="O73" s="8" t="n">
        <v>13</v>
      </c>
      <c r="P73" s="9" t="n">
        <v>68.5106482579196</v>
      </c>
      <c r="Q73" s="10" t="n">
        <v>0.0145962711699258</v>
      </c>
      <c r="R73" s="9" t="n">
        <v>26</v>
      </c>
      <c r="S73" s="11" t="n">
        <f aca="false">IF(AND(ISNUMBER(R73),R73&gt;1,P73&gt;0),R73/P73-1,"")</f>
        <v>-0.620496949581929</v>
      </c>
      <c r="T73" s="9" t="n">
        <f aca="false">IF(AND(ISNUMBER(P73),P73&gt;0),P73*EXP('Read me'!$B$22),"")</f>
        <v>83.6790947455642</v>
      </c>
    </row>
    <row r="74" customFormat="false" ht="15" hidden="false" customHeight="false" outlineLevel="0" collapsed="false">
      <c r="A74" s="14" t="s">
        <v>328</v>
      </c>
      <c r="B74" s="14" t="s">
        <v>197</v>
      </c>
      <c r="C74" s="14" t="s">
        <v>329</v>
      </c>
      <c r="D74" s="14" t="s">
        <v>803</v>
      </c>
      <c r="E74" s="15" t="n">
        <v>8</v>
      </c>
      <c r="F74" s="14" t="s">
        <v>819</v>
      </c>
      <c r="G74" s="8" t="n">
        <v>14</v>
      </c>
      <c r="H74" s="14" t="s">
        <v>1245</v>
      </c>
      <c r="I74" s="14" t="s">
        <v>1246</v>
      </c>
      <c r="J74" s="14" t="s">
        <v>442</v>
      </c>
      <c r="K74" s="8" t="n">
        <v>4</v>
      </c>
      <c r="L74" s="8" t="n">
        <v>60</v>
      </c>
      <c r="M74" s="8" t="n">
        <v>3</v>
      </c>
      <c r="N74" s="8" t="n">
        <v>92</v>
      </c>
      <c r="O74" s="8" t="n">
        <v>14</v>
      </c>
      <c r="P74" s="9" t="n">
        <v>167.190381839364</v>
      </c>
      <c r="Q74" s="10" t="n">
        <v>0.005981205312162</v>
      </c>
      <c r="R74" s="9" t="n">
        <v>34</v>
      </c>
      <c r="S74" s="11" t="n">
        <f aca="false">IF(AND(ISNUMBER(R74),R74&gt;1,P74&gt;0),R74/P74-1,"")</f>
        <v>-0.796639019386492</v>
      </c>
      <c r="T74" s="9" t="n">
        <f aca="false">IF(AND(ISNUMBER(P74),P74&gt;0),P74*EXP('Read me'!$B$22),"")</f>
        <v>204.206793516451</v>
      </c>
    </row>
    <row r="75" customFormat="false" ht="15" hidden="false" customHeight="false" outlineLevel="0" collapsed="false">
      <c r="A75" s="14" t="s">
        <v>334</v>
      </c>
      <c r="B75" s="14" t="s">
        <v>197</v>
      </c>
      <c r="C75" s="14" t="s">
        <v>335</v>
      </c>
      <c r="D75" s="14" t="s">
        <v>877</v>
      </c>
      <c r="E75" s="15" t="n">
        <v>7</v>
      </c>
      <c r="F75" s="14" t="s">
        <v>819</v>
      </c>
      <c r="G75" s="8" t="n">
        <v>12</v>
      </c>
      <c r="H75" s="14" t="s">
        <v>336</v>
      </c>
      <c r="I75" s="14" t="s">
        <v>337</v>
      </c>
      <c r="J75" s="14" t="s">
        <v>338</v>
      </c>
      <c r="K75" s="8" t="n">
        <v>8</v>
      </c>
      <c r="L75" s="8" t="n">
        <v>72</v>
      </c>
      <c r="M75" s="8" t="n">
        <v>3</v>
      </c>
      <c r="N75" s="8" t="n">
        <v>11</v>
      </c>
      <c r="O75" s="8" t="n">
        <v>1</v>
      </c>
      <c r="P75" s="9" t="n">
        <v>6.60489098212704</v>
      </c>
      <c r="Q75" s="10" t="n">
        <v>0.151402953160926</v>
      </c>
      <c r="R75" s="9" t="n">
        <v>9.5</v>
      </c>
      <c r="S75" s="11" t="n">
        <f aca="false">IF(AND(ISNUMBER(R75),R75&gt;1,P75&gt;0),R75/P75-1,"")</f>
        <v>0.438328055028793</v>
      </c>
      <c r="T75" s="9" t="n">
        <f aca="false">IF(AND(ISNUMBER(P75),P75&gt;0),P75*EXP('Read me'!$B$22),"")</f>
        <v>8.0672320629172</v>
      </c>
    </row>
    <row r="76" customFormat="false" ht="15" hidden="false" customHeight="false" outlineLevel="0" collapsed="false">
      <c r="A76" s="14" t="s">
        <v>334</v>
      </c>
      <c r="B76" s="14" t="s">
        <v>197</v>
      </c>
      <c r="C76" s="14" t="s">
        <v>335</v>
      </c>
      <c r="D76" s="14" t="s">
        <v>877</v>
      </c>
      <c r="E76" s="15" t="n">
        <v>7</v>
      </c>
      <c r="F76" s="14" t="s">
        <v>819</v>
      </c>
      <c r="G76" s="8" t="n">
        <v>12</v>
      </c>
      <c r="H76" s="14" t="s">
        <v>339</v>
      </c>
      <c r="I76" s="14" t="s">
        <v>961</v>
      </c>
      <c r="J76" s="14" t="s">
        <v>480</v>
      </c>
      <c r="K76" s="8" t="n">
        <v>3</v>
      </c>
      <c r="L76" s="8" t="n">
        <v>69</v>
      </c>
      <c r="M76" s="8" t="n">
        <v>6</v>
      </c>
      <c r="N76" s="8" t="n">
        <v>15</v>
      </c>
      <c r="O76" s="8" t="n">
        <v>2</v>
      </c>
      <c r="P76" s="9" t="n">
        <v>6.97450119585363</v>
      </c>
      <c r="Q76" s="10" t="n">
        <v>0.143379429140324</v>
      </c>
      <c r="R76" s="9" t="n">
        <v>4</v>
      </c>
      <c r="S76" s="11" t="n">
        <f aca="false">IF(AND(ISNUMBER(R76),R76&gt;1,P76&gt;0),R76/P76-1,"")</f>
        <v>-0.426482283438704</v>
      </c>
      <c r="T76" s="9" t="n">
        <f aca="false">IF(AND(ISNUMBER(P76),P76&gt;0),P76*EXP('Read me'!$B$22),"")</f>
        <v>8.51867499740703</v>
      </c>
    </row>
    <row r="77" customFormat="false" ht="15" hidden="false" customHeight="false" outlineLevel="0" collapsed="false">
      <c r="A77" s="14" t="s">
        <v>334</v>
      </c>
      <c r="B77" s="14" t="s">
        <v>197</v>
      </c>
      <c r="C77" s="14" t="s">
        <v>335</v>
      </c>
      <c r="D77" s="14" t="s">
        <v>877</v>
      </c>
      <c r="E77" s="15" t="n">
        <v>7</v>
      </c>
      <c r="F77" s="14" t="s">
        <v>819</v>
      </c>
      <c r="G77" s="8" t="n">
        <v>12</v>
      </c>
      <c r="H77" s="14" t="s">
        <v>1247</v>
      </c>
      <c r="I77" s="14" t="s">
        <v>1248</v>
      </c>
      <c r="J77" s="14" t="s">
        <v>1249</v>
      </c>
      <c r="K77" s="8" t="n">
        <v>6</v>
      </c>
      <c r="L77" s="8" t="n">
        <v>67</v>
      </c>
      <c r="M77" s="8" t="n">
        <v>3</v>
      </c>
      <c r="N77" s="8" t="n">
        <v>12</v>
      </c>
      <c r="O77" s="8" t="n">
        <v>3</v>
      </c>
      <c r="P77" s="9" t="n">
        <v>7.79092297333167</v>
      </c>
      <c r="Q77" s="10" t="n">
        <v>0.12835449707602</v>
      </c>
      <c r="R77" s="9" t="n">
        <v>6</v>
      </c>
      <c r="S77" s="11" t="n">
        <f aca="false">IF(AND(ISNUMBER(R77),R77&gt;1,P77&gt;0),R77/P77-1,"")</f>
        <v>-0.229873017543877</v>
      </c>
      <c r="T77" s="9" t="n">
        <f aca="false">IF(AND(ISNUMBER(P77),P77&gt;0),P77*EXP('Read me'!$B$22),"")</f>
        <v>9.51585480824073</v>
      </c>
    </row>
    <row r="78" customFormat="false" ht="15" hidden="false" customHeight="false" outlineLevel="0" collapsed="false">
      <c r="A78" s="14" t="s">
        <v>334</v>
      </c>
      <c r="B78" s="14" t="s">
        <v>197</v>
      </c>
      <c r="C78" s="14" t="s">
        <v>335</v>
      </c>
      <c r="D78" s="14" t="s">
        <v>877</v>
      </c>
      <c r="E78" s="15" t="n">
        <v>7</v>
      </c>
      <c r="F78" s="14" t="s">
        <v>819</v>
      </c>
      <c r="G78" s="8" t="n">
        <v>12</v>
      </c>
      <c r="H78" s="14" t="s">
        <v>1250</v>
      </c>
      <c r="I78" s="14" t="s">
        <v>820</v>
      </c>
      <c r="J78" s="14" t="s">
        <v>692</v>
      </c>
      <c r="K78" s="8" t="n">
        <v>5</v>
      </c>
      <c r="L78" s="8" t="n">
        <v>69</v>
      </c>
      <c r="M78" s="8" t="n">
        <v>4</v>
      </c>
      <c r="N78" s="8" t="n">
        <v>104</v>
      </c>
      <c r="O78" s="8" t="n">
        <v>4</v>
      </c>
      <c r="P78" s="9" t="n">
        <v>7.88095505918759</v>
      </c>
      <c r="Q78" s="10" t="n">
        <v>0.126888174401427</v>
      </c>
      <c r="R78" s="9" t="n">
        <v>11</v>
      </c>
      <c r="S78" s="11" t="n">
        <f aca="false">IF(AND(ISNUMBER(R78),R78&gt;1,P78&gt;0),R78/P78-1,"")</f>
        <v>0.395769918415692</v>
      </c>
      <c r="T78" s="9" t="n">
        <f aca="false">IF(AND(ISNUMBER(P78),P78&gt;0),P78*EXP('Read me'!$B$22),"")</f>
        <v>9.62582024622807</v>
      </c>
    </row>
    <row r="79" customFormat="false" ht="15" hidden="false" customHeight="false" outlineLevel="0" collapsed="false">
      <c r="A79" s="14" t="s">
        <v>334</v>
      </c>
      <c r="B79" s="14" t="s">
        <v>197</v>
      </c>
      <c r="C79" s="14" t="s">
        <v>335</v>
      </c>
      <c r="D79" s="14" t="s">
        <v>877</v>
      </c>
      <c r="E79" s="15" t="n">
        <v>7</v>
      </c>
      <c r="F79" s="14" t="s">
        <v>819</v>
      </c>
      <c r="G79" s="8" t="n">
        <v>12</v>
      </c>
      <c r="H79" s="14" t="s">
        <v>1251</v>
      </c>
      <c r="I79" s="14" t="s">
        <v>306</v>
      </c>
      <c r="J79" s="14" t="s">
        <v>127</v>
      </c>
      <c r="K79" s="8" t="n">
        <v>1</v>
      </c>
      <c r="L79" s="8" t="n">
        <v>72</v>
      </c>
      <c r="M79" s="8" t="n">
        <v>5</v>
      </c>
      <c r="N79" s="8" t="n">
        <v>12</v>
      </c>
      <c r="O79" s="8" t="n">
        <v>5</v>
      </c>
      <c r="P79" s="9" t="n">
        <v>9.76316925774466</v>
      </c>
      <c r="Q79" s="10" t="n">
        <v>0.102425756800923</v>
      </c>
      <c r="R79" s="9" t="n">
        <v>13</v>
      </c>
      <c r="S79" s="11" t="n">
        <f aca="false">IF(AND(ISNUMBER(R79),R79&gt;1,P79&gt;0),R79/P79-1,"")</f>
        <v>0.331534838411996</v>
      </c>
      <c r="T79" s="9" t="n">
        <f aca="false">IF(AND(ISNUMBER(P79),P79&gt;0),P79*EXP('Read me'!$B$22),"")</f>
        <v>11.9247618597939</v>
      </c>
    </row>
    <row r="80" customFormat="false" ht="15" hidden="false" customHeight="false" outlineLevel="0" collapsed="false">
      <c r="A80" s="14" t="s">
        <v>334</v>
      </c>
      <c r="B80" s="14" t="s">
        <v>197</v>
      </c>
      <c r="C80" s="14" t="s">
        <v>335</v>
      </c>
      <c r="D80" s="14" t="s">
        <v>877</v>
      </c>
      <c r="E80" s="15" t="n">
        <v>7</v>
      </c>
      <c r="F80" s="14" t="s">
        <v>819</v>
      </c>
      <c r="G80" s="8" t="n">
        <v>12</v>
      </c>
      <c r="H80" s="14" t="s">
        <v>1252</v>
      </c>
      <c r="I80" s="14" t="s">
        <v>1170</v>
      </c>
      <c r="J80" s="14" t="s">
        <v>1253</v>
      </c>
      <c r="K80" s="8" t="n">
        <v>2</v>
      </c>
      <c r="L80" s="8" t="n">
        <v>72</v>
      </c>
      <c r="M80" s="8" t="n">
        <v>4</v>
      </c>
      <c r="N80" s="8" t="n">
        <v>9</v>
      </c>
      <c r="O80" s="8" t="n">
        <v>6</v>
      </c>
      <c r="P80" s="9" t="n">
        <v>10.7158918259793</v>
      </c>
      <c r="Q80" s="10" t="n">
        <v>0.0933193444129058</v>
      </c>
      <c r="R80" s="9" t="n">
        <v>7.5</v>
      </c>
      <c r="S80" s="11" t="n">
        <f aca="false">IF(AND(ISNUMBER(R80),R80&gt;1,P80&gt;0),R80/P80-1,"")</f>
        <v>-0.300104916903206</v>
      </c>
      <c r="T80" s="9" t="n">
        <f aca="false">IF(AND(ISNUMBER(P80),P80&gt;0),P80*EXP('Read me'!$B$22),"")</f>
        <v>13.0884198323971</v>
      </c>
    </row>
    <row r="81" customFormat="false" ht="15" hidden="false" customHeight="false" outlineLevel="0" collapsed="false">
      <c r="A81" s="14" t="s">
        <v>334</v>
      </c>
      <c r="B81" s="14" t="s">
        <v>197</v>
      </c>
      <c r="C81" s="14" t="s">
        <v>335</v>
      </c>
      <c r="D81" s="14" t="s">
        <v>877</v>
      </c>
      <c r="E81" s="15" t="n">
        <v>7</v>
      </c>
      <c r="F81" s="14" t="s">
        <v>819</v>
      </c>
      <c r="G81" s="8" t="n">
        <v>12</v>
      </c>
      <c r="H81" s="14" t="s">
        <v>1254</v>
      </c>
      <c r="I81" s="14" t="s">
        <v>343</v>
      </c>
      <c r="J81" s="14" t="s">
        <v>703</v>
      </c>
      <c r="K81" s="8" t="n">
        <v>11</v>
      </c>
      <c r="L81" s="8" t="n">
        <v>70</v>
      </c>
      <c r="M81" s="8" t="n">
        <v>6</v>
      </c>
      <c r="N81" s="8" t="n">
        <v>14</v>
      </c>
      <c r="O81" s="8" t="n">
        <v>7</v>
      </c>
      <c r="P81" s="9" t="n">
        <v>14.0069530083833</v>
      </c>
      <c r="Q81" s="10" t="n">
        <v>0.0713931145054525</v>
      </c>
      <c r="R81" s="9" t="n">
        <v>5.5</v>
      </c>
      <c r="S81" s="11" t="n">
        <f aca="false">IF(AND(ISNUMBER(R81),R81&gt;1,P81&gt;0),R81/P81-1,"")</f>
        <v>-0.607337870220011</v>
      </c>
      <c r="T81" s="9" t="n">
        <f aca="false">IF(AND(ISNUMBER(P81),P81&gt;0),P81*EXP('Read me'!$B$22),"")</f>
        <v>17.1081310378592</v>
      </c>
    </row>
    <row r="82" customFormat="false" ht="15" hidden="false" customHeight="false" outlineLevel="0" collapsed="false">
      <c r="A82" s="14" t="s">
        <v>334</v>
      </c>
      <c r="B82" s="14" t="s">
        <v>197</v>
      </c>
      <c r="C82" s="14" t="s">
        <v>335</v>
      </c>
      <c r="D82" s="14" t="s">
        <v>877</v>
      </c>
      <c r="E82" s="15" t="n">
        <v>7</v>
      </c>
      <c r="F82" s="14" t="s">
        <v>819</v>
      </c>
      <c r="G82" s="8" t="n">
        <v>12</v>
      </c>
      <c r="H82" s="14" t="s">
        <v>1255</v>
      </c>
      <c r="I82" s="14" t="s">
        <v>326</v>
      </c>
      <c r="J82" s="14" t="s">
        <v>1249</v>
      </c>
      <c r="K82" s="8" t="n">
        <v>12</v>
      </c>
      <c r="L82" s="8" t="n">
        <v>68</v>
      </c>
      <c r="M82" s="8" t="n">
        <v>3</v>
      </c>
      <c r="N82" s="8" t="n">
        <v>17</v>
      </c>
      <c r="O82" s="8" t="n">
        <v>8</v>
      </c>
      <c r="P82" s="9" t="n">
        <v>14.54412421912</v>
      </c>
      <c r="Q82" s="10" t="n">
        <v>0.0687562884457064</v>
      </c>
      <c r="R82" s="9" t="n">
        <v>12</v>
      </c>
      <c r="S82" s="11" t="n">
        <f aca="false">IF(AND(ISNUMBER(R82),R82&gt;1,P82&gt;0),R82/P82-1,"")</f>
        <v>-0.174924538651522</v>
      </c>
      <c r="T82" s="9" t="n">
        <f aca="false">IF(AND(ISNUMBER(P82),P82&gt;0),P82*EXP('Read me'!$B$22),"")</f>
        <v>17.7642334362573</v>
      </c>
    </row>
    <row r="83" customFormat="false" ht="15" hidden="false" customHeight="false" outlineLevel="0" collapsed="false">
      <c r="A83" s="14" t="s">
        <v>334</v>
      </c>
      <c r="B83" s="14" t="s">
        <v>197</v>
      </c>
      <c r="C83" s="14" t="s">
        <v>335</v>
      </c>
      <c r="D83" s="14" t="s">
        <v>877</v>
      </c>
      <c r="E83" s="15" t="n">
        <v>7</v>
      </c>
      <c r="F83" s="14" t="s">
        <v>819</v>
      </c>
      <c r="G83" s="8" t="n">
        <v>12</v>
      </c>
      <c r="H83" s="14" t="s">
        <v>1256</v>
      </c>
      <c r="I83" s="14" t="s">
        <v>956</v>
      </c>
      <c r="J83" s="14" t="s">
        <v>1257</v>
      </c>
      <c r="K83" s="8" t="n">
        <v>4</v>
      </c>
      <c r="L83" s="8" t="n">
        <v>66</v>
      </c>
      <c r="M83" s="8" t="n">
        <v>5</v>
      </c>
      <c r="N83" s="8" t="n">
        <v>22</v>
      </c>
      <c r="O83" s="8" t="n">
        <v>9</v>
      </c>
      <c r="P83" s="9" t="n">
        <v>23.3604625117097</v>
      </c>
      <c r="Q83" s="10" t="n">
        <v>0.0428073716219762</v>
      </c>
      <c r="R83" s="9" t="n">
        <v>12</v>
      </c>
      <c r="S83" s="11" t="n">
        <f aca="false">IF(AND(ISNUMBER(R83),R83&gt;1,P83&gt;0),R83/P83-1,"")</f>
        <v>-0.486311540536285</v>
      </c>
      <c r="T83" s="9" t="n">
        <f aca="false">IF(AND(ISNUMBER(P83),P83&gt;0),P83*EXP('Read me'!$B$22),"")</f>
        <v>28.5325333436994</v>
      </c>
    </row>
    <row r="84" customFormat="false" ht="15" hidden="false" customHeight="false" outlineLevel="0" collapsed="false">
      <c r="A84" s="14" t="s">
        <v>334</v>
      </c>
      <c r="B84" s="14" t="s">
        <v>197</v>
      </c>
      <c r="C84" s="14" t="s">
        <v>335</v>
      </c>
      <c r="D84" s="14" t="s">
        <v>877</v>
      </c>
      <c r="E84" s="15" t="n">
        <v>7</v>
      </c>
      <c r="F84" s="14" t="s">
        <v>819</v>
      </c>
      <c r="G84" s="8" t="n">
        <v>12</v>
      </c>
      <c r="H84" s="14" t="s">
        <v>1258</v>
      </c>
      <c r="I84" s="14" t="s">
        <v>827</v>
      </c>
      <c r="J84" s="14" t="s">
        <v>692</v>
      </c>
      <c r="K84" s="8" t="n">
        <v>13</v>
      </c>
      <c r="L84" s="8" t="n">
        <v>70</v>
      </c>
      <c r="M84" s="8" t="n">
        <v>3</v>
      </c>
      <c r="N84" s="8" t="n">
        <v>83</v>
      </c>
      <c r="O84" s="8" t="n">
        <v>10</v>
      </c>
      <c r="P84" s="9" t="n">
        <v>25.8691784858546</v>
      </c>
      <c r="Q84" s="10" t="n">
        <v>0.0386560400650838</v>
      </c>
      <c r="R84" s="9" t="n">
        <v>21</v>
      </c>
      <c r="S84" s="11" t="n">
        <f aca="false">IF(AND(ISNUMBER(R84),R84&gt;1,P84&gt;0),R84/P84-1,"")</f>
        <v>-0.18822315863324</v>
      </c>
      <c r="T84" s="9" t="n">
        <f aca="false">IF(AND(ISNUMBER(P84),P84&gt;0),P84*EXP('Read me'!$B$22),"")</f>
        <v>31.5966859539605</v>
      </c>
    </row>
    <row r="85" customFormat="false" ht="15" hidden="false" customHeight="false" outlineLevel="0" collapsed="false">
      <c r="A85" s="14" t="s">
        <v>334</v>
      </c>
      <c r="B85" s="14" t="s">
        <v>197</v>
      </c>
      <c r="C85" s="14" t="s">
        <v>335</v>
      </c>
      <c r="D85" s="14" t="s">
        <v>877</v>
      </c>
      <c r="E85" s="15" t="n">
        <v>7</v>
      </c>
      <c r="F85" s="14" t="s">
        <v>819</v>
      </c>
      <c r="G85" s="8" t="n">
        <v>12</v>
      </c>
      <c r="H85" s="14" t="s">
        <v>1259</v>
      </c>
      <c r="I85" s="14" t="s">
        <v>822</v>
      </c>
      <c r="J85" s="14" t="s">
        <v>744</v>
      </c>
      <c r="K85" s="8" t="n">
        <v>10</v>
      </c>
      <c r="L85" s="8" t="n">
        <v>69</v>
      </c>
      <c r="M85" s="8" t="n">
        <v>3</v>
      </c>
      <c r="N85" s="8" t="n">
        <v>113</v>
      </c>
      <c r="O85" s="8" t="n">
        <v>11</v>
      </c>
      <c r="P85" s="9" t="n">
        <v>33.524348900549</v>
      </c>
      <c r="Q85" s="10" t="n">
        <v>0.0298290655238832</v>
      </c>
      <c r="R85" s="9" t="n">
        <v>26</v>
      </c>
      <c r="S85" s="11" t="n">
        <f aca="false">IF(AND(ISNUMBER(R85),R85&gt;1,P85&gt;0),R85/P85-1,"")</f>
        <v>-0.224444296379035</v>
      </c>
      <c r="T85" s="9" t="n">
        <f aca="false">IF(AND(ISNUMBER(P85),P85&gt;0),P85*EXP('Read me'!$B$22),"")</f>
        <v>40.9467322126544</v>
      </c>
    </row>
    <row r="86" customFormat="false" ht="15" hidden="false" customHeight="false" outlineLevel="0" collapsed="false">
      <c r="A86" s="14" t="s">
        <v>334</v>
      </c>
      <c r="B86" s="14" t="s">
        <v>197</v>
      </c>
      <c r="C86" s="14" t="s">
        <v>335</v>
      </c>
      <c r="D86" s="14" t="s">
        <v>877</v>
      </c>
      <c r="E86" s="15" t="n">
        <v>7</v>
      </c>
      <c r="F86" s="14" t="s">
        <v>819</v>
      </c>
      <c r="G86" s="8" t="n">
        <v>12</v>
      </c>
      <c r="H86" s="14" t="s">
        <v>1260</v>
      </c>
      <c r="I86" s="14" t="s">
        <v>1087</v>
      </c>
      <c r="J86" s="14" t="s">
        <v>703</v>
      </c>
      <c r="K86" s="8" t="n">
        <v>9</v>
      </c>
      <c r="L86" s="8" t="n">
        <v>69</v>
      </c>
      <c r="M86" s="8" t="n">
        <v>7</v>
      </c>
      <c r="N86" s="8" t="n">
        <v>8</v>
      </c>
      <c r="O86" s="8" t="n">
        <v>12</v>
      </c>
      <c r="P86" s="9" t="n">
        <v>358.684580137293</v>
      </c>
      <c r="Q86" s="10" t="n">
        <v>0.0027879648453725</v>
      </c>
      <c r="R86" s="9" t="n">
        <v>34</v>
      </c>
      <c r="S86" s="11" t="n">
        <f aca="false">IF(AND(ISNUMBER(R86),R86&gt;1,P86&gt;0),R86/P86-1,"")</f>
        <v>-0.905209195257332</v>
      </c>
      <c r="T86" s="9" t="n">
        <f aca="false">IF(AND(ISNUMBER(P86),P86&gt;0),P86*EXP('Read me'!$B$22),"")</f>
        <v>438.098335489212</v>
      </c>
    </row>
    <row r="87" customFormat="false" ht="15" hidden="false" customHeight="false" outlineLevel="0" collapsed="false">
      <c r="A87" s="14" t="s">
        <v>340</v>
      </c>
      <c r="B87" s="14" t="s">
        <v>197</v>
      </c>
      <c r="C87" s="14" t="s">
        <v>341</v>
      </c>
      <c r="D87" s="14" t="s">
        <v>877</v>
      </c>
      <c r="E87" s="15" t="n">
        <v>6</v>
      </c>
      <c r="F87" s="14" t="s">
        <v>819</v>
      </c>
      <c r="G87" s="8" t="n">
        <v>13</v>
      </c>
      <c r="H87" s="14" t="s">
        <v>342</v>
      </c>
      <c r="I87" s="14" t="s">
        <v>343</v>
      </c>
      <c r="J87" s="14" t="s">
        <v>344</v>
      </c>
      <c r="K87" s="8" t="n">
        <v>7</v>
      </c>
      <c r="L87" s="8" t="n">
        <v>71</v>
      </c>
      <c r="M87" s="8" t="n">
        <v>4</v>
      </c>
      <c r="N87" s="8" t="n">
        <v>10</v>
      </c>
      <c r="O87" s="8" t="n">
        <v>1</v>
      </c>
      <c r="P87" s="9" t="n">
        <v>4.35247403174201</v>
      </c>
      <c r="Q87" s="10" t="n">
        <v>0.229754386288611</v>
      </c>
      <c r="R87" s="9" t="n">
        <v>3.25</v>
      </c>
      <c r="S87" s="11" t="n">
        <f aca="false">IF(AND(ISNUMBER(R87),R87&gt;1,P87&gt;0),R87/P87-1,"")</f>
        <v>-0.253298244562015</v>
      </c>
      <c r="T87" s="9" t="n">
        <f aca="false">IF(AND(ISNUMBER(P87),P87&gt;0),P87*EXP('Read me'!$B$22),"")</f>
        <v>5.3161237871902</v>
      </c>
    </row>
    <row r="88" customFormat="false" ht="15" hidden="false" customHeight="false" outlineLevel="0" collapsed="false">
      <c r="A88" s="14" t="s">
        <v>340</v>
      </c>
      <c r="B88" s="14" t="s">
        <v>197</v>
      </c>
      <c r="C88" s="14" t="s">
        <v>341</v>
      </c>
      <c r="D88" s="14" t="s">
        <v>877</v>
      </c>
      <c r="E88" s="15" t="n">
        <v>6</v>
      </c>
      <c r="F88" s="14" t="s">
        <v>819</v>
      </c>
      <c r="G88" s="8" t="n">
        <v>13</v>
      </c>
      <c r="H88" s="14" t="s">
        <v>345</v>
      </c>
      <c r="I88" s="14" t="s">
        <v>306</v>
      </c>
      <c r="J88" s="14" t="s">
        <v>629</v>
      </c>
      <c r="K88" s="8" t="n">
        <v>8</v>
      </c>
      <c r="L88" s="8" t="n">
        <v>74</v>
      </c>
      <c r="M88" s="8" t="n">
        <v>6</v>
      </c>
      <c r="N88" s="8" t="n">
        <v>21</v>
      </c>
      <c r="O88" s="8" t="n">
        <v>2</v>
      </c>
      <c r="P88" s="9" t="n">
        <v>6.1152374234686</v>
      </c>
      <c r="Q88" s="10" t="n">
        <v>0.163525948504023</v>
      </c>
      <c r="R88" s="9" t="n">
        <v>4.5</v>
      </c>
      <c r="S88" s="11" t="n">
        <f aca="false">IF(AND(ISNUMBER(R88),R88&gt;1,P88&gt;0),R88/P88-1,"")</f>
        <v>-0.264133231731896</v>
      </c>
      <c r="T88" s="9" t="n">
        <f aca="false">IF(AND(ISNUMBER(P88),P88&gt;0),P88*EXP('Read me'!$B$22),"")</f>
        <v>7.46916785582883</v>
      </c>
    </row>
    <row r="89" customFormat="false" ht="15" hidden="false" customHeight="false" outlineLevel="0" collapsed="false">
      <c r="A89" s="14" t="s">
        <v>340</v>
      </c>
      <c r="B89" s="14" t="s">
        <v>197</v>
      </c>
      <c r="C89" s="14" t="s">
        <v>341</v>
      </c>
      <c r="D89" s="14" t="s">
        <v>877</v>
      </c>
      <c r="E89" s="15" t="n">
        <v>6</v>
      </c>
      <c r="F89" s="14" t="s">
        <v>819</v>
      </c>
      <c r="G89" s="8" t="n">
        <v>13</v>
      </c>
      <c r="H89" s="14" t="s">
        <v>1261</v>
      </c>
      <c r="I89" s="14" t="s">
        <v>822</v>
      </c>
      <c r="J89" s="14" t="s">
        <v>127</v>
      </c>
      <c r="K89" s="8" t="n">
        <v>14</v>
      </c>
      <c r="L89" s="8" t="n">
        <v>76</v>
      </c>
      <c r="M89" s="8" t="n">
        <v>3</v>
      </c>
      <c r="N89" s="8" t="n">
        <v>8</v>
      </c>
      <c r="O89" s="8" t="n">
        <v>3</v>
      </c>
      <c r="P89" s="9" t="n">
        <v>7.99586275994608</v>
      </c>
      <c r="Q89" s="10" t="n">
        <v>0.125064677824303</v>
      </c>
      <c r="R89" s="9" t="n">
        <v>7.5</v>
      </c>
      <c r="S89" s="11" t="n">
        <f aca="false">IF(AND(ISNUMBER(R89),R89&gt;1,P89&gt;0),R89/P89-1,"")</f>
        <v>-0.0620149163177259</v>
      </c>
      <c r="T89" s="9" t="n">
        <f aca="false">IF(AND(ISNUMBER(P89),P89&gt;0),P89*EXP('Read me'!$B$22),"")</f>
        <v>9.76616882886833</v>
      </c>
    </row>
    <row r="90" customFormat="false" ht="15" hidden="false" customHeight="false" outlineLevel="0" collapsed="false">
      <c r="A90" s="14" t="s">
        <v>340</v>
      </c>
      <c r="B90" s="14" t="s">
        <v>197</v>
      </c>
      <c r="C90" s="14" t="s">
        <v>341</v>
      </c>
      <c r="D90" s="14" t="s">
        <v>877</v>
      </c>
      <c r="E90" s="15" t="n">
        <v>6</v>
      </c>
      <c r="F90" s="14" t="s">
        <v>819</v>
      </c>
      <c r="G90" s="8" t="n">
        <v>13</v>
      </c>
      <c r="H90" s="14" t="s">
        <v>1262</v>
      </c>
      <c r="I90" s="14" t="s">
        <v>959</v>
      </c>
      <c r="J90" s="14" t="s">
        <v>67</v>
      </c>
      <c r="K90" s="8" t="n">
        <v>2</v>
      </c>
      <c r="L90" s="8" t="n">
        <v>75</v>
      </c>
      <c r="M90" s="8" t="n">
        <v>3</v>
      </c>
      <c r="N90" s="8" t="n">
        <v>59</v>
      </c>
      <c r="O90" s="8" t="n">
        <v>4</v>
      </c>
      <c r="P90" s="9" t="n">
        <v>14.2230468401084</v>
      </c>
      <c r="Q90" s="10" t="n">
        <v>0.0703084234511581</v>
      </c>
      <c r="R90" s="9" t="n">
        <v>6.5</v>
      </c>
      <c r="S90" s="11" t="n">
        <f aca="false">IF(AND(ISNUMBER(R90),R90&gt;1,P90&gt;0),R90/P90-1,"")</f>
        <v>-0.542995247567472</v>
      </c>
      <c r="T90" s="9" t="n">
        <f aca="false">IF(AND(ISNUMBER(P90),P90&gt;0),P90*EXP('Read me'!$B$22),"")</f>
        <v>17.3720686399497</v>
      </c>
    </row>
    <row r="91" customFormat="false" ht="15" hidden="false" customHeight="false" outlineLevel="0" collapsed="false">
      <c r="A91" s="14" t="s">
        <v>340</v>
      </c>
      <c r="B91" s="14" t="s">
        <v>197</v>
      </c>
      <c r="C91" s="14" t="s">
        <v>341</v>
      </c>
      <c r="D91" s="14" t="s">
        <v>877</v>
      </c>
      <c r="E91" s="15" t="n">
        <v>6</v>
      </c>
      <c r="F91" s="14" t="s">
        <v>819</v>
      </c>
      <c r="G91" s="8" t="n">
        <v>13</v>
      </c>
      <c r="H91" s="14" t="s">
        <v>1263</v>
      </c>
      <c r="I91" s="14" t="s">
        <v>278</v>
      </c>
      <c r="J91" s="14" t="s">
        <v>279</v>
      </c>
      <c r="K91" s="8" t="n">
        <v>13</v>
      </c>
      <c r="L91" s="8" t="n">
        <v>75</v>
      </c>
      <c r="M91" s="8" t="n">
        <v>6</v>
      </c>
      <c r="N91" s="8" t="n">
        <v>30</v>
      </c>
      <c r="O91" s="8" t="n">
        <v>5</v>
      </c>
      <c r="P91" s="9" t="n">
        <v>15.1336776752144</v>
      </c>
      <c r="Q91" s="10" t="n">
        <v>0.066077791628784</v>
      </c>
      <c r="R91" s="9" t="n">
        <v>13</v>
      </c>
      <c r="S91" s="11" t="n">
        <f aca="false">IF(AND(ISNUMBER(R91),R91&gt;1,P91&gt;0),R91/P91-1,"")</f>
        <v>-0.140988708825807</v>
      </c>
      <c r="T91" s="9" t="n">
        <f aca="false">IF(AND(ISNUMBER(P91),P91&gt;0),P91*EXP('Read me'!$B$22),"")</f>
        <v>18.4843156536139</v>
      </c>
    </row>
    <row r="92" customFormat="false" ht="15" hidden="false" customHeight="false" outlineLevel="0" collapsed="false">
      <c r="A92" s="14" t="s">
        <v>340</v>
      </c>
      <c r="B92" s="14" t="s">
        <v>197</v>
      </c>
      <c r="C92" s="14" t="s">
        <v>341</v>
      </c>
      <c r="D92" s="14" t="s">
        <v>877</v>
      </c>
      <c r="E92" s="15" t="n">
        <v>6</v>
      </c>
      <c r="F92" s="14" t="s">
        <v>819</v>
      </c>
      <c r="G92" s="8" t="n">
        <v>13</v>
      </c>
      <c r="H92" s="14" t="s">
        <v>1264</v>
      </c>
      <c r="I92" s="14" t="s">
        <v>200</v>
      </c>
      <c r="J92" s="14" t="s">
        <v>463</v>
      </c>
      <c r="K92" s="8" t="n">
        <v>6</v>
      </c>
      <c r="L92" s="8" t="n">
        <v>71</v>
      </c>
      <c r="M92" s="8" t="n">
        <v>4</v>
      </c>
      <c r="N92" s="8" t="n">
        <v>25</v>
      </c>
      <c r="O92" s="8" t="n">
        <v>6</v>
      </c>
      <c r="P92" s="9" t="n">
        <v>17.9140564767704</v>
      </c>
      <c r="Q92" s="10" t="n">
        <v>0.0558220859299358</v>
      </c>
      <c r="R92" s="9" t="n">
        <v>12</v>
      </c>
      <c r="S92" s="11" t="n">
        <f aca="false">IF(AND(ISNUMBER(R92),R92&gt;1,P92&gt;0),R92/P92-1,"")</f>
        <v>-0.33013496884077</v>
      </c>
      <c r="T92" s="9" t="n">
        <f aca="false">IF(AND(ISNUMBER(P92),P92&gt;0),P92*EXP('Read me'!$B$22),"")</f>
        <v>21.8802779905644</v>
      </c>
    </row>
    <row r="93" customFormat="false" ht="15" hidden="false" customHeight="false" outlineLevel="0" collapsed="false">
      <c r="A93" s="14" t="s">
        <v>340</v>
      </c>
      <c r="B93" s="14" t="s">
        <v>197</v>
      </c>
      <c r="C93" s="14" t="s">
        <v>341</v>
      </c>
      <c r="D93" s="14" t="s">
        <v>877</v>
      </c>
      <c r="E93" s="15" t="n">
        <v>6</v>
      </c>
      <c r="F93" s="14" t="s">
        <v>819</v>
      </c>
      <c r="G93" s="8" t="n">
        <v>13</v>
      </c>
      <c r="H93" s="14" t="s">
        <v>1265</v>
      </c>
      <c r="I93" s="14" t="s">
        <v>1170</v>
      </c>
      <c r="J93" s="14" t="s">
        <v>230</v>
      </c>
      <c r="K93" s="8" t="n">
        <v>3</v>
      </c>
      <c r="L93" s="8" t="n">
        <v>73</v>
      </c>
      <c r="M93" s="8" t="n">
        <v>3</v>
      </c>
      <c r="N93" s="8" t="n">
        <v>17</v>
      </c>
      <c r="O93" s="8" t="n">
        <v>7</v>
      </c>
      <c r="P93" s="9" t="n">
        <v>19.4015988197202</v>
      </c>
      <c r="Q93" s="10" t="n">
        <v>0.051542143989885</v>
      </c>
      <c r="R93" s="9" t="n">
        <v>26</v>
      </c>
      <c r="S93" s="11" t="n">
        <f aca="false">IF(AND(ISNUMBER(R93),R93&gt;1,P93&gt;0),R93/P93-1,"")</f>
        <v>0.340095743737011</v>
      </c>
      <c r="T93" s="9" t="n">
        <f aca="false">IF(AND(ISNUMBER(P93),P93&gt;0),P93*EXP('Read me'!$B$22),"")</f>
        <v>23.6971663111233</v>
      </c>
    </row>
    <row r="94" customFormat="false" ht="15" hidden="false" customHeight="false" outlineLevel="0" collapsed="false">
      <c r="A94" s="14" t="s">
        <v>340</v>
      </c>
      <c r="B94" s="14" t="s">
        <v>197</v>
      </c>
      <c r="C94" s="14" t="s">
        <v>341</v>
      </c>
      <c r="D94" s="14" t="s">
        <v>877</v>
      </c>
      <c r="E94" s="15" t="n">
        <v>6</v>
      </c>
      <c r="F94" s="14" t="s">
        <v>819</v>
      </c>
      <c r="G94" s="8" t="n">
        <v>13</v>
      </c>
      <c r="H94" s="14" t="s">
        <v>1266</v>
      </c>
      <c r="I94" s="14" t="s">
        <v>966</v>
      </c>
      <c r="J94" s="14" t="s">
        <v>621</v>
      </c>
      <c r="K94" s="8" t="n">
        <v>11</v>
      </c>
      <c r="L94" s="8" t="n">
        <v>75</v>
      </c>
      <c r="M94" s="8" t="n">
        <v>8</v>
      </c>
      <c r="N94" s="8" t="n">
        <v>29</v>
      </c>
      <c r="O94" s="8" t="n">
        <v>8</v>
      </c>
      <c r="P94" s="9" t="n">
        <v>19.6984458388283</v>
      </c>
      <c r="Q94" s="10" t="n">
        <v>0.0507654262768721</v>
      </c>
      <c r="R94" s="9" t="n">
        <v>12</v>
      </c>
      <c r="S94" s="11" t="n">
        <f aca="false">IF(AND(ISNUMBER(R94),R94&gt;1,P94&gt;0),R94/P94-1,"")</f>
        <v>-0.390814884677534</v>
      </c>
      <c r="T94" s="9" t="n">
        <f aca="false">IF(AND(ISNUMBER(P94),P94&gt;0),P94*EXP('Read me'!$B$22),"")</f>
        <v>24.0597360790137</v>
      </c>
    </row>
    <row r="95" customFormat="false" ht="15" hidden="false" customHeight="false" outlineLevel="0" collapsed="false">
      <c r="A95" s="14" t="s">
        <v>340</v>
      </c>
      <c r="B95" s="14" t="s">
        <v>197</v>
      </c>
      <c r="C95" s="14" t="s">
        <v>341</v>
      </c>
      <c r="D95" s="14" t="s">
        <v>877</v>
      </c>
      <c r="E95" s="15" t="n">
        <v>6</v>
      </c>
      <c r="F95" s="14" t="s">
        <v>819</v>
      </c>
      <c r="G95" s="8" t="n">
        <v>13</v>
      </c>
      <c r="H95" s="14" t="s">
        <v>1267</v>
      </c>
      <c r="I95" s="14" t="s">
        <v>1218</v>
      </c>
      <c r="J95" s="14" t="s">
        <v>442</v>
      </c>
      <c r="K95" s="8" t="n">
        <v>9</v>
      </c>
      <c r="L95" s="8" t="n">
        <v>74</v>
      </c>
      <c r="M95" s="8" t="n">
        <v>3</v>
      </c>
      <c r="N95" s="8" t="n">
        <v>35</v>
      </c>
      <c r="O95" s="8" t="n">
        <v>9</v>
      </c>
      <c r="P95" s="9" t="n">
        <v>20.5504084205138</v>
      </c>
      <c r="Q95" s="10" t="n">
        <v>0.0486608333779772</v>
      </c>
      <c r="R95" s="9" t="n">
        <v>26</v>
      </c>
      <c r="S95" s="11" t="n">
        <f aca="false">IF(AND(ISNUMBER(R95),R95&gt;1,P95&gt;0),R95/P95-1,"")</f>
        <v>0.265181667827408</v>
      </c>
      <c r="T95" s="9" t="n">
        <f aca="false">IF(AND(ISNUMBER(P95),P95&gt;0),P95*EXP('Read me'!$B$22),"")</f>
        <v>25.1003255261335</v>
      </c>
    </row>
    <row r="96" customFormat="false" ht="15" hidden="false" customHeight="false" outlineLevel="0" collapsed="false">
      <c r="A96" s="14" t="s">
        <v>340</v>
      </c>
      <c r="B96" s="14" t="s">
        <v>197</v>
      </c>
      <c r="C96" s="14" t="s">
        <v>341</v>
      </c>
      <c r="D96" s="14" t="s">
        <v>877</v>
      </c>
      <c r="E96" s="15" t="n">
        <v>6</v>
      </c>
      <c r="F96" s="14" t="s">
        <v>819</v>
      </c>
      <c r="G96" s="8" t="n">
        <v>13</v>
      </c>
      <c r="H96" s="14" t="s">
        <v>1268</v>
      </c>
      <c r="I96" s="14" t="s">
        <v>1085</v>
      </c>
      <c r="J96" s="14" t="s">
        <v>188</v>
      </c>
      <c r="K96" s="8" t="n">
        <v>1</v>
      </c>
      <c r="L96" s="8" t="n">
        <v>75</v>
      </c>
      <c r="M96" s="8" t="n">
        <v>4</v>
      </c>
      <c r="N96" s="8" t="n">
        <v>18</v>
      </c>
      <c r="O96" s="8" t="n">
        <v>10</v>
      </c>
      <c r="P96" s="9" t="n">
        <v>22.0912938390151</v>
      </c>
      <c r="Q96" s="10" t="n">
        <v>0.0452667013207672</v>
      </c>
      <c r="R96" s="9" t="n">
        <v>26</v>
      </c>
      <c r="S96" s="11" t="n">
        <f aca="false">IF(AND(ISNUMBER(R96),R96&gt;1,P96&gt;0),R96/P96-1,"")</f>
        <v>0.176934234339948</v>
      </c>
      <c r="T96" s="9" t="n">
        <f aca="false">IF(AND(ISNUMBER(P96),P96&gt;0),P96*EXP('Read me'!$B$22),"")</f>
        <v>26.9823672262998</v>
      </c>
    </row>
    <row r="97" customFormat="false" ht="15" hidden="false" customHeight="false" outlineLevel="0" collapsed="false">
      <c r="A97" s="14" t="s">
        <v>340</v>
      </c>
      <c r="B97" s="14" t="s">
        <v>197</v>
      </c>
      <c r="C97" s="14" t="s">
        <v>341</v>
      </c>
      <c r="D97" s="14" t="s">
        <v>877</v>
      </c>
      <c r="E97" s="15" t="n">
        <v>6</v>
      </c>
      <c r="F97" s="14" t="s">
        <v>819</v>
      </c>
      <c r="G97" s="8" t="n">
        <v>13</v>
      </c>
      <c r="H97" s="14" t="s">
        <v>1269</v>
      </c>
      <c r="I97" s="14" t="s">
        <v>830</v>
      </c>
      <c r="J97" s="14" t="s">
        <v>839</v>
      </c>
      <c r="K97" s="8" t="n">
        <v>5</v>
      </c>
      <c r="L97" s="8" t="n">
        <v>74</v>
      </c>
      <c r="M97" s="8" t="n">
        <v>3</v>
      </c>
      <c r="N97" s="8" t="n">
        <v>98</v>
      </c>
      <c r="O97" s="8" t="n">
        <v>11</v>
      </c>
      <c r="P97" s="9" t="n">
        <v>30.2383799996355</v>
      </c>
      <c r="Q97" s="10" t="n">
        <v>0.0330705547060409</v>
      </c>
      <c r="R97" s="9" t="n">
        <v>34</v>
      </c>
      <c r="S97" s="11" t="n">
        <f aca="false">IF(AND(ISNUMBER(R97),R97&gt;1,P97&gt;0),R97/P97-1,"")</f>
        <v>0.124398860005391</v>
      </c>
      <c r="T97" s="9" t="n">
        <f aca="false">IF(AND(ISNUMBER(P97),P97&gt;0),P97*EXP('Read me'!$B$22),"")</f>
        <v>36.9332407338502</v>
      </c>
    </row>
    <row r="98" customFormat="false" ht="15" hidden="false" customHeight="false" outlineLevel="0" collapsed="false">
      <c r="A98" s="14" t="s">
        <v>340</v>
      </c>
      <c r="B98" s="14" t="s">
        <v>197</v>
      </c>
      <c r="C98" s="14" t="s">
        <v>341</v>
      </c>
      <c r="D98" s="14" t="s">
        <v>877</v>
      </c>
      <c r="E98" s="15" t="n">
        <v>6</v>
      </c>
      <c r="F98" s="14" t="s">
        <v>819</v>
      </c>
      <c r="G98" s="8" t="n">
        <v>13</v>
      </c>
      <c r="H98" s="14" t="s">
        <v>1270</v>
      </c>
      <c r="I98" s="14" t="s">
        <v>838</v>
      </c>
      <c r="J98" s="14" t="s">
        <v>1271</v>
      </c>
      <c r="K98" s="8" t="n">
        <v>4</v>
      </c>
      <c r="L98" s="8" t="n">
        <v>72</v>
      </c>
      <c r="M98" s="8" t="n">
        <v>5</v>
      </c>
      <c r="N98" s="8" t="n">
        <v>30</v>
      </c>
      <c r="O98" s="8" t="n">
        <v>12</v>
      </c>
      <c r="P98" s="9" t="n">
        <v>30.43610312689</v>
      </c>
      <c r="Q98" s="10" t="n">
        <v>0.0328557172983328</v>
      </c>
      <c r="R98" s="9" t="n">
        <v>26</v>
      </c>
      <c r="S98" s="11" t="n">
        <f aca="false">IF(AND(ISNUMBER(R98),R98&gt;1,P98&gt;0),R98/P98-1,"")</f>
        <v>-0.145751350243347</v>
      </c>
      <c r="T98" s="9" t="n">
        <f aca="false">IF(AND(ISNUMBER(P98),P98&gt;0),P98*EXP('Read me'!$B$22),"")</f>
        <v>37.1747403068308</v>
      </c>
    </row>
    <row r="99" customFormat="false" ht="15" hidden="false" customHeight="false" outlineLevel="0" collapsed="false">
      <c r="A99" s="14" t="s">
        <v>340</v>
      </c>
      <c r="B99" s="14" t="s">
        <v>197</v>
      </c>
      <c r="C99" s="14" t="s">
        <v>341</v>
      </c>
      <c r="D99" s="14" t="s">
        <v>877</v>
      </c>
      <c r="E99" s="15" t="n">
        <v>6</v>
      </c>
      <c r="F99" s="14" t="s">
        <v>819</v>
      </c>
      <c r="G99" s="8" t="n">
        <v>13</v>
      </c>
      <c r="H99" s="14" t="s">
        <v>1272</v>
      </c>
      <c r="I99" s="14" t="s">
        <v>1223</v>
      </c>
      <c r="J99" s="14" t="s">
        <v>815</v>
      </c>
      <c r="K99" s="8" t="n">
        <v>10</v>
      </c>
      <c r="L99" s="8" t="n">
        <v>74</v>
      </c>
      <c r="M99" s="8" t="n">
        <v>4</v>
      </c>
      <c r="N99" s="8" t="n">
        <v>63</v>
      </c>
      <c r="O99" s="8" t="n">
        <v>13</v>
      </c>
      <c r="P99" s="9" t="n">
        <v>36.6497584916045</v>
      </c>
      <c r="Q99" s="10" t="n">
        <v>0.0272853094033095</v>
      </c>
      <c r="R99" s="9" t="n">
        <v>21</v>
      </c>
      <c r="S99" s="11" t="n">
        <f aca="false">IF(AND(ISNUMBER(R99),R99&gt;1,P99&gt;0),R99/P99-1,"")</f>
        <v>-0.427008502530499</v>
      </c>
      <c r="T99" s="9" t="n">
        <f aca="false">IF(AND(ISNUMBER(P99),P99&gt;0),P99*EXP('Read me'!$B$22),"")</f>
        <v>44.7641161075498</v>
      </c>
    </row>
  </sheetData>
  <autoFilter ref="A1:T99"/>
  <conditionalFormatting sqref="A2:T99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2026-09-26T10:01:12Z</dcterms:created>
  <dc:creator>openpyxl</dc:creator>
  <dc:description/>
  <dc:language>en-US</dc:language>
  <cp:lastModifiedBy/>
  <dcterms:modified xsi:type="dcterms:W3CDTF">2026-09-26T10:01:13Z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