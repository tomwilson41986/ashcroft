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All runners" sheetId="3" state="visible" r:id="rId5"/>
    <sheet name="Ffos Las" sheetId="4" state="visible" r:id="rId6"/>
    <sheet name="Curragh" sheetId="5" state="visible" r:id="rId7"/>
    <sheet name="Epsom" sheetId="6" state="visible" r:id="rId8"/>
  </sheets>
  <definedNames>
    <definedName function="false" hidden="true" localSheetId="2" name="_xlnm._FilterDatabase" vbProcedure="false">'All runners'!$A$1:$T$222</definedName>
    <definedName function="false" hidden="true" localSheetId="4" name="_xlnm._FilterDatabase" vbProcedure="false">Curragh!$A$1:$T$109</definedName>
    <definedName function="false" hidden="true" localSheetId="5" name="_xlnm._FilterDatabase" vbProcedure="false">Epsom!$A$1:$T$57</definedName>
    <definedName function="false" hidden="true" localSheetId="3" name="_xlnm._FilterDatabase" vbProcedure="false">'Ffos Las'!$A$1:$T$58</definedName>
    <definedName function="false" hidden="true" localSheetId="1" name="_xlnm._FilterDatabase" vbProcedure="false">'Top picks'!$A$1:$O$24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<sst xmlns="http://schemas.openxmlformats.org/spreadsheetml/2006/main" count="3605" uniqueCount="555">
  <si>
    <t xml:space="preserve">Predictions for 2026-09-27</t>
  </si>
  <si>
    <t xml:space="preserve">Runners</t>
  </si>
  <si>
    <t xml:space="preserve">Races</t>
  </si>
  <si>
    <t xml:space="preserve">Meetings</t>
  </si>
  <si>
    <t xml:space="preserve">The model</t>
  </si>
  <si>
    <t xml:space="preserve">pair500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</si>
  <si>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</si>
  <si>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</si>
  <si>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</si>
  <si>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</si>
  <si>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</si>
  <si>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</si>
  <si>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</si>
  <si>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</si>
  <si>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</si>
  <si>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</si>
  <si>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</si>
  <si>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</si>
  <si>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</si>
  <si>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</si>
  <si>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</si>
  <si>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</si>
  <si>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</si>
  <si>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</si>
  <si>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</si>
  <si>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</si>
  <si>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</si>
  <si>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</si>
  <si>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</si>
  <si>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</si>
  <si>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best model measured: the pair at leaves of 500 (the extra-trees and Huber fits of the 968 at the slow recipe, train-bfsp runs 48 and 49, averaged), priced here by predict-now run 23 on the card fetched at 11:37 UTC (221 runners in 23 races; non-runners declared by then are out, and each race's book is 100% of those left). Out of sample (27 Sep 2025 to 31 Mar 2026) it prices the window at 0.3995 mean log error, the best yet (the 615 serving today: 0.4359). There the early-price rule returned +10.44% per trade and the top pick, backed at the morning price and traded out at BSP, +1.63%. Both are trades closed at BSP: backing the top pick at BSP and holding it to the result has not been shown profitable. It is not the served model: the 06:00 email priced today with the 615. Both members pass verify and this dry run was clean.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</si>
  <si>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</si>
  <si>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</si>
  <si>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</si>
  <si>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</si>
  <si>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</si>
  <si>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</si>
  <si>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</si>
  <si>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</si>
  <si>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</si>
  <si>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</si>
  <si>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1:19</t>
  </si>
  <si>
    <t xml:space="preserve">Ffos Las</t>
  </si>
  <si>
    <t xml:space="preserve">Alex And Salvo Welcome You To The Bridge Handicap</t>
  </si>
  <si>
    <t xml:space="preserve">Sub Thirteen</t>
  </si>
  <si>
    <t xml:space="preserve">Hutchinson, Callum</t>
  </si>
  <si>
    <t xml:space="preserve">Scott, J</t>
  </si>
  <si>
    <t xml:space="preserve">Macarone</t>
  </si>
  <si>
    <t xml:space="preserve">1:25</t>
  </si>
  <si>
    <t xml:space="preserve">Curragh</t>
  </si>
  <si>
    <t xml:space="preserve">Army Equitation Centenary Irish European Breeders Fund Maiden</t>
  </si>
  <si>
    <t xml:space="preserve">Raging Bull (IRE)</t>
  </si>
  <si>
    <t xml:space="preserve">Moore, Ryan</t>
  </si>
  <si>
    <t xml:space="preserve">OBrien, A P</t>
  </si>
  <si>
    <t xml:space="preserve">Yellow Sky (IRE)</t>
  </si>
  <si>
    <t xml:space="preserve">1:37</t>
  </si>
  <si>
    <t xml:space="preserve">Epsom</t>
  </si>
  <si>
    <t xml:space="preserve">Betfred Turbo Boost Nursery</t>
  </si>
  <si>
    <t xml:space="preserve">Regal Tiger</t>
  </si>
  <si>
    <t xml:space="preserve">Murphy, Oisin</t>
  </si>
  <si>
    <t xml:space="preserve">Palmer, Hugo</t>
  </si>
  <si>
    <t xml:space="preserve">Give Hand (IRE)</t>
  </si>
  <si>
    <t xml:space="preserve">1:49</t>
  </si>
  <si>
    <t xml:space="preserve">Bridge, The Home Of The Carvery Nursery</t>
  </si>
  <si>
    <t xml:space="preserve">Rhodes Runner (IRE)</t>
  </si>
  <si>
    <t xml:space="preserve">Clutterbuck, Rhys</t>
  </si>
  <si>
    <t xml:space="preserve">Beckett, R M</t>
  </si>
  <si>
    <t xml:space="preserve">Perigord Noir (IRE)</t>
  </si>
  <si>
    <t xml:space="preserve">2:00</t>
  </si>
  <si>
    <t xml:space="preserve">Izuzu Ireland Irish European Breeders Fund Maiden</t>
  </si>
  <si>
    <t xml:space="preserve">Kingdom Of Camelot (FR)</t>
  </si>
  <si>
    <t xml:space="preserve">Cluster</t>
  </si>
  <si>
    <t xml:space="preserve">2:12</t>
  </si>
  <si>
    <t xml:space="preserve">Betfred Derby Wild Card EBF Conditions Stakes (GBB/GBBPlus Race)</t>
  </si>
  <si>
    <t xml:space="preserve">Rose Moon (GER)</t>
  </si>
  <si>
    <t xml:space="preserve">Ryan, Rossa</t>
  </si>
  <si>
    <t xml:space="preserve">Al Wathba (FR)</t>
  </si>
  <si>
    <t xml:space="preserve">2:24</t>
  </si>
  <si>
    <t xml:space="preserve">Bridge, Family Run And Proud Handicap</t>
  </si>
  <si>
    <t xml:space="preserve">Call Time (IRE)</t>
  </si>
  <si>
    <t xml:space="preserve">Wonnacott, Millie</t>
  </si>
  <si>
    <t xml:space="preserve">Moore, J S</t>
  </si>
  <si>
    <t xml:space="preserve">Some Nightmare (IRE)</t>
  </si>
  <si>
    <t xml:space="preserve">2:35</t>
  </si>
  <si>
    <t xml:space="preserve">Qatar Racing And Equestrian Club Renaissance Stakes (Group 3)</t>
  </si>
  <si>
    <t xml:space="preserve">Soul Love</t>
  </si>
  <si>
    <t xml:space="preserve">Jamin, Pierre-Louis</t>
  </si>
  <si>
    <t xml:space="preserve">Burke, K R</t>
  </si>
  <si>
    <t xml:space="preserve">Power Blue (IRE)</t>
  </si>
  <si>
    <t xml:space="preserve">2:47</t>
  </si>
  <si>
    <t xml:space="preserve">Hunt Family Fund Novice Stakes (Sponsored By Betfred) (GBB Race)</t>
  </si>
  <si>
    <t xml:space="preserve">Maestro Del Mar (FR)</t>
  </si>
  <si>
    <t xml:space="preserve">Loughnane, Billy</t>
  </si>
  <si>
    <t xml:space="preserve">Mohammed, Ismail</t>
  </si>
  <si>
    <t xml:space="preserve">Rowlf</t>
  </si>
  <si>
    <t xml:space="preserve">2:59</t>
  </si>
  <si>
    <t xml:space="preserve">Happy Birthday Alex, From The Bridge Handicap</t>
  </si>
  <si>
    <t xml:space="preserve">Campeona</t>
  </si>
  <si>
    <t xml:space="preserve">Gilligan, Jack</t>
  </si>
  <si>
    <t xml:space="preserve">Prescott, Sir Mark</t>
  </si>
  <si>
    <t xml:space="preserve">Carthusian (IRE)</t>
  </si>
  <si>
    <t xml:space="preserve">3:10</t>
  </si>
  <si>
    <t xml:space="preserve">Celebrating County Kildare And Lexington Twinning Maiden</t>
  </si>
  <si>
    <t xml:space="preserve">Valentino Eclipse (IRE)</t>
  </si>
  <si>
    <t xml:space="preserve">Heffernan, J A</t>
  </si>
  <si>
    <t xml:space="preserve">Stack, J A</t>
  </si>
  <si>
    <t xml:space="preserve">A Good Yarn (IRE)</t>
  </si>
  <si>
    <t xml:space="preserve">3:22</t>
  </si>
  <si>
    <t xml:space="preserve">Betfred Nifty 50 Jump Jockeys Derby Handicap (Professional Jump Jockeys) (GBBPlus Race)</t>
  </si>
  <si>
    <t xml:space="preserve">Seeking Charles (FR)</t>
  </si>
  <si>
    <t xml:space="preserve">Davies, James</t>
  </si>
  <si>
    <t xml:space="preserve">Usher, M D I</t>
  </si>
  <si>
    <t xml:space="preserve">Nibras Gold (IRE)</t>
  </si>
  <si>
    <t xml:space="preserve">3:34</t>
  </si>
  <si>
    <t xml:space="preserve">Celebrate In Style At The Bridge Novice Stakes (GBB Race)</t>
  </si>
  <si>
    <t xml:space="preserve">Silent Force (IRE)</t>
  </si>
  <si>
    <t xml:space="preserve">Balding, A M</t>
  </si>
  <si>
    <t xml:space="preserve">Ghost Raider (IRE)</t>
  </si>
  <si>
    <t xml:space="preserve">3:45</t>
  </si>
  <si>
    <t xml:space="preserve">Darley Fillies Stakes (Group 3)</t>
  </si>
  <si>
    <t xml:space="preserve">Curracloe (USA)</t>
  </si>
  <si>
    <t xml:space="preserve">Coen, Ben M</t>
  </si>
  <si>
    <t xml:space="preserve">Murtagh, J P</t>
  </si>
  <si>
    <t xml:space="preserve">Damsel In Distress (IRE)</t>
  </si>
  <si>
    <t xml:space="preserve">3:57</t>
  </si>
  <si>
    <t xml:space="preserve">Betfred Bet Builder Handicap (GBBPlus Race)</t>
  </si>
  <si>
    <t xml:space="preserve">Matins</t>
  </si>
  <si>
    <t xml:space="preserve">Fallon, Cieren</t>
  </si>
  <si>
    <t xml:space="preserve">Haggas, W J</t>
  </si>
  <si>
    <t xml:space="preserve">Cogitate (IRE)</t>
  </si>
  <si>
    <t xml:space="preserve">4:09</t>
  </si>
  <si>
    <t xml:space="preserve">Bridge, For All Family Occasions Handicap (Div 1)</t>
  </si>
  <si>
    <t xml:space="preserve">Homeland</t>
  </si>
  <si>
    <t xml:space="preserve">Marsh, Finley</t>
  </si>
  <si>
    <t xml:space="preserve">Faulkner, T</t>
  </si>
  <si>
    <t xml:space="preserve">Rosemarys Rose (IRE)</t>
  </si>
  <si>
    <t xml:space="preserve">4:20</t>
  </si>
  <si>
    <t xml:space="preserve">Friends Of The Curragh Irish Cesarewitch (0-110) (Premier Handicap)</t>
  </si>
  <si>
    <t xml:space="preserve">Sky Captain (IRE)</t>
  </si>
  <si>
    <t xml:space="preserve">Sheridan, J M</t>
  </si>
  <si>
    <t xml:space="preserve">OBrien, Joseph Patrick</t>
  </si>
  <si>
    <t xml:space="preserve">The Reverend</t>
  </si>
  <si>
    <t xml:space="preserve">4:32</t>
  </si>
  <si>
    <t xml:space="preserve">Betfred The Classic Bookmaker Handicap</t>
  </si>
  <si>
    <t xml:space="preserve">Crown Office</t>
  </si>
  <si>
    <t xml:space="preserve">Thanos</t>
  </si>
  <si>
    <t xml:space="preserve">4:44</t>
  </si>
  <si>
    <t xml:space="preserve">Bridge, For All Family Occasions Handicap (Div 2)</t>
  </si>
  <si>
    <t xml:space="preserve">Arvana Belle (IRE)</t>
  </si>
  <si>
    <t xml:space="preserve">Osborne, Saffie</t>
  </si>
  <si>
    <t xml:space="preserve">Millman, B R</t>
  </si>
  <si>
    <t xml:space="preserve">Freedom Bay</t>
  </si>
  <si>
    <t xml:space="preserve">4:55</t>
  </si>
  <si>
    <t xml:space="preserve">Kwiff More Bang For Your Bet Nursery Handicap</t>
  </si>
  <si>
    <t xml:space="preserve">Romance (GER)</t>
  </si>
  <si>
    <t xml:space="preserve">Slattery, A J</t>
  </si>
  <si>
    <t xml:space="preserve">Halley, Josh</t>
  </si>
  <si>
    <t xml:space="preserve">Exchange Student (IRE)</t>
  </si>
  <si>
    <t xml:space="preserve">5:07</t>
  </si>
  <si>
    <t xml:space="preserve">Betfred Follow Us On X Handicap</t>
  </si>
  <si>
    <t xml:space="preserve">Musical Angel</t>
  </si>
  <si>
    <t xml:space="preserve">Davies, Harry</t>
  </si>
  <si>
    <t xml:space="preserve">Dow, S</t>
  </si>
  <si>
    <t xml:space="preserve">Silver Trumpet</t>
  </si>
  <si>
    <t xml:space="preserve">5:19</t>
  </si>
  <si>
    <t xml:space="preserve">Bridge Llangennech Open Daily Amateur Jockeys Handicap</t>
  </si>
  <si>
    <t xml:space="preserve">Wellwhatshappenin (IRE)</t>
  </si>
  <si>
    <t xml:space="preserve">Chance, Miss Louise</t>
  </si>
  <si>
    <t xml:space="preserve">Flood, D</t>
  </si>
  <si>
    <t xml:space="preserve">Pride Eye</t>
  </si>
  <si>
    <t xml:space="preserve">5:30</t>
  </si>
  <si>
    <t xml:space="preserve">Kwiff Supercharged Betting (Q.R.) Handicap</t>
  </si>
  <si>
    <t xml:space="preserve">Chipsrdown (IRE)</t>
  </si>
  <si>
    <t xml:space="preserve">Ryan, Mr A P</t>
  </si>
  <si>
    <t xml:space="preserve">Slattery, Andrew</t>
  </si>
  <si>
    <t xml:space="preserve">Dark Summit</t>
  </si>
  <si>
    <t xml:space="preserve">Class</t>
  </si>
  <si>
    <t xml:space="preserve">Furlongs</t>
  </si>
  <si>
    <t xml:space="preserve">Going</t>
  </si>
  <si>
    <t xml:space="preserve">Horse</t>
  </si>
  <si>
    <t xml:space="preserve">Draw</t>
  </si>
  <si>
    <t xml:space="preserve">OR</t>
  </si>
  <si>
    <t xml:space="preserve">Age</t>
  </si>
  <si>
    <t xml:space="preserve">Days since run</t>
  </si>
  <si>
    <t xml:space="preserve">Class 6</t>
  </si>
  <si>
    <t xml:space="preserve">Good To Soft</t>
  </si>
  <si>
    <t xml:space="preserve">Ffrench Davis, Ben</t>
  </si>
  <si>
    <t xml:space="preserve">Harris, Miss G</t>
  </si>
  <si>
    <t xml:space="preserve">Blue Point Express (IRE)</t>
  </si>
  <si>
    <t xml:space="preserve">Wintle, A</t>
  </si>
  <si>
    <t xml:space="preserve">Up The Anti (IRE)</t>
  </si>
  <si>
    <t xml:space="preserve">Coppins, Myla</t>
  </si>
  <si>
    <t xml:space="preserve">Carroll, A W</t>
  </si>
  <si>
    <t xml:space="preserve">Music And Song (IRE)</t>
  </si>
  <si>
    <t xml:space="preserve">Probert, David</t>
  </si>
  <si>
    <t xml:space="preserve">The Bear Of Saints (FR)</t>
  </si>
  <si>
    <t xml:space="preserve">Carson, William</t>
  </si>
  <si>
    <t xml:space="preserve">Oshea, J G M</t>
  </si>
  <si>
    <t xml:space="preserve">Pacific Prince</t>
  </si>
  <si>
    <t xml:space="preserve">Coughlan, Laura</t>
  </si>
  <si>
    <t xml:space="preserve">Bennett, J A</t>
  </si>
  <si>
    <t xml:space="preserve">Savvi Row</t>
  </si>
  <si>
    <t xml:space="preserve">Heard, Tyler</t>
  </si>
  <si>
    <t xml:space="preserve">Shush A Minute</t>
  </si>
  <si>
    <t xml:space="preserve">Bradley, Paddy</t>
  </si>
  <si>
    <t xml:space="preserve">Ryan, J</t>
  </si>
  <si>
    <t xml:space="preserve">Lochaber</t>
  </si>
  <si>
    <t xml:space="preserve">ONeill, K T</t>
  </si>
  <si>
    <t xml:space="preserve">Dixon, Scott</t>
  </si>
  <si>
    <t xml:space="preserve">Miss Gold</t>
  </si>
  <si>
    <t xml:space="preserve">Sayette, B D L</t>
  </si>
  <si>
    <t xml:space="preserve">Heavy</t>
  </si>
  <si>
    <t xml:space="preserve">Maximilien Luce (IRE)</t>
  </si>
  <si>
    <t xml:space="preserve">Cleary, Jack</t>
  </si>
  <si>
    <t xml:space="preserve">Golden Idol (IRE)</t>
  </si>
  <si>
    <t xml:space="preserve">Lee, W J</t>
  </si>
  <si>
    <t xml:space="preserve">Bromhead, Henry De</t>
  </si>
  <si>
    <t xml:space="preserve">Normanton (IRE)</t>
  </si>
  <si>
    <t xml:space="preserve">McAteer, L T</t>
  </si>
  <si>
    <t xml:space="preserve">Marnane, David</t>
  </si>
  <si>
    <t xml:space="preserve">Overhead Drive (IRE)</t>
  </si>
  <si>
    <t xml:space="preserve">Murphy, John Joseph</t>
  </si>
  <si>
    <t xml:space="preserve">Tsali (IRE)</t>
  </si>
  <si>
    <t xml:space="preserve">Hayes, C D</t>
  </si>
  <si>
    <t xml:space="preserve">Coleman, Kevin</t>
  </si>
  <si>
    <t xml:space="preserve">Ah Sure Look (IRE)</t>
  </si>
  <si>
    <t xml:space="preserve">Hassett, Martin</t>
  </si>
  <si>
    <t xml:space="preserve">Johntom</t>
  </si>
  <si>
    <t xml:space="preserve">Carroll, G F</t>
  </si>
  <si>
    <t xml:space="preserve">Cromwell, Gavin Patrick</t>
  </si>
  <si>
    <t xml:space="preserve">Activity (IRE)</t>
  </si>
  <si>
    <t xml:space="preserve">Crosse, Nathan</t>
  </si>
  <si>
    <t xml:space="preserve">Harrington, Mrs John</t>
  </si>
  <si>
    <t xml:space="preserve">Soho Dragon (IRE)</t>
  </si>
  <si>
    <t xml:space="preserve">OConnor, Donagh</t>
  </si>
  <si>
    <t xml:space="preserve">One Flash (IRE)</t>
  </si>
  <si>
    <t xml:space="preserve">Joyce, Wesley</t>
  </si>
  <si>
    <t xml:space="preserve">Sexton, Adrian</t>
  </si>
  <si>
    <t xml:space="preserve">Silk Twist (IRE)</t>
  </si>
  <si>
    <t xml:space="preserve">McCullagh, Scott</t>
  </si>
  <si>
    <t xml:space="preserve">Mullins, Thomas</t>
  </si>
  <si>
    <t xml:space="preserve">Class 4</t>
  </si>
  <si>
    <t xml:space="preserve">Good</t>
  </si>
  <si>
    <t xml:space="preserve">Edmunds, Lewis</t>
  </si>
  <si>
    <t xml:space="preserve">Charlton, Roger/Harry</t>
  </si>
  <si>
    <t xml:space="preserve">The Ginger Kid (IRE)</t>
  </si>
  <si>
    <t xml:space="preserve">Lewis, Ashley</t>
  </si>
  <si>
    <t xml:space="preserve">Walker, Ed</t>
  </si>
  <si>
    <t xml:space="preserve">Telegraphic</t>
  </si>
  <si>
    <t xml:space="preserve">Johnston, Charlie</t>
  </si>
  <si>
    <t xml:space="preserve">Rogue Imperial</t>
  </si>
  <si>
    <t xml:space="preserve">Watson, Archie</t>
  </si>
  <si>
    <t xml:space="preserve">Clive The Writer (IRE)</t>
  </si>
  <si>
    <t xml:space="preserve">Crouch, Hector</t>
  </si>
  <si>
    <t xml:space="preserve">Muir, W R &amp; Grassick, C</t>
  </si>
  <si>
    <t xml:space="preserve">Angel Of Desire</t>
  </si>
  <si>
    <t xml:space="preserve">Perrett, Mrs A J</t>
  </si>
  <si>
    <t xml:space="preserve">Leucothea (IRE)</t>
  </si>
  <si>
    <t xml:space="preserve">Levey, S M</t>
  </si>
  <si>
    <t xml:space="preserve">Hannon (Jnr), Richard</t>
  </si>
  <si>
    <t xml:space="preserve">Class 5</t>
  </si>
  <si>
    <t xml:space="preserve">Baker, George</t>
  </si>
  <si>
    <t xml:space="preserve">Naval Cop</t>
  </si>
  <si>
    <t xml:space="preserve">Blondie Larry (IRE)</t>
  </si>
  <si>
    <t xml:space="preserve">Carver, William</t>
  </si>
  <si>
    <t xml:space="preserve">Osborne, J A</t>
  </si>
  <si>
    <t xml:space="preserve">Knock Three Times (IRE)</t>
  </si>
  <si>
    <t xml:space="preserve">Niewiadoma (IRE)</t>
  </si>
  <si>
    <t xml:space="preserve">Mangan, Gina</t>
  </si>
  <si>
    <t xml:space="preserve">Wolfs Gallop</t>
  </si>
  <si>
    <t xml:space="preserve">Lacey, T</t>
  </si>
  <si>
    <t xml:space="preserve">Defiant Dream</t>
  </si>
  <si>
    <t xml:space="preserve">Keane, C T</t>
  </si>
  <si>
    <t xml:space="preserve">Capability Brown (IRE)</t>
  </si>
  <si>
    <t xml:space="preserve">Lordan, W M</t>
  </si>
  <si>
    <t xml:space="preserve">Darivan (IRE)</t>
  </si>
  <si>
    <t xml:space="preserve">Greatest Knight (IRE)</t>
  </si>
  <si>
    <t xml:space="preserve">Silent Kingdom (IRE)</t>
  </si>
  <si>
    <t xml:space="preserve">Dias, Diego</t>
  </si>
  <si>
    <t xml:space="preserve">Warrawood</t>
  </si>
  <si>
    <t xml:space="preserve">McLoughlin, Daniel</t>
  </si>
  <si>
    <t xml:space="preserve">Lumierebleu (IRE)</t>
  </si>
  <si>
    <t xml:space="preserve">Alone All Alone</t>
  </si>
  <si>
    <t xml:space="preserve">Whelan, R P</t>
  </si>
  <si>
    <t xml:space="preserve">ONeill, E J</t>
  </si>
  <si>
    <t xml:space="preserve">Class 2</t>
  </si>
  <si>
    <t xml:space="preserve">Appleby, Charlie</t>
  </si>
  <si>
    <t xml:space="preserve">Quite Cheeky (IRE)</t>
  </si>
  <si>
    <t xml:space="preserve">Sword Salute (USA)</t>
  </si>
  <si>
    <t xml:space="preserve">Scott, Rowan</t>
  </si>
  <si>
    <t xml:space="preserve">Bincimbal (IRE)</t>
  </si>
  <si>
    <t xml:space="preserve">Bama Lama</t>
  </si>
  <si>
    <t xml:space="preserve">Snow Day</t>
  </si>
  <si>
    <t xml:space="preserve">Doughty, Jack</t>
  </si>
  <si>
    <t xml:space="preserve">Aguiar, Robson</t>
  </si>
  <si>
    <t xml:space="preserve">Brussels</t>
  </si>
  <si>
    <t xml:space="preserve">Royal Bay Cen (IRE)</t>
  </si>
  <si>
    <t xml:space="preserve">Charles Darwin (IRE)</t>
  </si>
  <si>
    <t xml:space="preserve">Big Gossey (IRE)</t>
  </si>
  <si>
    <t xml:space="preserve">Whearty, R</t>
  </si>
  <si>
    <t xml:space="preserve">OBrien, Charles</t>
  </si>
  <si>
    <t xml:space="preserve">East Hampton</t>
  </si>
  <si>
    <t xml:space="preserve">Colgan, R C</t>
  </si>
  <si>
    <t xml:space="preserve">Tango Flare (IRE)</t>
  </si>
  <si>
    <t xml:space="preserve">Foley, Patrick T</t>
  </si>
  <si>
    <t xml:space="preserve">Class 3</t>
  </si>
  <si>
    <t xml:space="preserve">Blue Noon (IRE)</t>
  </si>
  <si>
    <t xml:space="preserve">Seacole (IRE)</t>
  </si>
  <si>
    <t xml:space="preserve">Red Red</t>
  </si>
  <si>
    <t xml:space="preserve">Moore, Gary and Josh</t>
  </si>
  <si>
    <t xml:space="preserve">Paraone</t>
  </si>
  <si>
    <t xml:space="preserve">Wood, George</t>
  </si>
  <si>
    <t xml:space="preserve">Main, Mrs H S</t>
  </si>
  <si>
    <t xml:space="preserve">Wright, Liam</t>
  </si>
  <si>
    <t xml:space="preserve">Candlish, Jennie</t>
  </si>
  <si>
    <t xml:space="preserve">Queenie St Clair (IRE)</t>
  </si>
  <si>
    <t xml:space="preserve">Scholfield, Nick</t>
  </si>
  <si>
    <t xml:space="preserve">A Daughters Love</t>
  </si>
  <si>
    <t xml:space="preserve">No Ordinary Joe (IRE)</t>
  </si>
  <si>
    <t xml:space="preserve">Stephens, Robert</t>
  </si>
  <si>
    <t xml:space="preserve">Howard, Aidan Anthony</t>
  </si>
  <si>
    <t xml:space="preserve">Tourin (IRE)</t>
  </si>
  <si>
    <t xml:space="preserve">Ryan, Gavin</t>
  </si>
  <si>
    <t xml:space="preserve">The Hidden Garden (IRE)</t>
  </si>
  <si>
    <t xml:space="preserve">McDonogh, D P</t>
  </si>
  <si>
    <t xml:space="preserve">Harty, Edward and Patrick</t>
  </si>
  <si>
    <t xml:space="preserve">Saga Lucia (IRE)</t>
  </si>
  <si>
    <t xml:space="preserve">Holohan, Reese</t>
  </si>
  <si>
    <t xml:space="preserve">OCallaghan, M D</t>
  </si>
  <si>
    <t xml:space="preserve">Port Arthur (IRE)</t>
  </si>
  <si>
    <t xml:space="preserve">Grassick, M C</t>
  </si>
  <si>
    <t xml:space="preserve">Caislean Ni Cuan (IRE)</t>
  </si>
  <si>
    <t xml:space="preserve">McCullagh, N G</t>
  </si>
  <si>
    <t xml:space="preserve">Tribal Belle (IRE)</t>
  </si>
  <si>
    <t xml:space="preserve">Bunyan, Darren / OLeary, G</t>
  </si>
  <si>
    <t xml:space="preserve">Gaineamh Min (IRE)</t>
  </si>
  <si>
    <t xml:space="preserve">Byrne, Sean</t>
  </si>
  <si>
    <t xml:space="preserve">Spider Star (IRE)</t>
  </si>
  <si>
    <t xml:space="preserve">Browne-Souza, A</t>
  </si>
  <si>
    <t xml:space="preserve">Kelly, David Harry</t>
  </si>
  <si>
    <t xml:space="preserve">Upper West Side (IRE)</t>
  </si>
  <si>
    <t xml:space="preserve">Ryan, J J G</t>
  </si>
  <si>
    <t xml:space="preserve">Lynam, Edward</t>
  </si>
  <si>
    <t xml:space="preserve">Petticoat Pilot (IRE)</t>
  </si>
  <si>
    <t xml:space="preserve">OSullivan, Darragh</t>
  </si>
  <si>
    <t xml:space="preserve">Finn, David Edward</t>
  </si>
  <si>
    <t xml:space="preserve">Burke, Jonathan</t>
  </si>
  <si>
    <t xml:space="preserve">Owen, J P</t>
  </si>
  <si>
    <t xml:space="preserve">Tiger (FR)</t>
  </si>
  <si>
    <t xml:space="preserve">Cobden, Harry</t>
  </si>
  <si>
    <t xml:space="preserve">Williams, Ian</t>
  </si>
  <si>
    <t xml:space="preserve">Fox Avatar (IRE)</t>
  </si>
  <si>
    <t xml:space="preserve">Powell, Brendan</t>
  </si>
  <si>
    <t xml:space="preserve">Varian, Roger</t>
  </si>
  <si>
    <t xml:space="preserve">Damascus Steel (IRE)</t>
  </si>
  <si>
    <t xml:space="preserve">Hughes, Brian</t>
  </si>
  <si>
    <t xml:space="preserve">Arnolda, Gihan</t>
  </si>
  <si>
    <t xml:space="preserve">Marnier (IRE)</t>
  </si>
  <si>
    <t xml:space="preserve">Quinn, Caoilin</t>
  </si>
  <si>
    <t xml:space="preserve">Zarakerjack (FR)</t>
  </si>
  <si>
    <t xml:space="preserve">Mitchell, Freddie</t>
  </si>
  <si>
    <t xml:space="preserve">Oneforthegutter</t>
  </si>
  <si>
    <t xml:space="preserve">Todd, C J</t>
  </si>
  <si>
    <t xml:space="preserve">Taritino (IRE)</t>
  </si>
  <si>
    <t xml:space="preserve">Fisher, Taylor</t>
  </si>
  <si>
    <t xml:space="preserve">Tickle, J</t>
  </si>
  <si>
    <t xml:space="preserve">Gordon Grey (IRE)</t>
  </si>
  <si>
    <t xml:space="preserve">Cannon, Tom J</t>
  </si>
  <si>
    <t xml:space="preserve">Hengest</t>
  </si>
  <si>
    <t xml:space="preserve">Edwards, Lee</t>
  </si>
  <si>
    <t xml:space="preserve">Cunha, Dylan</t>
  </si>
  <si>
    <t xml:space="preserve">Flash Man (FR)</t>
  </si>
  <si>
    <t xml:space="preserve">Brogan, Kevin</t>
  </si>
  <si>
    <t xml:space="preserve">Lawes, T</t>
  </si>
  <si>
    <t xml:space="preserve">Oasis Sunrise (IRE)</t>
  </si>
  <si>
    <t xml:space="preserve">Anderson, Joe</t>
  </si>
  <si>
    <t xml:space="preserve">Naval Empire (IRE)</t>
  </si>
  <si>
    <t xml:space="preserve">Williams, S C</t>
  </si>
  <si>
    <t xml:space="preserve">Time Glory (IRE)</t>
  </si>
  <si>
    <t xml:space="preserve">Llewellyn, B J</t>
  </si>
  <si>
    <t xml:space="preserve">Fourth Crusade (IRE)</t>
  </si>
  <si>
    <t xml:space="preserve">Alpine Wedding (IRE)</t>
  </si>
  <si>
    <t xml:space="preserve">Twomey, P</t>
  </si>
  <si>
    <t xml:space="preserve">Film Set (USA)</t>
  </si>
  <si>
    <t xml:space="preserve">Value Pending</t>
  </si>
  <si>
    <t xml:space="preserve">Lady Patrona</t>
  </si>
  <si>
    <t xml:space="preserve">Kennedy, K G</t>
  </si>
  <si>
    <t xml:space="preserve">Tosca No Candis (IRE)</t>
  </si>
  <si>
    <t xml:space="preserve">Fine Line (IRE)</t>
  </si>
  <si>
    <t xml:space="preserve">Hogan, Denis Gerard</t>
  </si>
  <si>
    <t xml:space="preserve">Bishop, Charles</t>
  </si>
  <si>
    <t xml:space="preserve">Houghton, Eve Johnson</t>
  </si>
  <si>
    <t xml:space="preserve">Echalar (IRE)</t>
  </si>
  <si>
    <t xml:space="preserve">Carnival Day (IRE)</t>
  </si>
  <si>
    <t xml:space="preserve">Cosgrave, Pat</t>
  </si>
  <si>
    <t xml:space="preserve">Boyle, J R</t>
  </si>
  <si>
    <t xml:space="preserve">Rajeko (IRE)</t>
  </si>
  <si>
    <t xml:space="preserve">Bell, M L W</t>
  </si>
  <si>
    <t xml:space="preserve">Scarfo (IRE)</t>
  </si>
  <si>
    <t xml:space="preserve">Tucker, Charlie</t>
  </si>
  <si>
    <t xml:space="preserve">Grand Vista (IRE)</t>
  </si>
  <si>
    <t xml:space="preserve">A Rose Adaay</t>
  </si>
  <si>
    <t xml:space="preserve">Cosmic Girl</t>
  </si>
  <si>
    <t xml:space="preserve">Prince Ali</t>
  </si>
  <si>
    <t xml:space="preserve">Lewis, Zoe</t>
  </si>
  <si>
    <t xml:space="preserve">Pebble Dash (IRE)</t>
  </si>
  <si>
    <t xml:space="preserve">Thestral</t>
  </si>
  <si>
    <t xml:space="preserve">Mullins, W P</t>
  </si>
  <si>
    <t xml:space="preserve">Port Of Spain (IRE)</t>
  </si>
  <si>
    <t xml:space="preserve">Tim Toe (IRE)</t>
  </si>
  <si>
    <t xml:space="preserve">Blake</t>
  </si>
  <si>
    <t xml:space="preserve">Meade, Noel</t>
  </si>
  <si>
    <t xml:space="preserve">Kingstonian</t>
  </si>
  <si>
    <t xml:space="preserve">Valiancy (IRE)</t>
  </si>
  <si>
    <t xml:space="preserve">Doyle, James</t>
  </si>
  <si>
    <t xml:space="preserve">Granite Bay</t>
  </si>
  <si>
    <t xml:space="preserve">Fahey, Jarlath P</t>
  </si>
  <si>
    <t xml:space="preserve">Shoda (IRE)</t>
  </si>
  <si>
    <t xml:space="preserve">Wallace, S A</t>
  </si>
  <si>
    <t xml:space="preserve">Light Up The Dark</t>
  </si>
  <si>
    <t xml:space="preserve">Galileo Dame (IRE)</t>
  </si>
  <si>
    <t xml:space="preserve">Sirius (FR)</t>
  </si>
  <si>
    <t xml:space="preserve">Immutable (IRE)</t>
  </si>
  <si>
    <t xml:space="preserve">Murphy, Joseph G</t>
  </si>
  <si>
    <t xml:space="preserve">Bunting (FR)</t>
  </si>
  <si>
    <t xml:space="preserve">Shosholoza (IRE)</t>
  </si>
  <si>
    <t xml:space="preserve">Chally Chute (IRE)</t>
  </si>
  <si>
    <t xml:space="preserve">Coen, S</t>
  </si>
  <si>
    <t xml:space="preserve">OSullivan, Ross</t>
  </si>
  <si>
    <t xml:space="preserve">A Piece Of Heaven (FR)</t>
  </si>
  <si>
    <t xml:space="preserve">Eagle Fang (IRE)</t>
  </si>
  <si>
    <t xml:space="preserve">Tormey, Sadhbh</t>
  </si>
  <si>
    <t xml:space="preserve">Durkan, William</t>
  </si>
  <si>
    <t xml:space="preserve">Too Bossy For Us (IRE)</t>
  </si>
  <si>
    <t xml:space="preserve">Leinster (IRE)</t>
  </si>
  <si>
    <t xml:space="preserve">Zanndabad (IRE)</t>
  </si>
  <si>
    <t xml:space="preserve">Martin, A J</t>
  </si>
  <si>
    <t xml:space="preserve">Comfort Zone (IRE)</t>
  </si>
  <si>
    <t xml:space="preserve">Pietropaolo, J</t>
  </si>
  <si>
    <t xml:space="preserve">Absurde (FR)</t>
  </si>
  <si>
    <t xml:space="preserve">King, D</t>
  </si>
  <si>
    <t xml:space="preserve">Uxmal (IRE)</t>
  </si>
  <si>
    <t xml:space="preserve">Cornelienne (IRE)</t>
  </si>
  <si>
    <t xml:space="preserve">Powell, J A</t>
  </si>
  <si>
    <t xml:space="preserve">Alphonse Le Grande (IRE)</t>
  </si>
  <si>
    <t xml:space="preserve">Cleary, R P</t>
  </si>
  <si>
    <t xml:space="preserve">Glenroyal (IRE)</t>
  </si>
  <si>
    <t xml:space="preserve">Holy See (IRE)</t>
  </si>
  <si>
    <t xml:space="preserve">Orr, J A</t>
  </si>
  <si>
    <t xml:space="preserve">Madbadanddangerous (IRE)</t>
  </si>
  <si>
    <t xml:space="preserve">Tennessee Stud (IRE)</t>
  </si>
  <si>
    <t xml:space="preserve">Horgan, H J</t>
  </si>
  <si>
    <t xml:space="preserve">Swiped</t>
  </si>
  <si>
    <t xml:space="preserve">Jungle Ruler (IRE)</t>
  </si>
  <si>
    <t xml:space="preserve">Watson, Jason</t>
  </si>
  <si>
    <t xml:space="preserve">Appleby, M</t>
  </si>
  <si>
    <t xml:space="preserve">Likeness (IRE)</t>
  </si>
  <si>
    <t xml:space="preserve">Bass, George</t>
  </si>
  <si>
    <t xml:space="preserve">Channon, Jack</t>
  </si>
  <si>
    <t xml:space="preserve">Dr Strangelove</t>
  </si>
  <si>
    <t xml:space="preserve">Cole, Oliver</t>
  </si>
  <si>
    <t xml:space="preserve">Play Me</t>
  </si>
  <si>
    <t xml:space="preserve">Murphy, D J</t>
  </si>
  <si>
    <t xml:space="preserve">Bubbles Wonky (IRE)</t>
  </si>
  <si>
    <t xml:space="preserve">Fox, Kieren</t>
  </si>
  <si>
    <t xml:space="preserve">Pattinson, Mark</t>
  </si>
  <si>
    <t xml:space="preserve">Galileo Island (IRE)</t>
  </si>
  <si>
    <t xml:space="preserve">Ward, Tom</t>
  </si>
  <si>
    <t xml:space="preserve">Hawkins, Zoe</t>
  </si>
  <si>
    <t xml:space="preserve">King of The Dance (IRE)</t>
  </si>
  <si>
    <t xml:space="preserve">Kaleidoscope Eyes (IRE)</t>
  </si>
  <si>
    <t xml:space="preserve">Revich (IRE)</t>
  </si>
  <si>
    <t xml:space="preserve">Desiderata (IRE)</t>
  </si>
  <si>
    <t xml:space="preserve">Yoko</t>
  </si>
  <si>
    <t xml:space="preserve">Loughnane, David</t>
  </si>
  <si>
    <t xml:space="preserve">Marisitta</t>
  </si>
  <si>
    <t xml:space="preserve">Benavente</t>
  </si>
  <si>
    <t xml:space="preserve">Currie, Nicola</t>
  </si>
  <si>
    <t xml:space="preserve">Brown, G</t>
  </si>
  <si>
    <t xml:space="preserve">Naval Ensign (IRE)</t>
  </si>
  <si>
    <t xml:space="preserve">Evans, Mrs N S</t>
  </si>
  <si>
    <t xml:space="preserve">Gabby Hayes (IRE)</t>
  </si>
  <si>
    <t xml:space="preserve">Two Brigade (IRE)</t>
  </si>
  <si>
    <t xml:space="preserve">Moon Sand (FR)</t>
  </si>
  <si>
    <t xml:space="preserve">Matavai Bay (IRE)</t>
  </si>
  <si>
    <t xml:space="preserve">Our Boy Bailey (IRE)</t>
  </si>
  <si>
    <t xml:space="preserve">Closefield Beau (IRE)</t>
  </si>
  <si>
    <t xml:space="preserve">Supreme Act (IRE)</t>
  </si>
  <si>
    <t xml:space="preserve">Dalton, J S</t>
  </si>
  <si>
    <t xml:space="preserve">Somethingaboutlove (IRE)</t>
  </si>
  <si>
    <t xml:space="preserve">Farrell, C W J</t>
  </si>
  <si>
    <t xml:space="preserve">Eazy On The Eye</t>
  </si>
  <si>
    <t xml:space="preserve">Velvet Rhythm</t>
  </si>
  <si>
    <t xml:space="preserve">Bridgets View</t>
  </si>
  <si>
    <t xml:space="preserve">Havana Smile</t>
  </si>
  <si>
    <t xml:space="preserve">Moore, Toby</t>
  </si>
  <si>
    <t xml:space="preserve">Wreck It Ryley (IRE)</t>
  </si>
  <si>
    <t xml:space="preserve">Brown, A D</t>
  </si>
  <si>
    <t xml:space="preserve">Fresh Fade (IRE)</t>
  </si>
  <si>
    <t xml:space="preserve">Attwater, M J</t>
  </si>
  <si>
    <t xml:space="preserve">Middleton View (IRE)</t>
  </si>
  <si>
    <t xml:space="preserve">Our Guy (IRE)</t>
  </si>
  <si>
    <t xml:space="preserve">Coakley, D J</t>
  </si>
  <si>
    <t xml:space="preserve">Rimell, Mr Harry</t>
  </si>
  <si>
    <t xml:space="preserve">Rimell, M G</t>
  </si>
  <si>
    <t xml:space="preserve">Georg Zhukov (IRE)</t>
  </si>
  <si>
    <t xml:space="preserve">Milburn, Miss Amy</t>
  </si>
  <si>
    <t xml:space="preserve">Someones Wish (IRE)</t>
  </si>
  <si>
    <t xml:space="preserve">Loughnane, Mr Jack</t>
  </si>
  <si>
    <t xml:space="preserve">Morris, Patrick</t>
  </si>
  <si>
    <t xml:space="preserve">The Ormer Gatherer</t>
  </si>
  <si>
    <t xml:space="preserve">Hills, Mr James</t>
  </si>
  <si>
    <t xml:space="preserve">Bramley, Faye</t>
  </si>
  <si>
    <t xml:space="preserve">Gleeson, Mr J L</t>
  </si>
  <si>
    <t xml:space="preserve">Flynn, Paul W</t>
  </si>
  <si>
    <t xml:space="preserve">Bhean Saibhre (IRE)</t>
  </si>
  <si>
    <t xml:space="preserve">Shanahan, Mr L P</t>
  </si>
  <si>
    <t xml:space="preserve">Justenzia (IRE)</t>
  </si>
  <si>
    <t xml:space="preserve">Swan, H C</t>
  </si>
  <si>
    <t xml:space="preserve">Fianna (IRE)</t>
  </si>
  <si>
    <t xml:space="preserve">McGill, Mr O</t>
  </si>
  <si>
    <t xml:space="preserve">No More Porter (IRE)</t>
  </si>
  <si>
    <t xml:space="preserve">Dunne, Mr J</t>
  </si>
  <si>
    <t xml:space="preserve">McGuinness, Adrian</t>
  </si>
  <si>
    <t xml:space="preserve">Timandi (IRE)</t>
  </si>
  <si>
    <t xml:space="preserve">Stone, B T</t>
  </si>
  <si>
    <t xml:space="preserve">Barrett, James M</t>
  </si>
  <si>
    <t xml:space="preserve">Rocket Robyn</t>
  </si>
  <si>
    <t xml:space="preserve">King, Mr P A</t>
  </si>
  <si>
    <t xml:space="preserve">Lamar Valley</t>
  </si>
  <si>
    <t xml:space="preserve">Lavery, Mr D G</t>
  </si>
  <si>
    <t xml:space="preserve">Casheldale Lass (IRE)</t>
  </si>
  <si>
    <t xml:space="preserve">Barry, Mr J C</t>
  </si>
  <si>
    <t xml:space="preserve">Kinirons, A</t>
  </si>
  <si>
    <t xml:space="preserve">Belle Nuit (IRE)</t>
  </si>
  <si>
    <t xml:space="preserve">Cotter, Mr S</t>
  </si>
  <si>
    <t xml:space="preserve">Nolan, Paul</t>
  </si>
  <si>
    <t xml:space="preserve">Alfalfa (IRE)</t>
  </si>
  <si>
    <t xml:space="preserve">Doyle, Mr D</t>
  </si>
  <si>
    <t xml:space="preserve">Doyle, Timothy</t>
  </si>
  <si>
    <t xml:space="preserve">Out On Friday (IRE)</t>
  </si>
  <si>
    <t xml:space="preserve">Byrne, Philip Michael</t>
  </si>
  <si>
    <t xml:space="preserve">Palace Tyne (IRE)</t>
  </si>
  <si>
    <t xml:space="preserve">OConnor, Miss A B</t>
  </si>
  <si>
    <t xml:space="preserve">Roche, Padraig</t>
  </si>
  <si>
    <t xml:space="preserve">Its Good To Talk (IRE)</t>
  </si>
  <si>
    <t xml:space="preserve">Queally, Miss O M</t>
  </si>
  <si>
    <t xml:space="preserve">Mullins, Emmet</t>
  </si>
  <si>
    <t xml:space="preserve">Lamberella (IRE)</t>
  </si>
  <si>
    <t xml:space="preserve">Merrigan, Mr T B</t>
  </si>
  <si>
    <t xml:space="preserve">Kimy (FR)</t>
  </si>
  <si>
    <t xml:space="preserve">Mullins, Mr C</t>
  </si>
  <si>
    <t xml:space="preserve">If Not For Grace (IRE)</t>
  </si>
  <si>
    <t xml:space="preserve">Joubert, Ms S</t>
  </si>
  <si>
    <t xml:space="preserve">Cusack, Liam 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</si>
</sst>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%"/>
    <numFmt numFmtId="168" formatCode="@"/>
    <numFmt numFmtId="169" formatCode="0.0"/>
    <numFmt numFmtId="170" formatCode="\+0%;\-0%;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221</v>
      </c>
    </row>
    <row r="4" customFormat="false" ht="15" hidden="false" customHeight="false" outlineLevel="0" collapsed="false">
      <c r="A4" s="3" t="s">
        <v>2</v>
      </c>
      <c r="B4" s="2" t="n">
        <v>23</v>
      </c>
    </row>
    <row r="5" customFormat="false" ht="15" hidden="false" customHeight="false" outlineLevel="0" collapsed="false">
      <c r="A5" s="3" t="s">
        <v>3</v>
      </c>
      <c r="B5" s="2" t="n">
        <v>3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968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11000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90.25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11</v>
      </c>
      <c r="E2" s="7" t="s">
        <v>44</v>
      </c>
      <c r="F2" s="7" t="s">
        <v>45</v>
      </c>
      <c r="G2" s="7" t="s">
        <v>46</v>
      </c>
      <c r="H2" s="9" t="n">
        <v>3.02445834961768</v>
      </c>
      <c r="I2" s="10" t="n">
        <v>0.330637715717398</v>
      </c>
      <c r="J2" s="7" t="s">
        <v>47</v>
      </c>
      <c r="K2" s="9" t="n">
        <v>4.33122516101043</v>
      </c>
      <c r="L2" s="10" t="n">
        <v>0.230881554947079</v>
      </c>
      <c r="M2" s="10" t="n">
        <f aca="false">IF(AND(ISNUMBER(I2),ISNUMBER(L2)),I2-L2,"")</f>
        <v>0.0997561607703191</v>
      </c>
      <c r="N2" s="9" t="n">
        <v>3.25</v>
      </c>
      <c r="O2" s="9" t="n">
        <f aca="false">IF(AND(ISNUMBER(H2),H2&gt;0),H2*EXP('Read me'!$B$22),"")</f>
        <v>3.69408177016359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13</v>
      </c>
      <c r="E3" s="7" t="s">
        <v>51</v>
      </c>
      <c r="F3" s="7" t="s">
        <v>52</v>
      </c>
      <c r="G3" s="7" t="s">
        <v>53</v>
      </c>
      <c r="H3" s="9" t="n">
        <v>1.75107754901238</v>
      </c>
      <c r="I3" s="10" t="n">
        <v>0.571076935207129</v>
      </c>
      <c r="J3" s="7" t="s">
        <v>54</v>
      </c>
      <c r="K3" s="9" t="n">
        <v>7.42721808934124</v>
      </c>
      <c r="L3" s="10" t="n">
        <v>0.134639913352631</v>
      </c>
      <c r="M3" s="10" t="n">
        <f aca="false">IF(AND(ISNUMBER(I3),ISNUMBER(L3)),I3-L3,"")</f>
        <v>0.436437021854498</v>
      </c>
      <c r="N3" s="9" t="n">
        <v>1.72727272727273</v>
      </c>
      <c r="O3" s="9" t="n">
        <f aca="false">IF(AND(ISNUMBER(H3),H3&gt;0),H3*EXP('Read me'!$B$22),"")</f>
        <v>2.13877094811607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8</v>
      </c>
      <c r="E4" s="7" t="s">
        <v>58</v>
      </c>
      <c r="F4" s="7" t="s">
        <v>59</v>
      </c>
      <c r="G4" s="7" t="s">
        <v>60</v>
      </c>
      <c r="H4" s="9" t="n">
        <v>4.59751270241181</v>
      </c>
      <c r="I4" s="10" t="n">
        <v>0.217508915086936</v>
      </c>
      <c r="J4" s="7" t="s">
        <v>61</v>
      </c>
      <c r="K4" s="9" t="n">
        <v>5.82020933403116</v>
      </c>
      <c r="L4" s="10" t="n">
        <v>0.171815125987468</v>
      </c>
      <c r="M4" s="10" t="n">
        <f aca="false">IF(AND(ISNUMBER(I4),ISNUMBER(L4)),I4-L4,"")</f>
        <v>0.0456937890994684</v>
      </c>
      <c r="N4" s="9" t="n">
        <v>5.5</v>
      </c>
      <c r="O4" s="9" t="n">
        <f aca="false">IF(AND(ISNUMBER(H4),H4&gt;0),H4*EXP('Read me'!$B$22),"")</f>
        <v>5.6154146954022</v>
      </c>
    </row>
    <row r="5" customFormat="false" ht="15" hidden="false" customHeight="false" outlineLevel="0" collapsed="false">
      <c r="A5" s="7" t="s">
        <v>62</v>
      </c>
      <c r="B5" s="7" t="s">
        <v>42</v>
      </c>
      <c r="C5" s="7" t="s">
        <v>63</v>
      </c>
      <c r="D5" s="8" t="n">
        <v>8</v>
      </c>
      <c r="E5" s="7" t="s">
        <v>64</v>
      </c>
      <c r="F5" s="7" t="s">
        <v>65</v>
      </c>
      <c r="G5" s="7" t="s">
        <v>66</v>
      </c>
      <c r="H5" s="9" t="n">
        <v>4.96132225227591</v>
      </c>
      <c r="I5" s="10" t="n">
        <v>0.20155917095312</v>
      </c>
      <c r="J5" s="7" t="s">
        <v>67</v>
      </c>
      <c r="K5" s="9" t="n">
        <v>5.56430366359588</v>
      </c>
      <c r="L5" s="10" t="n">
        <v>0.179717006917225</v>
      </c>
      <c r="M5" s="10" t="n">
        <f aca="false">IF(AND(ISNUMBER(I5),ISNUMBER(L5)),I5-L5,"")</f>
        <v>0.0218421640358953</v>
      </c>
      <c r="N5" s="9" t="n">
        <v>3.75</v>
      </c>
      <c r="O5" s="9" t="n">
        <f aca="false">IF(AND(ISNUMBER(H5),H5&gt;0),H5*EXP('Read me'!$B$22),"")</f>
        <v>6.05977268305123</v>
      </c>
    </row>
    <row r="6" customFormat="false" ht="15" hidden="false" customHeight="false" outlineLevel="0" collapsed="false">
      <c r="A6" s="7" t="s">
        <v>68</v>
      </c>
      <c r="B6" s="7" t="s">
        <v>49</v>
      </c>
      <c r="C6" s="7" t="s">
        <v>69</v>
      </c>
      <c r="D6" s="8" t="n">
        <v>9</v>
      </c>
      <c r="E6" s="7" t="s">
        <v>70</v>
      </c>
      <c r="F6" s="7" t="s">
        <v>52</v>
      </c>
      <c r="G6" s="7" t="s">
        <v>53</v>
      </c>
      <c r="H6" s="9" t="n">
        <v>2.70975680572779</v>
      </c>
      <c r="I6" s="10" t="n">
        <v>0.369036807246405</v>
      </c>
      <c r="J6" s="7" t="s">
        <v>71</v>
      </c>
      <c r="K6" s="9" t="n">
        <v>4.00750541856212</v>
      </c>
      <c r="L6" s="10" t="n">
        <v>0.249531789868121</v>
      </c>
      <c r="M6" s="10" t="n">
        <f aca="false">IF(AND(ISNUMBER(I6),ISNUMBER(L6)),I6-L6,"")</f>
        <v>0.119505017378284</v>
      </c>
      <c r="N6" s="9" t="n">
        <v>1.90909090909091</v>
      </c>
      <c r="O6" s="9" t="n">
        <f aca="false">IF(AND(ISNUMBER(H6),H6&gt;0),H6*EXP('Read me'!$B$22),"")</f>
        <v>3.30970443645921</v>
      </c>
    </row>
    <row r="7" customFormat="false" ht="15" hidden="false" customHeight="false" outlineLevel="0" collapsed="false">
      <c r="A7" s="7" t="s">
        <v>72</v>
      </c>
      <c r="B7" s="7" t="s">
        <v>56</v>
      </c>
      <c r="C7" s="7" t="s">
        <v>73</v>
      </c>
      <c r="D7" s="8" t="n">
        <v>5</v>
      </c>
      <c r="E7" s="7" t="s">
        <v>74</v>
      </c>
      <c r="F7" s="7" t="s">
        <v>75</v>
      </c>
      <c r="G7" s="7" t="s">
        <v>66</v>
      </c>
      <c r="H7" s="9" t="n">
        <v>3.31256245561359</v>
      </c>
      <c r="I7" s="10" t="n">
        <v>0.301881100628115</v>
      </c>
      <c r="J7" s="7" t="s">
        <v>76</v>
      </c>
      <c r="K7" s="9" t="n">
        <v>3.5245139727454</v>
      </c>
      <c r="L7" s="10" t="n">
        <v>0.283727063570429</v>
      </c>
      <c r="M7" s="10" t="n">
        <f aca="false">IF(AND(ISNUMBER(I7),ISNUMBER(L7)),I7-L7,"")</f>
        <v>0.0181540370576856</v>
      </c>
      <c r="N7" s="9" t="n">
        <v>2.375</v>
      </c>
      <c r="O7" s="9" t="n">
        <f aca="false">IF(AND(ISNUMBER(H7),H7&gt;0),H7*EXP('Read me'!$B$22),"")</f>
        <v>4.04597291986426</v>
      </c>
    </row>
    <row r="8" customFormat="false" ht="15" hidden="false" customHeight="false" outlineLevel="0" collapsed="false">
      <c r="A8" s="7" t="s">
        <v>77</v>
      </c>
      <c r="B8" s="7" t="s">
        <v>42</v>
      </c>
      <c r="C8" s="7" t="s">
        <v>78</v>
      </c>
      <c r="D8" s="8" t="n">
        <v>4</v>
      </c>
      <c r="E8" s="7" t="s">
        <v>79</v>
      </c>
      <c r="F8" s="7" t="s">
        <v>80</v>
      </c>
      <c r="G8" s="7" t="s">
        <v>81</v>
      </c>
      <c r="H8" s="9" t="n">
        <v>1.88168126072494</v>
      </c>
      <c r="I8" s="10" t="n">
        <v>0.531439633731983</v>
      </c>
      <c r="J8" s="7" t="s">
        <v>82</v>
      </c>
      <c r="K8" s="9" t="n">
        <v>3.78837847683098</v>
      </c>
      <c r="L8" s="10" t="n">
        <v>0.263965178272397</v>
      </c>
      <c r="M8" s="10" t="n">
        <f aca="false">IF(AND(ISNUMBER(I8),ISNUMBER(L8)),I8-L8,"")</f>
        <v>0.267474455459586</v>
      </c>
      <c r="N8" s="9" t="n">
        <v>1.61538461538462</v>
      </c>
      <c r="O8" s="9" t="n">
        <f aca="false">IF(AND(ISNUMBER(H8),H8&gt;0),H8*EXP('Read me'!$B$22),"")</f>
        <v>2.29829068182775</v>
      </c>
    </row>
    <row r="9" customFormat="false" ht="15" hidden="false" customHeight="false" outlineLevel="0" collapsed="false">
      <c r="A9" s="7" t="s">
        <v>83</v>
      </c>
      <c r="B9" s="7" t="s">
        <v>49</v>
      </c>
      <c r="C9" s="7" t="s">
        <v>84</v>
      </c>
      <c r="D9" s="8" t="n">
        <v>8</v>
      </c>
      <c r="E9" s="7" t="s">
        <v>85</v>
      </c>
      <c r="F9" s="7" t="s">
        <v>86</v>
      </c>
      <c r="G9" s="7" t="s">
        <v>87</v>
      </c>
      <c r="H9" s="9" t="n">
        <v>3.65697218536959</v>
      </c>
      <c r="I9" s="10" t="n">
        <v>0.273450261394027</v>
      </c>
      <c r="J9" s="7" t="s">
        <v>88</v>
      </c>
      <c r="K9" s="9" t="n">
        <v>4.47956335034291</v>
      </c>
      <c r="L9" s="10" t="n">
        <v>0.223236043737042</v>
      </c>
      <c r="M9" s="10" t="n">
        <f aca="false">IF(AND(ISNUMBER(I9),ISNUMBER(L9)),I9-L9,"")</f>
        <v>0.0502142176569848</v>
      </c>
      <c r="N9" s="9" t="n">
        <v>3.75</v>
      </c>
      <c r="O9" s="9" t="n">
        <f aca="false">IF(AND(ISNUMBER(H9),H9&gt;0),H9*EXP('Read me'!$B$22),"")</f>
        <v>4.46663591372544</v>
      </c>
    </row>
    <row r="10" customFormat="false" ht="15" hidden="false" customHeight="false" outlineLevel="0" collapsed="false">
      <c r="A10" s="7" t="s">
        <v>89</v>
      </c>
      <c r="B10" s="7" t="s">
        <v>56</v>
      </c>
      <c r="C10" s="7" t="s">
        <v>90</v>
      </c>
      <c r="D10" s="8" t="n">
        <v>6</v>
      </c>
      <c r="E10" s="7" t="s">
        <v>91</v>
      </c>
      <c r="F10" s="7" t="s">
        <v>92</v>
      </c>
      <c r="G10" s="7" t="s">
        <v>93</v>
      </c>
      <c r="H10" s="9" t="n">
        <v>3.49405326570162</v>
      </c>
      <c r="I10" s="10" t="n">
        <v>0.286200559624038</v>
      </c>
      <c r="J10" s="7" t="s">
        <v>94</v>
      </c>
      <c r="K10" s="9" t="n">
        <v>3.93860003830891</v>
      </c>
      <c r="L10" s="10" t="n">
        <v>0.253897321452666</v>
      </c>
      <c r="M10" s="10" t="n">
        <f aca="false">IF(AND(ISNUMBER(I10),ISNUMBER(L10)),I10-L10,"")</f>
        <v>0.0323032381713713</v>
      </c>
      <c r="N10" s="9" t="n">
        <v>4</v>
      </c>
      <c r="O10" s="9" t="n">
        <f aca="false">IF(AND(ISNUMBER(H10),H10&gt;0),H10*EXP('Read me'!$B$22),"")</f>
        <v>4.26764629588651</v>
      </c>
    </row>
    <row r="11" customFormat="false" ht="15" hidden="false" customHeight="false" outlineLevel="0" collapsed="false">
      <c r="A11" s="7" t="s">
        <v>95</v>
      </c>
      <c r="B11" s="7" t="s">
        <v>42</v>
      </c>
      <c r="C11" s="7" t="s">
        <v>96</v>
      </c>
      <c r="D11" s="8" t="n">
        <v>5</v>
      </c>
      <c r="E11" s="7" t="s">
        <v>97</v>
      </c>
      <c r="F11" s="7" t="s">
        <v>98</v>
      </c>
      <c r="G11" s="7" t="s">
        <v>99</v>
      </c>
      <c r="H11" s="9" t="n">
        <v>2.63874997202321</v>
      </c>
      <c r="I11" s="10" t="n">
        <v>0.378967318087083</v>
      </c>
      <c r="J11" s="7" t="s">
        <v>100</v>
      </c>
      <c r="K11" s="9" t="n">
        <v>3.71489568411846</v>
      </c>
      <c r="L11" s="10" t="n">
        <v>0.269186562700831</v>
      </c>
      <c r="M11" s="10" t="n">
        <f aca="false">IF(AND(ISNUMBER(I11),ISNUMBER(L11)),I11-L11,"")</f>
        <v>0.109780755386252</v>
      </c>
      <c r="N11" s="9" t="n">
        <v>2.625</v>
      </c>
      <c r="O11" s="9" t="n">
        <f aca="false">IF(AND(ISNUMBER(H11),H11&gt;0),H11*EXP('Read me'!$B$22),"")</f>
        <v>3.22297649392422</v>
      </c>
    </row>
    <row r="12" customFormat="false" ht="15" hidden="false" customHeight="false" outlineLevel="0" collapsed="false">
      <c r="A12" s="7" t="s">
        <v>101</v>
      </c>
      <c r="B12" s="7" t="s">
        <v>49</v>
      </c>
      <c r="C12" s="7" t="s">
        <v>102</v>
      </c>
      <c r="D12" s="8" t="n">
        <v>12</v>
      </c>
      <c r="E12" s="7" t="s">
        <v>103</v>
      </c>
      <c r="F12" s="7" t="s">
        <v>104</v>
      </c>
      <c r="G12" s="7" t="s">
        <v>105</v>
      </c>
      <c r="H12" s="9" t="n">
        <v>2.43476829094769</v>
      </c>
      <c r="I12" s="10" t="n">
        <v>0.410716700935336</v>
      </c>
      <c r="J12" s="7" t="s">
        <v>106</v>
      </c>
      <c r="K12" s="9" t="n">
        <v>3.59872953654096</v>
      </c>
      <c r="L12" s="10" t="n">
        <v>0.27787584197316</v>
      </c>
      <c r="M12" s="10" t="n">
        <f aca="false">IF(AND(ISNUMBER(I12),ISNUMBER(L12)),I12-L12,"")</f>
        <v>0.132840858962176</v>
      </c>
      <c r="N12" s="9" t="n">
        <v>1.72727272727273</v>
      </c>
      <c r="O12" s="9" t="n">
        <f aca="false">IF(AND(ISNUMBER(H12),H12&gt;0),H12*EXP('Read me'!$B$22),"")</f>
        <v>2.97383270604443</v>
      </c>
    </row>
    <row r="13" customFormat="false" ht="15" hidden="false" customHeight="false" outlineLevel="0" collapsed="false">
      <c r="A13" s="7" t="s">
        <v>107</v>
      </c>
      <c r="B13" s="7" t="s">
        <v>56</v>
      </c>
      <c r="C13" s="7" t="s">
        <v>108</v>
      </c>
      <c r="D13" s="8" t="n">
        <v>13</v>
      </c>
      <c r="E13" s="7" t="s">
        <v>109</v>
      </c>
      <c r="F13" s="7" t="s">
        <v>110</v>
      </c>
      <c r="G13" s="7" t="s">
        <v>111</v>
      </c>
      <c r="H13" s="9" t="n">
        <v>4.88904141695731</v>
      </c>
      <c r="I13" s="10" t="n">
        <v>0.204539073146643</v>
      </c>
      <c r="J13" s="7" t="s">
        <v>112</v>
      </c>
      <c r="K13" s="9" t="n">
        <v>6.90238377612501</v>
      </c>
      <c r="L13" s="10" t="n">
        <v>0.144877484711724</v>
      </c>
      <c r="M13" s="10" t="n">
        <f aca="false">IF(AND(ISNUMBER(I13),ISNUMBER(L13)),I13-L13,"")</f>
        <v>0.0596615884349196</v>
      </c>
      <c r="N13" s="9" t="n">
        <v>4.5</v>
      </c>
      <c r="O13" s="9" t="n">
        <f aca="false">IF(AND(ISNUMBER(H13),H13&gt;0),H13*EXP('Read me'!$B$22),"")</f>
        <v>5.97148867143097</v>
      </c>
    </row>
    <row r="14" customFormat="false" ht="15" hidden="false" customHeight="false" outlineLevel="0" collapsed="false">
      <c r="A14" s="7" t="s">
        <v>113</v>
      </c>
      <c r="B14" s="7" t="s">
        <v>42</v>
      </c>
      <c r="C14" s="7" t="s">
        <v>114</v>
      </c>
      <c r="D14" s="8" t="n">
        <v>5</v>
      </c>
      <c r="E14" s="7" t="s">
        <v>115</v>
      </c>
      <c r="F14" s="7" t="s">
        <v>45</v>
      </c>
      <c r="G14" s="7" t="s">
        <v>116</v>
      </c>
      <c r="H14" s="9" t="n">
        <v>1.72015495879957</v>
      </c>
      <c r="I14" s="10" t="n">
        <v>0.58134297429684</v>
      </c>
      <c r="J14" s="7" t="s">
        <v>117</v>
      </c>
      <c r="K14" s="9" t="n">
        <v>2.88904434213253</v>
      </c>
      <c r="L14" s="10" t="n">
        <v>0.346135220362127</v>
      </c>
      <c r="M14" s="10" t="n">
        <f aca="false">IF(AND(ISNUMBER(I14),ISNUMBER(L14)),I14-L14,"")</f>
        <v>0.235207753934713</v>
      </c>
      <c r="N14" s="9" t="n">
        <v>1.36363636363636</v>
      </c>
      <c r="O14" s="9" t="n">
        <f aca="false">IF(AND(ISNUMBER(H14),H14&gt;0),H14*EXP('Read me'!$B$22),"")</f>
        <v>2.10100201114069</v>
      </c>
    </row>
    <row r="15" customFormat="false" ht="15" hidden="false" customHeight="false" outlineLevel="0" collapsed="false">
      <c r="A15" s="7" t="s">
        <v>118</v>
      </c>
      <c r="B15" s="7" t="s">
        <v>49</v>
      </c>
      <c r="C15" s="7" t="s">
        <v>119</v>
      </c>
      <c r="D15" s="8" t="n">
        <v>8</v>
      </c>
      <c r="E15" s="7" t="s">
        <v>120</v>
      </c>
      <c r="F15" s="7" t="s">
        <v>121</v>
      </c>
      <c r="G15" s="7" t="s">
        <v>122</v>
      </c>
      <c r="H15" s="9" t="n">
        <v>3.63098387100118</v>
      </c>
      <c r="I15" s="10" t="n">
        <v>0.275407447547893</v>
      </c>
      <c r="J15" s="7" t="s">
        <v>123</v>
      </c>
      <c r="K15" s="9" t="n">
        <v>3.8856511929277</v>
      </c>
      <c r="L15" s="10" t="n">
        <v>0.257357119913415</v>
      </c>
      <c r="M15" s="10" t="n">
        <f aca="false">IF(AND(ISNUMBER(I15),ISNUMBER(L15)),I15-L15,"")</f>
        <v>0.0180503276344774</v>
      </c>
      <c r="N15" s="9" t="n">
        <v>2.5</v>
      </c>
      <c r="O15" s="9" t="n">
        <f aca="false">IF(AND(ISNUMBER(H15),H15&gt;0),H15*EXP('Read me'!$B$22),"")</f>
        <v>4.43489371487593</v>
      </c>
    </row>
    <row r="16" customFormat="false" ht="15" hidden="false" customHeight="false" outlineLevel="0" collapsed="false">
      <c r="A16" s="7" t="s">
        <v>124</v>
      </c>
      <c r="B16" s="7" t="s">
        <v>56</v>
      </c>
      <c r="C16" s="7" t="s">
        <v>125</v>
      </c>
      <c r="D16" s="8" t="n">
        <v>5</v>
      </c>
      <c r="E16" s="7" t="s">
        <v>126</v>
      </c>
      <c r="F16" s="7" t="s">
        <v>127</v>
      </c>
      <c r="G16" s="7" t="s">
        <v>128</v>
      </c>
      <c r="H16" s="9" t="n">
        <v>1.8000795676527</v>
      </c>
      <c r="I16" s="10" t="n">
        <v>0.555530998723572</v>
      </c>
      <c r="J16" s="7" t="s">
        <v>129</v>
      </c>
      <c r="K16" s="9" t="n">
        <v>7.45051390775989</v>
      </c>
      <c r="L16" s="10" t="n">
        <v>0.134218929375929</v>
      </c>
      <c r="M16" s="10" t="n">
        <f aca="false">IF(AND(ISNUMBER(I16),ISNUMBER(L16)),I16-L16,"")</f>
        <v>0.421312069347644</v>
      </c>
      <c r="N16" s="9" t="n">
        <v>1.83333333333333</v>
      </c>
      <c r="O16" s="9" t="n">
        <f aca="false">IF(AND(ISNUMBER(H16),H16&gt;0),H16*EXP('Read me'!$B$22),"")</f>
        <v>2.19862214883877</v>
      </c>
    </row>
    <row r="17" customFormat="false" ht="15" hidden="false" customHeight="false" outlineLevel="0" collapsed="false">
      <c r="A17" s="7" t="s">
        <v>130</v>
      </c>
      <c r="B17" s="7" t="s">
        <v>42</v>
      </c>
      <c r="C17" s="7" t="s">
        <v>131</v>
      </c>
      <c r="D17" s="8" t="n">
        <v>9</v>
      </c>
      <c r="E17" s="7" t="s">
        <v>132</v>
      </c>
      <c r="F17" s="7" t="s">
        <v>133</v>
      </c>
      <c r="G17" s="7" t="s">
        <v>134</v>
      </c>
      <c r="H17" s="9" t="n">
        <v>4.85541864168532</v>
      </c>
      <c r="I17" s="10" t="n">
        <v>0.205955464151882</v>
      </c>
      <c r="J17" s="7" t="s">
        <v>135</v>
      </c>
      <c r="K17" s="9" t="n">
        <v>5.41591253754443</v>
      </c>
      <c r="L17" s="10" t="n">
        <v>0.184641091056725</v>
      </c>
      <c r="M17" s="10" t="n">
        <f aca="false">IF(AND(ISNUMBER(I17),ISNUMBER(L17)),I17-L17,"")</f>
        <v>0.0213143730951569</v>
      </c>
      <c r="N17" s="9" t="n">
        <v>5</v>
      </c>
      <c r="O17" s="9" t="n">
        <f aca="false">IF(AND(ISNUMBER(H17),H17&gt;0),H17*EXP('Read me'!$B$22),"")</f>
        <v>5.93042172097676</v>
      </c>
    </row>
    <row r="18" customFormat="false" ht="15" hidden="false" customHeight="false" outlineLevel="0" collapsed="false">
      <c r="A18" s="7" t="s">
        <v>136</v>
      </c>
      <c r="B18" s="7" t="s">
        <v>49</v>
      </c>
      <c r="C18" s="7" t="s">
        <v>137</v>
      </c>
      <c r="D18" s="8" t="n">
        <v>30</v>
      </c>
      <c r="E18" s="7" t="s">
        <v>138</v>
      </c>
      <c r="F18" s="7" t="s">
        <v>139</v>
      </c>
      <c r="G18" s="7" t="s">
        <v>140</v>
      </c>
      <c r="H18" s="9" t="n">
        <v>10.2734026629009</v>
      </c>
      <c r="I18" s="10" t="n">
        <v>0.0973387331162615</v>
      </c>
      <c r="J18" s="7" t="s">
        <v>141</v>
      </c>
      <c r="K18" s="9" t="n">
        <v>12.9447406840604</v>
      </c>
      <c r="L18" s="10" t="n">
        <v>0.0772514509488285</v>
      </c>
      <c r="M18" s="10" t="n">
        <f aca="false">IF(AND(ISNUMBER(I18),ISNUMBER(L18)),I18-L18,"")</f>
        <v>0.020087282167433</v>
      </c>
      <c r="N18" s="9" t="n">
        <v>6</v>
      </c>
      <c r="O18" s="9" t="n">
        <f aca="false">IF(AND(ISNUMBER(H18),H18&gt;0),H18*EXP('Read me'!$B$22),"")</f>
        <v>12.5479623481572</v>
      </c>
    </row>
    <row r="19" customFormat="false" ht="15" hidden="false" customHeight="false" outlineLevel="0" collapsed="false">
      <c r="A19" s="7" t="s">
        <v>142</v>
      </c>
      <c r="B19" s="7" t="s">
        <v>56</v>
      </c>
      <c r="C19" s="7" t="s">
        <v>143</v>
      </c>
      <c r="D19" s="8" t="n">
        <v>9</v>
      </c>
      <c r="E19" s="7" t="s">
        <v>144</v>
      </c>
      <c r="F19" s="7" t="s">
        <v>127</v>
      </c>
      <c r="G19" s="7" t="s">
        <v>128</v>
      </c>
      <c r="H19" s="9" t="n">
        <v>4.08104028830556</v>
      </c>
      <c r="I19" s="10" t="n">
        <v>0.245035561855528</v>
      </c>
      <c r="J19" s="7" t="s">
        <v>145</v>
      </c>
      <c r="K19" s="9" t="n">
        <v>4.1806050499826</v>
      </c>
      <c r="L19" s="10" t="n">
        <v>0.23919982587309</v>
      </c>
      <c r="M19" s="10" t="n">
        <f aca="false">IF(AND(ISNUMBER(I19),ISNUMBER(L19)),I19-L19,"")</f>
        <v>0.00583573598243781</v>
      </c>
      <c r="N19" s="9" t="n">
        <v>3.75</v>
      </c>
      <c r="O19" s="9" t="n">
        <f aca="false">IF(AND(ISNUMBER(H19),H19&gt;0),H19*EXP('Read me'!$B$22),"")</f>
        <v>4.98459386429919</v>
      </c>
    </row>
    <row r="20" customFormat="false" ht="15" hidden="false" customHeight="false" outlineLevel="0" collapsed="false">
      <c r="A20" s="7" t="s">
        <v>146</v>
      </c>
      <c r="B20" s="7" t="s">
        <v>42</v>
      </c>
      <c r="C20" s="7" t="s">
        <v>147</v>
      </c>
      <c r="D20" s="8" t="n">
        <v>10</v>
      </c>
      <c r="E20" s="7" t="s">
        <v>148</v>
      </c>
      <c r="F20" s="7" t="s">
        <v>149</v>
      </c>
      <c r="G20" s="7" t="s">
        <v>150</v>
      </c>
      <c r="H20" s="9" t="n">
        <v>3.89252337115104</v>
      </c>
      <c r="I20" s="10" t="n">
        <v>0.256902760664555</v>
      </c>
      <c r="J20" s="7" t="s">
        <v>151</v>
      </c>
      <c r="K20" s="9" t="n">
        <v>6.00087328539878</v>
      </c>
      <c r="L20" s="10" t="n">
        <v>0.166642412269091</v>
      </c>
      <c r="M20" s="10" t="n">
        <f aca="false">IF(AND(ISNUMBER(I20),ISNUMBER(L20)),I20-L20,"")</f>
        <v>0.0902603483954634</v>
      </c>
      <c r="N20" s="9" t="n">
        <v>2.625</v>
      </c>
      <c r="O20" s="9" t="n">
        <f aca="false">IF(AND(ISNUMBER(H20),H20&gt;0),H20*EXP('Read me'!$B$22),"")</f>
        <v>4.7543387817268</v>
      </c>
    </row>
    <row r="21" customFormat="false" ht="15" hidden="false" customHeight="false" outlineLevel="0" collapsed="false">
      <c r="A21" s="7" t="s">
        <v>152</v>
      </c>
      <c r="B21" s="7" t="s">
        <v>49</v>
      </c>
      <c r="C21" s="7" t="s">
        <v>153</v>
      </c>
      <c r="D21" s="8" t="n">
        <v>10</v>
      </c>
      <c r="E21" s="7" t="s">
        <v>154</v>
      </c>
      <c r="F21" s="7" t="s">
        <v>155</v>
      </c>
      <c r="G21" s="7" t="s">
        <v>156</v>
      </c>
      <c r="H21" s="9" t="n">
        <v>3.83248418140525</v>
      </c>
      <c r="I21" s="10" t="n">
        <v>0.260927365297913</v>
      </c>
      <c r="J21" s="7" t="s">
        <v>157</v>
      </c>
      <c r="K21" s="9" t="n">
        <v>5.92193422789284</v>
      </c>
      <c r="L21" s="10" t="n">
        <v>0.168863746458026</v>
      </c>
      <c r="M21" s="10" t="n">
        <f aca="false">IF(AND(ISNUMBER(I21),ISNUMBER(L21)),I21-L21,"")</f>
        <v>0.0920636188398872</v>
      </c>
      <c r="N21" s="9" t="n">
        <v>6.5</v>
      </c>
      <c r="O21" s="9" t="n">
        <f aca="false">IF(AND(ISNUMBER(H21),H21&gt;0),H21*EXP('Read me'!$B$22),"")</f>
        <v>4.68100674977359</v>
      </c>
    </row>
    <row r="22" customFormat="false" ht="15" hidden="false" customHeight="false" outlineLevel="0" collapsed="false">
      <c r="A22" s="7" t="s">
        <v>158</v>
      </c>
      <c r="B22" s="7" t="s">
        <v>56</v>
      </c>
      <c r="C22" s="7" t="s">
        <v>159</v>
      </c>
      <c r="D22" s="8" t="n">
        <v>10</v>
      </c>
      <c r="E22" s="7" t="s">
        <v>160</v>
      </c>
      <c r="F22" s="7" t="s">
        <v>161</v>
      </c>
      <c r="G22" s="7" t="s">
        <v>162</v>
      </c>
      <c r="H22" s="9" t="n">
        <v>4.33854368130244</v>
      </c>
      <c r="I22" s="10" t="n">
        <v>0.230492089847946</v>
      </c>
      <c r="J22" s="7" t="s">
        <v>163</v>
      </c>
      <c r="K22" s="9" t="n">
        <v>6.7629404279676</v>
      </c>
      <c r="L22" s="10" t="n">
        <v>0.147864676711417</v>
      </c>
      <c r="M22" s="10" t="n">
        <f aca="false">IF(AND(ISNUMBER(I22),ISNUMBER(L22)),I22-L22,"")</f>
        <v>0.0826274131365291</v>
      </c>
      <c r="N22" s="9" t="n">
        <v>3.5</v>
      </c>
      <c r="O22" s="9" t="n">
        <f aca="false">IF(AND(ISNUMBER(H22),H22&gt;0),H22*EXP('Read me'!$B$22),"")</f>
        <v>5.29910921874118</v>
      </c>
    </row>
    <row r="23" customFormat="false" ht="15" hidden="false" customHeight="false" outlineLevel="0" collapsed="false">
      <c r="A23" s="7" t="s">
        <v>164</v>
      </c>
      <c r="B23" s="7" t="s">
        <v>42</v>
      </c>
      <c r="C23" s="7" t="s">
        <v>165</v>
      </c>
      <c r="D23" s="8" t="n">
        <v>5</v>
      </c>
      <c r="E23" s="7" t="s">
        <v>166</v>
      </c>
      <c r="F23" s="7" t="s">
        <v>167</v>
      </c>
      <c r="G23" s="7" t="s">
        <v>168</v>
      </c>
      <c r="H23" s="9" t="n">
        <v>2.94648463127077</v>
      </c>
      <c r="I23" s="10" t="n">
        <v>0.339387482081899</v>
      </c>
      <c r="J23" s="7" t="s">
        <v>169</v>
      </c>
      <c r="K23" s="9" t="n">
        <v>3.91977788021374</v>
      </c>
      <c r="L23" s="10" t="n">
        <v>0.255116496536144</v>
      </c>
      <c r="M23" s="10" t="n">
        <f aca="false">IF(AND(ISNUMBER(I23),ISNUMBER(L23)),I23-L23,"")</f>
        <v>0.0842709855457557</v>
      </c>
      <c r="N23" s="9" t="n">
        <v>2.875</v>
      </c>
      <c r="O23" s="9" t="n">
        <f aca="false">IF(AND(ISNUMBER(H23),H23&gt;0),H23*EXP('Read me'!$B$22),"")</f>
        <v>3.59884445551067</v>
      </c>
    </row>
    <row r="24" customFormat="false" ht="15" hidden="false" customHeight="false" outlineLevel="0" collapsed="false">
      <c r="A24" s="7" t="s">
        <v>170</v>
      </c>
      <c r="B24" s="7" t="s">
        <v>49</v>
      </c>
      <c r="C24" s="7" t="s">
        <v>171</v>
      </c>
      <c r="D24" s="8" t="n">
        <v>18</v>
      </c>
      <c r="E24" s="7" t="s">
        <v>172</v>
      </c>
      <c r="F24" s="7" t="s">
        <v>173</v>
      </c>
      <c r="G24" s="7" t="s">
        <v>174</v>
      </c>
      <c r="H24" s="9" t="n">
        <v>4.45846306482169</v>
      </c>
      <c r="I24" s="10" t="n">
        <v>0.224292538810119</v>
      </c>
      <c r="J24" s="7" t="s">
        <v>175</v>
      </c>
      <c r="K24" s="9" t="n">
        <v>6.29542586967907</v>
      </c>
      <c r="L24" s="10" t="n">
        <v>0.158845488883658</v>
      </c>
      <c r="M24" s="10" t="n">
        <f aca="false">IF(AND(ISNUMBER(I24),ISNUMBER(L24)),I24-L24,"")</f>
        <v>0.0654470499264606</v>
      </c>
      <c r="N24" s="9" t="n">
        <v>4.33333333333333</v>
      </c>
      <c r="O24" s="9" t="n">
        <f aca="false">IF(AND(ISNUMBER(H24),H24&gt;0),H24*EXP('Read me'!$B$22),"")</f>
        <v>5.44557908452846</v>
      </c>
    </row>
  </sheetData>
  <autoFilter ref="A1:O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176</v>
      </c>
      <c r="E1" s="6" t="s">
        <v>177</v>
      </c>
      <c r="F1" s="6" t="s">
        <v>178</v>
      </c>
      <c r="G1" s="6" t="s">
        <v>1</v>
      </c>
      <c r="H1" s="6" t="s">
        <v>179</v>
      </c>
      <c r="I1" s="6" t="s">
        <v>35</v>
      </c>
      <c r="J1" s="6" t="s">
        <v>36</v>
      </c>
      <c r="K1" s="6" t="s">
        <v>180</v>
      </c>
      <c r="L1" s="6" t="s">
        <v>181</v>
      </c>
      <c r="M1" s="6" t="s">
        <v>182</v>
      </c>
      <c r="N1" s="6" t="s">
        <v>183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41</v>
      </c>
      <c r="B2" s="11" t="s">
        <v>42</v>
      </c>
      <c r="C2" s="11" t="s">
        <v>43</v>
      </c>
      <c r="D2" s="11" t="s">
        <v>184</v>
      </c>
      <c r="E2" s="12" t="n">
        <v>6</v>
      </c>
      <c r="F2" s="11" t="s">
        <v>185</v>
      </c>
      <c r="G2" s="8" t="n">
        <v>11</v>
      </c>
      <c r="H2" s="11" t="s">
        <v>44</v>
      </c>
      <c r="I2" s="11" t="s">
        <v>45</v>
      </c>
      <c r="J2" s="11" t="s">
        <v>46</v>
      </c>
      <c r="K2" s="8" t="n">
        <v>9</v>
      </c>
      <c r="L2" s="8" t="n">
        <v>53</v>
      </c>
      <c r="M2" s="8" t="n">
        <v>5</v>
      </c>
      <c r="N2" s="8" t="n">
        <v>14</v>
      </c>
      <c r="O2" s="8" t="n">
        <v>1</v>
      </c>
      <c r="P2" s="9" t="n">
        <v>3.02445834961768</v>
      </c>
      <c r="Q2" s="10" t="n">
        <v>0.330637715717398</v>
      </c>
      <c r="R2" s="9" t="n">
        <v>3.25</v>
      </c>
      <c r="S2" s="13" t="n">
        <f aca="false">IF(AND(ISNUMBER(R2),R2&gt;1,P2&gt;0),R2/P2-1,"")</f>
        <v>0.074572576081543</v>
      </c>
      <c r="T2" s="9" t="n">
        <f aca="false">IF(AND(ISNUMBER(P2),P2&gt;0),P2*EXP('Read me'!$B$22),"")</f>
        <v>3.69408177016359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 t="s">
        <v>184</v>
      </c>
      <c r="E3" s="12" t="n">
        <v>6</v>
      </c>
      <c r="F3" s="11" t="s">
        <v>185</v>
      </c>
      <c r="G3" s="8" t="n">
        <v>11</v>
      </c>
      <c r="H3" s="11" t="s">
        <v>47</v>
      </c>
      <c r="I3" s="11" t="s">
        <v>186</v>
      </c>
      <c r="J3" s="11" t="s">
        <v>187</v>
      </c>
      <c r="K3" s="8" t="n">
        <v>8</v>
      </c>
      <c r="L3" s="8" t="n">
        <v>52</v>
      </c>
      <c r="M3" s="8" t="n">
        <v>5</v>
      </c>
      <c r="N3" s="8" t="n">
        <v>15</v>
      </c>
      <c r="O3" s="8" t="n">
        <v>2</v>
      </c>
      <c r="P3" s="9" t="n">
        <v>4.33122516101043</v>
      </c>
      <c r="Q3" s="10" t="n">
        <v>0.230881554947079</v>
      </c>
      <c r="R3" s="9" t="n">
        <v>4</v>
      </c>
      <c r="S3" s="13" t="n">
        <f aca="false">IF(AND(ISNUMBER(R3),R3&gt;1,P3&gt;0),R3/P3-1,"")</f>
        <v>-0.0764737802116855</v>
      </c>
      <c r="T3" s="9" t="n">
        <f aca="false">IF(AND(ISNUMBER(P3),P3&gt;0),P3*EXP('Read me'!$B$22),"")</f>
        <v>5.29017035787087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184</v>
      </c>
      <c r="E4" s="12" t="n">
        <v>6</v>
      </c>
      <c r="F4" s="11" t="s">
        <v>185</v>
      </c>
      <c r="G4" s="8" t="n">
        <v>11</v>
      </c>
      <c r="H4" s="11" t="s">
        <v>188</v>
      </c>
      <c r="I4" s="11" t="s">
        <v>133</v>
      </c>
      <c r="J4" s="11" t="s">
        <v>189</v>
      </c>
      <c r="K4" s="8" t="n">
        <v>7</v>
      </c>
      <c r="L4" s="8" t="n">
        <v>45</v>
      </c>
      <c r="M4" s="8" t="n">
        <v>4</v>
      </c>
      <c r="N4" s="8" t="n">
        <v>27</v>
      </c>
      <c r="O4" s="8" t="n">
        <v>3</v>
      </c>
      <c r="P4" s="9" t="n">
        <v>7.18764504689552</v>
      </c>
      <c r="Q4" s="10" t="n">
        <v>0.139127627126206</v>
      </c>
      <c r="R4" s="9" t="n">
        <v>6</v>
      </c>
      <c r="S4" s="13" t="n">
        <f aca="false">IF(AND(ISNUMBER(R4),R4&gt;1,P4&gt;0),R4/P4-1,"")</f>
        <v>-0.165234237242765</v>
      </c>
      <c r="T4" s="9" t="n">
        <f aca="false">IF(AND(ISNUMBER(P4),P4&gt;0),P4*EXP('Read me'!$B$22),"")</f>
        <v>8.77900948495446</v>
      </c>
    </row>
    <row r="5" customFormat="false" ht="15" hidden="false" customHeight="false" outlineLevel="0" collapsed="false">
      <c r="A5" s="11" t="s">
        <v>41</v>
      </c>
      <c r="B5" s="11" t="s">
        <v>42</v>
      </c>
      <c r="C5" s="11" t="s">
        <v>43</v>
      </c>
      <c r="D5" s="11" t="s">
        <v>184</v>
      </c>
      <c r="E5" s="12" t="n">
        <v>6</v>
      </c>
      <c r="F5" s="11" t="s">
        <v>185</v>
      </c>
      <c r="G5" s="8" t="n">
        <v>11</v>
      </c>
      <c r="H5" s="11" t="s">
        <v>190</v>
      </c>
      <c r="I5" s="11" t="s">
        <v>191</v>
      </c>
      <c r="J5" s="11" t="s">
        <v>192</v>
      </c>
      <c r="K5" s="8" t="n">
        <v>6</v>
      </c>
      <c r="L5" s="8" t="n">
        <v>53</v>
      </c>
      <c r="M5" s="8" t="n">
        <v>4</v>
      </c>
      <c r="N5" s="8" t="n">
        <v>25</v>
      </c>
      <c r="O5" s="8" t="n">
        <v>4</v>
      </c>
      <c r="P5" s="9" t="n">
        <v>10.0559585077232</v>
      </c>
      <c r="Q5" s="10" t="n">
        <v>0.0994435288522699</v>
      </c>
      <c r="R5" s="9" t="n">
        <v>8</v>
      </c>
      <c r="S5" s="13" t="n">
        <f aca="false">IF(AND(ISNUMBER(R5),R5&gt;1,P5&gt;0),R5/P5-1,"")</f>
        <v>-0.20445176918184</v>
      </c>
      <c r="T5" s="9" t="n">
        <f aca="false">IF(AND(ISNUMBER(P5),P5&gt;0),P5*EXP('Read me'!$B$22),"")</f>
        <v>12.2823754572773</v>
      </c>
    </row>
    <row r="6" customFormat="false" ht="15" hidden="false" customHeight="false" outlineLevel="0" collapsed="false">
      <c r="A6" s="11" t="s">
        <v>41</v>
      </c>
      <c r="B6" s="11" t="s">
        <v>42</v>
      </c>
      <c r="C6" s="11" t="s">
        <v>43</v>
      </c>
      <c r="D6" s="11" t="s">
        <v>184</v>
      </c>
      <c r="E6" s="12" t="n">
        <v>6</v>
      </c>
      <c r="F6" s="11" t="s">
        <v>185</v>
      </c>
      <c r="G6" s="8" t="n">
        <v>11</v>
      </c>
      <c r="H6" s="11" t="s">
        <v>193</v>
      </c>
      <c r="I6" s="11" t="s">
        <v>194</v>
      </c>
      <c r="J6" s="11" t="s">
        <v>168</v>
      </c>
      <c r="K6" s="8" t="n">
        <v>5</v>
      </c>
      <c r="L6" s="8" t="n">
        <v>45</v>
      </c>
      <c r="M6" s="8" t="n">
        <v>3</v>
      </c>
      <c r="N6" s="8" t="n">
        <v>5</v>
      </c>
      <c r="O6" s="8" t="n">
        <v>5</v>
      </c>
      <c r="P6" s="9" t="n">
        <v>15.6398804932828</v>
      </c>
      <c r="Q6" s="10" t="n">
        <v>0.0639391074905905</v>
      </c>
      <c r="R6" s="9" t="n">
        <v>10</v>
      </c>
      <c r="S6" s="13" t="n">
        <f aca="false">IF(AND(ISNUMBER(R6),R6&gt;1,P6&gt;0),R6/P6-1,"")</f>
        <v>-0.360608925094095</v>
      </c>
      <c r="T6" s="9" t="n">
        <f aca="false">IF(AND(ISNUMBER(P6),P6&gt;0),P6*EXP('Read me'!$B$22),"")</f>
        <v>19.1025931717911</v>
      </c>
    </row>
    <row r="7" customFormat="false" ht="15" hidden="false" customHeight="false" outlineLevel="0" collapsed="false">
      <c r="A7" s="11" t="s">
        <v>41</v>
      </c>
      <c r="B7" s="11" t="s">
        <v>42</v>
      </c>
      <c r="C7" s="11" t="s">
        <v>43</v>
      </c>
      <c r="D7" s="11" t="s">
        <v>184</v>
      </c>
      <c r="E7" s="12" t="n">
        <v>6</v>
      </c>
      <c r="F7" s="11" t="s">
        <v>185</v>
      </c>
      <c r="G7" s="8" t="n">
        <v>11</v>
      </c>
      <c r="H7" s="11" t="s">
        <v>195</v>
      </c>
      <c r="I7" s="11" t="s">
        <v>196</v>
      </c>
      <c r="J7" s="11" t="s">
        <v>197</v>
      </c>
      <c r="K7" s="8" t="n">
        <v>4</v>
      </c>
      <c r="L7" s="8" t="n">
        <v>54</v>
      </c>
      <c r="M7" s="8" t="n">
        <v>4</v>
      </c>
      <c r="N7" s="8" t="n">
        <v>34</v>
      </c>
      <c r="O7" s="8" t="n">
        <v>6</v>
      </c>
      <c r="P7" s="9" t="n">
        <v>16.5430667194945</v>
      </c>
      <c r="Q7" s="10" t="n">
        <v>0.060448284284654</v>
      </c>
      <c r="R7" s="9" t="n">
        <v>15</v>
      </c>
      <c r="S7" s="13" t="n">
        <f aca="false">IF(AND(ISNUMBER(R7),R7&gt;1,P7&gt;0),R7/P7-1,"")</f>
        <v>-0.0932757357301891</v>
      </c>
      <c r="T7" s="9" t="n">
        <f aca="false">IF(AND(ISNUMBER(P7),P7&gt;0),P7*EXP('Read me'!$B$22),"")</f>
        <v>20.2057473196182</v>
      </c>
    </row>
    <row r="8" customFormat="false" ht="15" hidden="false" customHeight="false" outlineLevel="0" collapsed="false">
      <c r="A8" s="11" t="s">
        <v>41</v>
      </c>
      <c r="B8" s="11" t="s">
        <v>42</v>
      </c>
      <c r="C8" s="11" t="s">
        <v>43</v>
      </c>
      <c r="D8" s="11" t="s">
        <v>184</v>
      </c>
      <c r="E8" s="12" t="n">
        <v>6</v>
      </c>
      <c r="F8" s="11" t="s">
        <v>185</v>
      </c>
      <c r="G8" s="8" t="n">
        <v>11</v>
      </c>
      <c r="H8" s="11" t="s">
        <v>198</v>
      </c>
      <c r="I8" s="11" t="s">
        <v>199</v>
      </c>
      <c r="J8" s="11" t="s">
        <v>200</v>
      </c>
      <c r="K8" s="8" t="n">
        <v>11</v>
      </c>
      <c r="L8" s="8" t="n">
        <v>45</v>
      </c>
      <c r="M8" s="8" t="n">
        <v>5</v>
      </c>
      <c r="N8" s="8" t="n">
        <v>20</v>
      </c>
      <c r="O8" s="8" t="n">
        <v>7</v>
      </c>
      <c r="P8" s="9" t="n">
        <v>44.3297738624397</v>
      </c>
      <c r="Q8" s="10" t="n">
        <v>0.0225582021488111</v>
      </c>
      <c r="R8" s="9" t="n">
        <v>41</v>
      </c>
      <c r="S8" s="13" t="n">
        <f aca="false">IF(AND(ISNUMBER(R8),R8&gt;1,P8&gt;0),R8/P8-1,"")</f>
        <v>-0.0751137118987421</v>
      </c>
      <c r="T8" s="9" t="n">
        <f aca="false">IF(AND(ISNUMBER(P8),P8&gt;0),P8*EXP('Read me'!$B$22),"")</f>
        <v>54.1445080642004</v>
      </c>
    </row>
    <row r="9" customFormat="false" ht="15" hidden="false" customHeight="false" outlineLevel="0" collapsed="false">
      <c r="A9" s="11" t="s">
        <v>41</v>
      </c>
      <c r="B9" s="11" t="s">
        <v>42</v>
      </c>
      <c r="C9" s="11" t="s">
        <v>43</v>
      </c>
      <c r="D9" s="11" t="s">
        <v>184</v>
      </c>
      <c r="E9" s="12" t="n">
        <v>6</v>
      </c>
      <c r="F9" s="11" t="s">
        <v>185</v>
      </c>
      <c r="G9" s="8" t="n">
        <v>11</v>
      </c>
      <c r="H9" s="11" t="s">
        <v>201</v>
      </c>
      <c r="I9" s="11" t="s">
        <v>202</v>
      </c>
      <c r="J9" s="11" t="s">
        <v>150</v>
      </c>
      <c r="K9" s="8" t="n">
        <v>12</v>
      </c>
      <c r="L9" s="8" t="n">
        <v>45</v>
      </c>
      <c r="M9" s="8" t="n">
        <v>3</v>
      </c>
      <c r="N9" s="8" t="n">
        <v>15</v>
      </c>
      <c r="O9" s="8" t="n">
        <v>8</v>
      </c>
      <c r="P9" s="9" t="n">
        <v>59.5294933328239</v>
      </c>
      <c r="Q9" s="10" t="n">
        <v>0.0167983959549108</v>
      </c>
      <c r="R9" s="9" t="n">
        <v>34</v>
      </c>
      <c r="S9" s="13" t="n">
        <f aca="false">IF(AND(ISNUMBER(R9),R9&gt;1,P9&gt;0),R9/P9-1,"")</f>
        <v>-0.428854537533031</v>
      </c>
      <c r="T9" s="9" t="n">
        <f aca="false">IF(AND(ISNUMBER(P9),P9&gt;0),P9*EXP('Read me'!$B$22),"")</f>
        <v>72.7094873485885</v>
      </c>
    </row>
    <row r="10" customFormat="false" ht="15" hidden="false" customHeight="false" outlineLevel="0" collapsed="false">
      <c r="A10" s="11" t="s">
        <v>41</v>
      </c>
      <c r="B10" s="11" t="s">
        <v>42</v>
      </c>
      <c r="C10" s="11" t="s">
        <v>43</v>
      </c>
      <c r="D10" s="11" t="s">
        <v>184</v>
      </c>
      <c r="E10" s="12" t="n">
        <v>6</v>
      </c>
      <c r="F10" s="11" t="s">
        <v>185</v>
      </c>
      <c r="G10" s="8" t="n">
        <v>11</v>
      </c>
      <c r="H10" s="11" t="s">
        <v>203</v>
      </c>
      <c r="I10" s="11" t="s">
        <v>204</v>
      </c>
      <c r="J10" s="11" t="s">
        <v>205</v>
      </c>
      <c r="K10" s="8" t="n">
        <v>1</v>
      </c>
      <c r="L10" s="8" t="n">
        <v>50</v>
      </c>
      <c r="M10" s="8" t="n">
        <v>3</v>
      </c>
      <c r="N10" s="8" t="n">
        <v>306</v>
      </c>
      <c r="O10" s="8" t="n">
        <v>9</v>
      </c>
      <c r="P10" s="9" t="n">
        <v>62.4764684904002</v>
      </c>
      <c r="Q10" s="10" t="n">
        <v>0.0160060263353978</v>
      </c>
      <c r="R10" s="9" t="n">
        <v>7</v>
      </c>
      <c r="S10" s="13" t="n">
        <f aca="false">IF(AND(ISNUMBER(R10),R10&gt;1,P10&gt;0),R10/P10-1,"")</f>
        <v>-0.887957815652215</v>
      </c>
      <c r="T10" s="9" t="n">
        <f aca="false">IF(AND(ISNUMBER(P10),P10&gt;0),P10*EXP('Read me'!$B$22),"")</f>
        <v>76.3089309342817</v>
      </c>
    </row>
    <row r="11" customFormat="false" ht="15" hidden="false" customHeight="false" outlineLevel="0" collapsed="false">
      <c r="A11" s="11" t="s">
        <v>41</v>
      </c>
      <c r="B11" s="11" t="s">
        <v>42</v>
      </c>
      <c r="C11" s="11" t="s">
        <v>43</v>
      </c>
      <c r="D11" s="11" t="s">
        <v>184</v>
      </c>
      <c r="E11" s="12" t="n">
        <v>6</v>
      </c>
      <c r="F11" s="11" t="s">
        <v>185</v>
      </c>
      <c r="G11" s="8" t="n">
        <v>11</v>
      </c>
      <c r="H11" s="11" t="s">
        <v>206</v>
      </c>
      <c r="I11" s="11" t="s">
        <v>207</v>
      </c>
      <c r="J11" s="11" t="s">
        <v>208</v>
      </c>
      <c r="K11" s="8" t="n">
        <v>10</v>
      </c>
      <c r="L11" s="8" t="n">
        <v>45</v>
      </c>
      <c r="M11" s="8" t="n">
        <v>5</v>
      </c>
      <c r="N11" s="8" t="n">
        <v>14</v>
      </c>
      <c r="O11" s="8" t="n">
        <v>10</v>
      </c>
      <c r="P11" s="9" t="n">
        <v>63.9120162572239</v>
      </c>
      <c r="Q11" s="10" t="n">
        <v>0.0156465099767052</v>
      </c>
      <c r="R11" s="9" t="n">
        <v>51</v>
      </c>
      <c r="S11" s="13" t="n">
        <f aca="false">IF(AND(ISNUMBER(R11),R11&gt;1,P11&gt;0),R11/P11-1,"")</f>
        <v>-0.202027991188033</v>
      </c>
      <c r="T11" s="9" t="n">
        <f aca="false">IF(AND(ISNUMBER(P11),P11&gt;0),P11*EXP('Read me'!$B$22),"")</f>
        <v>78.0623129361508</v>
      </c>
    </row>
    <row r="12" customFormat="false" ht="15" hidden="false" customHeight="false" outlineLevel="0" collapsed="false">
      <c r="A12" s="11" t="s">
        <v>41</v>
      </c>
      <c r="B12" s="11" t="s">
        <v>42</v>
      </c>
      <c r="C12" s="11" t="s">
        <v>43</v>
      </c>
      <c r="D12" s="11" t="s">
        <v>184</v>
      </c>
      <c r="E12" s="12" t="n">
        <v>6</v>
      </c>
      <c r="F12" s="11" t="s">
        <v>185</v>
      </c>
      <c r="G12" s="8" t="n">
        <v>11</v>
      </c>
      <c r="H12" s="11" t="s">
        <v>209</v>
      </c>
      <c r="I12" s="11" t="s">
        <v>210</v>
      </c>
      <c r="J12" s="11" t="s">
        <v>168</v>
      </c>
      <c r="K12" s="8" t="n">
        <v>2</v>
      </c>
      <c r="L12" s="8" t="n">
        <v>45</v>
      </c>
      <c r="M12" s="8" t="n">
        <v>3</v>
      </c>
      <c r="N12" s="8" t="n">
        <v>46</v>
      </c>
      <c r="O12" s="8" t="n">
        <v>11</v>
      </c>
      <c r="P12" s="9" t="n">
        <v>221.57978040615</v>
      </c>
      <c r="Q12" s="10" t="n">
        <v>0.0045130471659779</v>
      </c>
      <c r="R12" s="9" t="n">
        <v>81</v>
      </c>
      <c r="S12" s="13" t="n">
        <f aca="false">IF(AND(ISNUMBER(R12),R12&gt;1,P12&gt;0),R12/P12-1,"")</f>
        <v>-0.634443179555783</v>
      </c>
      <c r="T12" s="9" t="n">
        <f aca="false">IF(AND(ISNUMBER(P12),P12&gt;0),P12*EXP('Read me'!$B$22),"")</f>
        <v>270.638154940596</v>
      </c>
    </row>
    <row r="13" customFormat="false" ht="15" hidden="false" customHeight="false" outlineLevel="0" collapsed="false">
      <c r="A13" s="11" t="s">
        <v>48</v>
      </c>
      <c r="B13" s="11" t="s">
        <v>49</v>
      </c>
      <c r="C13" s="11" t="s">
        <v>50</v>
      </c>
      <c r="D13" s="11"/>
      <c r="E13" s="12" t="n">
        <v>7</v>
      </c>
      <c r="F13" s="11" t="s">
        <v>211</v>
      </c>
      <c r="G13" s="8" t="n">
        <v>13</v>
      </c>
      <c r="H13" s="11" t="s">
        <v>51</v>
      </c>
      <c r="I13" s="11" t="s">
        <v>52</v>
      </c>
      <c r="J13" s="11" t="s">
        <v>53</v>
      </c>
      <c r="K13" s="8" t="n">
        <v>6</v>
      </c>
      <c r="L13" s="8" t="n">
        <v>0</v>
      </c>
      <c r="M13" s="8" t="n">
        <v>2</v>
      </c>
      <c r="N13" s="8" t="n">
        <v>49</v>
      </c>
      <c r="O13" s="8" t="n">
        <v>1</v>
      </c>
      <c r="P13" s="9" t="n">
        <v>1.75107754901238</v>
      </c>
      <c r="Q13" s="10" t="n">
        <v>0.571076935207129</v>
      </c>
      <c r="R13" s="9" t="n">
        <v>1.72727272727273</v>
      </c>
      <c r="S13" s="13" t="n">
        <f aca="false">IF(AND(ISNUMBER(R13),R13&gt;1,P13&gt;0),R13/P13-1,"")</f>
        <v>-0.0135943846422318</v>
      </c>
      <c r="T13" s="9" t="n">
        <f aca="false">IF(AND(ISNUMBER(P13),P13&gt;0),P13*EXP('Read me'!$B$22),"")</f>
        <v>2.13877094811607</v>
      </c>
    </row>
    <row r="14" customFormat="false" ht="15" hidden="false" customHeight="false" outlineLevel="0" collapsed="false">
      <c r="A14" s="11" t="s">
        <v>48</v>
      </c>
      <c r="B14" s="11" t="s">
        <v>49</v>
      </c>
      <c r="C14" s="11" t="s">
        <v>50</v>
      </c>
      <c r="D14" s="11"/>
      <c r="E14" s="12" t="n">
        <v>7</v>
      </c>
      <c r="F14" s="11" t="s">
        <v>211</v>
      </c>
      <c r="G14" s="8" t="n">
        <v>13</v>
      </c>
      <c r="H14" s="11" t="s">
        <v>54</v>
      </c>
      <c r="I14" s="11" t="s">
        <v>121</v>
      </c>
      <c r="J14" s="11" t="s">
        <v>122</v>
      </c>
      <c r="K14" s="8" t="n">
        <v>12</v>
      </c>
      <c r="L14" s="8" t="n">
        <v>0</v>
      </c>
      <c r="M14" s="8" t="n">
        <v>2</v>
      </c>
      <c r="N14" s="8" t="n">
        <v>62</v>
      </c>
      <c r="O14" s="8" t="n">
        <v>2</v>
      </c>
      <c r="P14" s="9" t="n">
        <v>7.42721808934124</v>
      </c>
      <c r="Q14" s="10" t="n">
        <v>0.134639913352631</v>
      </c>
      <c r="R14" s="9" t="n">
        <v>12</v>
      </c>
      <c r="S14" s="13" t="n">
        <f aca="false">IF(AND(ISNUMBER(R14),R14&gt;1,P14&gt;0),R14/P14-1,"")</f>
        <v>0.615678960231575</v>
      </c>
      <c r="T14" s="9" t="n">
        <f aca="false">IF(AND(ISNUMBER(P14),P14&gt;0),P14*EXP('Read me'!$B$22),"")</f>
        <v>9.0716246597785</v>
      </c>
    </row>
    <row r="15" customFormat="false" ht="15" hidden="false" customHeight="false" outlineLevel="0" collapsed="false">
      <c r="A15" s="11" t="s">
        <v>48</v>
      </c>
      <c r="B15" s="11" t="s">
        <v>49</v>
      </c>
      <c r="C15" s="11" t="s">
        <v>50</v>
      </c>
      <c r="D15" s="11"/>
      <c r="E15" s="12" t="n">
        <v>7</v>
      </c>
      <c r="F15" s="11" t="s">
        <v>211</v>
      </c>
      <c r="G15" s="8" t="n">
        <v>13</v>
      </c>
      <c r="H15" s="11" t="s">
        <v>212</v>
      </c>
      <c r="I15" s="11" t="s">
        <v>213</v>
      </c>
      <c r="J15" s="11" t="s">
        <v>53</v>
      </c>
      <c r="K15" s="8" t="n">
        <v>1</v>
      </c>
      <c r="L15" s="8" t="n">
        <v>0</v>
      </c>
      <c r="M15" s="8" t="n">
        <v>2</v>
      </c>
      <c r="N15" s="8"/>
      <c r="O15" s="8" t="n">
        <v>3</v>
      </c>
      <c r="P15" s="9" t="n">
        <v>13.0871095838359</v>
      </c>
      <c r="Q15" s="10" t="n">
        <v>0.0764110664462622</v>
      </c>
      <c r="R15" s="9" t="n">
        <v>7</v>
      </c>
      <c r="S15" s="13" t="n">
        <f aca="false">IF(AND(ISNUMBER(R15),R15&gt;1,P15&gt;0),R15/P15-1,"")</f>
        <v>-0.465122534876165</v>
      </c>
      <c r="T15" s="9" t="n">
        <f aca="false">IF(AND(ISNUMBER(P15),P15&gt;0),P15*EXP('Read me'!$B$22),"")</f>
        <v>15.9846317420416</v>
      </c>
    </row>
    <row r="16" customFormat="false" ht="15" hidden="false" customHeight="false" outlineLevel="0" collapsed="false">
      <c r="A16" s="11" t="s">
        <v>48</v>
      </c>
      <c r="B16" s="11" t="s">
        <v>49</v>
      </c>
      <c r="C16" s="11" t="s">
        <v>50</v>
      </c>
      <c r="D16" s="11"/>
      <c r="E16" s="12" t="n">
        <v>7</v>
      </c>
      <c r="F16" s="11" t="s">
        <v>211</v>
      </c>
      <c r="G16" s="8" t="n">
        <v>13</v>
      </c>
      <c r="H16" s="11" t="s">
        <v>214</v>
      </c>
      <c r="I16" s="11" t="s">
        <v>215</v>
      </c>
      <c r="J16" s="11" t="s">
        <v>216</v>
      </c>
      <c r="K16" s="8" t="n">
        <v>9</v>
      </c>
      <c r="L16" s="8" t="n">
        <v>0</v>
      </c>
      <c r="M16" s="8" t="n">
        <v>2</v>
      </c>
      <c r="N16" s="8"/>
      <c r="O16" s="8" t="n">
        <v>4</v>
      </c>
      <c r="P16" s="9" t="n">
        <v>13.3103460926328</v>
      </c>
      <c r="Q16" s="10" t="n">
        <v>0.0751295265382691</v>
      </c>
      <c r="R16" s="9" t="n">
        <v>5.5</v>
      </c>
      <c r="S16" s="13" t="n">
        <f aca="false">IF(AND(ISNUMBER(R16),R16&gt;1,P16&gt;0),R16/P16-1,"")</f>
        <v>-0.58678760403952</v>
      </c>
      <c r="T16" s="9" t="n">
        <f aca="false">IF(AND(ISNUMBER(P16),P16&gt;0),P16*EXP('Read me'!$B$22),"")</f>
        <v>16.2572934296081</v>
      </c>
    </row>
    <row r="17" customFormat="false" ht="15" hidden="false" customHeight="false" outlineLevel="0" collapsed="false">
      <c r="A17" s="11" t="s">
        <v>48</v>
      </c>
      <c r="B17" s="11" t="s">
        <v>49</v>
      </c>
      <c r="C17" s="11" t="s">
        <v>50</v>
      </c>
      <c r="D17" s="11"/>
      <c r="E17" s="12" t="n">
        <v>7</v>
      </c>
      <c r="F17" s="11" t="s">
        <v>211</v>
      </c>
      <c r="G17" s="8" t="n">
        <v>13</v>
      </c>
      <c r="H17" s="11" t="s">
        <v>217</v>
      </c>
      <c r="I17" s="11" t="s">
        <v>218</v>
      </c>
      <c r="J17" s="11" t="s">
        <v>219</v>
      </c>
      <c r="K17" s="8" t="n">
        <v>16</v>
      </c>
      <c r="L17" s="8" t="n">
        <v>0</v>
      </c>
      <c r="M17" s="8" t="n">
        <v>2</v>
      </c>
      <c r="N17" s="8"/>
      <c r="O17" s="8" t="n">
        <v>5</v>
      </c>
      <c r="P17" s="9" t="n">
        <v>26.9498839405325</v>
      </c>
      <c r="Q17" s="10" t="n">
        <v>0.0371059111870981</v>
      </c>
      <c r="R17" s="9" t="n">
        <v>15</v>
      </c>
      <c r="S17" s="13" t="n">
        <f aca="false">IF(AND(ISNUMBER(R17),R17&gt;1,P17&gt;0),R17/P17-1,"")</f>
        <v>-0.443411332193528</v>
      </c>
      <c r="T17" s="9" t="n">
        <f aca="false">IF(AND(ISNUMBER(P17),P17&gt;0),P17*EXP('Read me'!$B$22),"")</f>
        <v>32.9166625770629</v>
      </c>
    </row>
    <row r="18" customFormat="false" ht="15" hidden="false" customHeight="false" outlineLevel="0" collapsed="false">
      <c r="A18" s="11" t="s">
        <v>48</v>
      </c>
      <c r="B18" s="11" t="s">
        <v>49</v>
      </c>
      <c r="C18" s="11" t="s">
        <v>50</v>
      </c>
      <c r="D18" s="11"/>
      <c r="E18" s="12" t="n">
        <v>7</v>
      </c>
      <c r="F18" s="11" t="s">
        <v>211</v>
      </c>
      <c r="G18" s="8" t="n">
        <v>13</v>
      </c>
      <c r="H18" s="11" t="s">
        <v>220</v>
      </c>
      <c r="I18" s="11" t="s">
        <v>104</v>
      </c>
      <c r="J18" s="11" t="s">
        <v>221</v>
      </c>
      <c r="K18" s="8" t="n">
        <v>14</v>
      </c>
      <c r="L18" s="8" t="n">
        <v>0</v>
      </c>
      <c r="M18" s="8" t="n">
        <v>2</v>
      </c>
      <c r="N18" s="8"/>
      <c r="O18" s="8" t="n">
        <v>6</v>
      </c>
      <c r="P18" s="9" t="n">
        <v>29.5849892488159</v>
      </c>
      <c r="Q18" s="10" t="n">
        <v>0.0338009249078913</v>
      </c>
      <c r="R18" s="9" t="n">
        <v>29</v>
      </c>
      <c r="S18" s="13" t="n">
        <f aca="false">IF(AND(ISNUMBER(R18),R18&gt;1,P18&gt;0),R18/P18-1,"")</f>
        <v>-0.0197731776711506</v>
      </c>
      <c r="T18" s="9" t="n">
        <f aca="false">IF(AND(ISNUMBER(P18),P18&gt;0),P18*EXP('Read me'!$B$22),"")</f>
        <v>36.1351874686427</v>
      </c>
    </row>
    <row r="19" customFormat="false" ht="15" hidden="false" customHeight="false" outlineLevel="0" collapsed="false">
      <c r="A19" s="11" t="s">
        <v>48</v>
      </c>
      <c r="B19" s="11" t="s">
        <v>49</v>
      </c>
      <c r="C19" s="11" t="s">
        <v>50</v>
      </c>
      <c r="D19" s="11"/>
      <c r="E19" s="12" t="n">
        <v>7</v>
      </c>
      <c r="F19" s="11" t="s">
        <v>211</v>
      </c>
      <c r="G19" s="8" t="n">
        <v>13</v>
      </c>
      <c r="H19" s="11" t="s">
        <v>222</v>
      </c>
      <c r="I19" s="11" t="s">
        <v>223</v>
      </c>
      <c r="J19" s="11" t="s">
        <v>224</v>
      </c>
      <c r="K19" s="8" t="n">
        <v>8</v>
      </c>
      <c r="L19" s="8" t="n">
        <v>0</v>
      </c>
      <c r="M19" s="8" t="n">
        <v>2</v>
      </c>
      <c r="N19" s="8"/>
      <c r="O19" s="8" t="n">
        <v>7</v>
      </c>
      <c r="P19" s="9" t="n">
        <v>36.1935589361349</v>
      </c>
      <c r="Q19" s="10" t="n">
        <v>0.0276292254587215</v>
      </c>
      <c r="R19" s="9" t="n">
        <v>34</v>
      </c>
      <c r="S19" s="13" t="n">
        <f aca="false">IF(AND(ISNUMBER(R19),R19&gt;1,P19&gt;0),R19/P19-1,"")</f>
        <v>-0.0606063344034657</v>
      </c>
      <c r="T19" s="9" t="n">
        <f aca="false">IF(AND(ISNUMBER(P19),P19&gt;0),P19*EXP('Read me'!$B$22),"")</f>
        <v>44.2069127122279</v>
      </c>
    </row>
    <row r="20" customFormat="false" ht="15" hidden="false" customHeight="false" outlineLevel="0" collapsed="false">
      <c r="A20" s="11" t="s">
        <v>48</v>
      </c>
      <c r="B20" s="11" t="s">
        <v>49</v>
      </c>
      <c r="C20" s="11" t="s">
        <v>50</v>
      </c>
      <c r="D20" s="11"/>
      <c r="E20" s="12" t="n">
        <v>7</v>
      </c>
      <c r="F20" s="11" t="s">
        <v>211</v>
      </c>
      <c r="G20" s="8" t="n">
        <v>13</v>
      </c>
      <c r="H20" s="11" t="s">
        <v>225</v>
      </c>
      <c r="I20" s="11" t="s">
        <v>139</v>
      </c>
      <c r="J20" s="11" t="s">
        <v>226</v>
      </c>
      <c r="K20" s="8" t="n">
        <v>10</v>
      </c>
      <c r="L20" s="8" t="n">
        <v>0</v>
      </c>
      <c r="M20" s="8" t="n">
        <v>2</v>
      </c>
      <c r="N20" s="8"/>
      <c r="O20" s="8" t="n">
        <v>8</v>
      </c>
      <c r="P20" s="9" t="n">
        <v>87.4606927891835</v>
      </c>
      <c r="Q20" s="10" t="n">
        <v>0.0114337077389772</v>
      </c>
      <c r="R20" s="9" t="n">
        <v>34</v>
      </c>
      <c r="S20" s="13" t="n">
        <f aca="false">IF(AND(ISNUMBER(R20),R20&gt;1,P20&gt;0),R20/P20-1,"")</f>
        <v>-0.611253936874773</v>
      </c>
      <c r="T20" s="9" t="n">
        <f aca="false">IF(AND(ISNUMBER(P20),P20&gt;0),P20*EXP('Read me'!$B$22),"")</f>
        <v>106.824731403308</v>
      </c>
    </row>
    <row r="21" customFormat="false" ht="15" hidden="false" customHeight="false" outlineLevel="0" collapsed="false">
      <c r="A21" s="11" t="s">
        <v>48</v>
      </c>
      <c r="B21" s="11" t="s">
        <v>49</v>
      </c>
      <c r="C21" s="11" t="s">
        <v>50</v>
      </c>
      <c r="D21" s="11"/>
      <c r="E21" s="12" t="n">
        <v>7</v>
      </c>
      <c r="F21" s="11" t="s">
        <v>211</v>
      </c>
      <c r="G21" s="8" t="n">
        <v>13</v>
      </c>
      <c r="H21" s="11" t="s">
        <v>227</v>
      </c>
      <c r="I21" s="11" t="s">
        <v>228</v>
      </c>
      <c r="J21" s="11" t="s">
        <v>229</v>
      </c>
      <c r="K21" s="8" t="n">
        <v>5</v>
      </c>
      <c r="L21" s="8" t="n">
        <v>0</v>
      </c>
      <c r="M21" s="8" t="n">
        <v>2</v>
      </c>
      <c r="N21" s="8" t="n">
        <v>10</v>
      </c>
      <c r="O21" s="8" t="n">
        <v>9</v>
      </c>
      <c r="P21" s="9" t="n">
        <v>95.3430680201303</v>
      </c>
      <c r="Q21" s="10" t="n">
        <v>0.0104884394929358</v>
      </c>
      <c r="R21" s="9" t="n">
        <v>41</v>
      </c>
      <c r="S21" s="13" t="n">
        <f aca="false">IF(AND(ISNUMBER(R21),R21&gt;1,P21&gt;0),R21/P21-1,"")</f>
        <v>-0.569973980789632</v>
      </c>
      <c r="T21" s="9" t="n">
        <f aca="false">IF(AND(ISNUMBER(P21),P21&gt;0),P21*EXP('Read me'!$B$22),"")</f>
        <v>116.45228625124</v>
      </c>
    </row>
    <row r="22" customFormat="false" ht="15" hidden="false" customHeight="false" outlineLevel="0" collapsed="false">
      <c r="A22" s="11" t="s">
        <v>48</v>
      </c>
      <c r="B22" s="11" t="s">
        <v>49</v>
      </c>
      <c r="C22" s="11" t="s">
        <v>50</v>
      </c>
      <c r="D22" s="11"/>
      <c r="E22" s="12" t="n">
        <v>7</v>
      </c>
      <c r="F22" s="11" t="s">
        <v>211</v>
      </c>
      <c r="G22" s="8" t="n">
        <v>13</v>
      </c>
      <c r="H22" s="11" t="s">
        <v>230</v>
      </c>
      <c r="I22" s="11" t="s">
        <v>231</v>
      </c>
      <c r="J22" s="11" t="s">
        <v>232</v>
      </c>
      <c r="K22" s="8" t="n">
        <v>3</v>
      </c>
      <c r="L22" s="8" t="n">
        <v>0</v>
      </c>
      <c r="M22" s="8" t="n">
        <v>2</v>
      </c>
      <c r="N22" s="8" t="n">
        <v>52</v>
      </c>
      <c r="O22" s="8" t="n">
        <v>10</v>
      </c>
      <c r="P22" s="9" t="n">
        <v>112.026111440331</v>
      </c>
      <c r="Q22" s="10" t="n">
        <v>0.0089264903257187</v>
      </c>
      <c r="R22" s="9" t="n">
        <v>29</v>
      </c>
      <c r="S22" s="13" t="n">
        <f aca="false">IF(AND(ISNUMBER(R22),R22&gt;1,P22&gt;0),R22/P22-1,"")</f>
        <v>-0.741131780554157</v>
      </c>
      <c r="T22" s="9" t="n">
        <f aca="false">IF(AND(ISNUMBER(P22),P22&gt;0),P22*EXP('Read me'!$B$22),"")</f>
        <v>136.829001499179</v>
      </c>
    </row>
    <row r="23" customFormat="false" ht="15" hidden="false" customHeight="false" outlineLevel="0" collapsed="false">
      <c r="A23" s="11" t="s">
        <v>48</v>
      </c>
      <c r="B23" s="11" t="s">
        <v>49</v>
      </c>
      <c r="C23" s="11" t="s">
        <v>50</v>
      </c>
      <c r="D23" s="11"/>
      <c r="E23" s="12" t="n">
        <v>7</v>
      </c>
      <c r="F23" s="11" t="s">
        <v>211</v>
      </c>
      <c r="G23" s="8" t="n">
        <v>13</v>
      </c>
      <c r="H23" s="11" t="s">
        <v>233</v>
      </c>
      <c r="I23" s="11" t="s">
        <v>234</v>
      </c>
      <c r="J23" s="11" t="s">
        <v>221</v>
      </c>
      <c r="K23" s="8" t="n">
        <v>7</v>
      </c>
      <c r="L23" s="8" t="n">
        <v>0</v>
      </c>
      <c r="M23" s="8" t="n">
        <v>2</v>
      </c>
      <c r="N23" s="8"/>
      <c r="O23" s="8" t="n">
        <v>11</v>
      </c>
      <c r="P23" s="9" t="n">
        <v>158.85538713231</v>
      </c>
      <c r="Q23" s="10" t="n">
        <v>0.0062950336029026</v>
      </c>
      <c r="R23" s="9" t="n">
        <v>34</v>
      </c>
      <c r="S23" s="13" t="n">
        <f aca="false">IF(AND(ISNUMBER(R23),R23&gt;1,P23&gt;0),R23/P23-1,"")</f>
        <v>-0.785968857501311</v>
      </c>
      <c r="T23" s="9" t="n">
        <f aca="false">IF(AND(ISNUMBER(P23),P23&gt;0),P23*EXP('Read me'!$B$22),"")</f>
        <v>194.026407992006</v>
      </c>
    </row>
    <row r="24" customFormat="false" ht="15" hidden="false" customHeight="false" outlineLevel="0" collapsed="false">
      <c r="A24" s="11" t="s">
        <v>48</v>
      </c>
      <c r="B24" s="11" t="s">
        <v>49</v>
      </c>
      <c r="C24" s="11" t="s">
        <v>50</v>
      </c>
      <c r="D24" s="11"/>
      <c r="E24" s="12" t="n">
        <v>7</v>
      </c>
      <c r="F24" s="11" t="s">
        <v>211</v>
      </c>
      <c r="G24" s="8" t="n">
        <v>13</v>
      </c>
      <c r="H24" s="11" t="s">
        <v>235</v>
      </c>
      <c r="I24" s="11" t="s">
        <v>236</v>
      </c>
      <c r="J24" s="11" t="s">
        <v>237</v>
      </c>
      <c r="K24" s="8" t="n">
        <v>11</v>
      </c>
      <c r="L24" s="8" t="n">
        <v>0</v>
      </c>
      <c r="M24" s="8" t="n">
        <v>2</v>
      </c>
      <c r="N24" s="8"/>
      <c r="O24" s="8" t="n">
        <v>12</v>
      </c>
      <c r="P24" s="9" t="n">
        <v>282.560651907111</v>
      </c>
      <c r="Q24" s="10" t="n">
        <v>0.0035390631825436</v>
      </c>
      <c r="R24" s="9" t="n">
        <v>41</v>
      </c>
      <c r="S24" s="13" t="n">
        <f aca="false">IF(AND(ISNUMBER(R24),R24&gt;1,P24&gt;0),R24/P24-1,"")</f>
        <v>-0.854898409515709</v>
      </c>
      <c r="T24" s="9" t="n">
        <f aca="false">IF(AND(ISNUMBER(P24),P24&gt;0),P24*EXP('Read me'!$B$22),"")</f>
        <v>345.120359586881</v>
      </c>
    </row>
    <row r="25" customFormat="false" ht="15" hidden="false" customHeight="false" outlineLevel="0" collapsed="false">
      <c r="A25" s="11" t="s">
        <v>48</v>
      </c>
      <c r="B25" s="11" t="s">
        <v>49</v>
      </c>
      <c r="C25" s="11" t="s">
        <v>50</v>
      </c>
      <c r="D25" s="11"/>
      <c r="E25" s="12" t="n">
        <v>7</v>
      </c>
      <c r="F25" s="11" t="s">
        <v>211</v>
      </c>
      <c r="G25" s="8" t="n">
        <v>13</v>
      </c>
      <c r="H25" s="11" t="s">
        <v>238</v>
      </c>
      <c r="I25" s="11" t="s">
        <v>239</v>
      </c>
      <c r="J25" s="11" t="s">
        <v>240</v>
      </c>
      <c r="K25" s="8" t="n">
        <v>2</v>
      </c>
      <c r="L25" s="8" t="n">
        <v>0</v>
      </c>
      <c r="M25" s="8" t="n">
        <v>2</v>
      </c>
      <c r="N25" s="8" t="n">
        <v>10</v>
      </c>
      <c r="O25" s="8" t="n">
        <v>13</v>
      </c>
      <c r="P25" s="9" t="n">
        <v>283.787566068779</v>
      </c>
      <c r="Q25" s="10" t="n">
        <v>0.0035237625589192</v>
      </c>
      <c r="R25" s="9" t="n">
        <v>41</v>
      </c>
      <c r="S25" s="13" t="n">
        <f aca="false">IF(AND(ISNUMBER(R25),R25&gt;1,P25&gt;0),R25/P25-1,"")</f>
        <v>-0.855525735084309</v>
      </c>
      <c r="T25" s="9" t="n">
        <f aca="false">IF(AND(ISNUMBER(P25),P25&gt;0),P25*EXP('Read me'!$B$22),"")</f>
        <v>346.618915927968</v>
      </c>
    </row>
    <row r="26" customFormat="false" ht="15" hidden="false" customHeight="false" outlineLevel="0" collapsed="false">
      <c r="A26" s="11" t="s">
        <v>55</v>
      </c>
      <c r="B26" s="11" t="s">
        <v>56</v>
      </c>
      <c r="C26" s="11" t="s">
        <v>57</v>
      </c>
      <c r="D26" s="11" t="s">
        <v>241</v>
      </c>
      <c r="E26" s="12" t="n">
        <v>7</v>
      </c>
      <c r="F26" s="11" t="s">
        <v>242</v>
      </c>
      <c r="G26" s="8" t="n">
        <v>8</v>
      </c>
      <c r="H26" s="11" t="s">
        <v>58</v>
      </c>
      <c r="I26" s="11" t="s">
        <v>59</v>
      </c>
      <c r="J26" s="11" t="s">
        <v>60</v>
      </c>
      <c r="K26" s="8" t="n">
        <v>7</v>
      </c>
      <c r="L26" s="8" t="n">
        <v>73</v>
      </c>
      <c r="M26" s="8" t="n">
        <v>2</v>
      </c>
      <c r="N26" s="8" t="n">
        <v>69</v>
      </c>
      <c r="O26" s="8" t="n">
        <v>1</v>
      </c>
      <c r="P26" s="9" t="n">
        <v>4.59751270241181</v>
      </c>
      <c r="Q26" s="10" t="n">
        <v>0.217508915086936</v>
      </c>
      <c r="R26" s="9" t="n">
        <v>5.5</v>
      </c>
      <c r="S26" s="13" t="n">
        <f aca="false">IF(AND(ISNUMBER(R26),R26&gt;1,P26&gt;0),R26/P26-1,"")</f>
        <v>0.196299032978149</v>
      </c>
      <c r="T26" s="9" t="n">
        <f aca="false">IF(AND(ISNUMBER(P26),P26&gt;0),P26*EXP('Read me'!$B$22),"")</f>
        <v>5.6154146954022</v>
      </c>
    </row>
    <row r="27" customFormat="false" ht="15" hidden="false" customHeight="false" outlineLevel="0" collapsed="false">
      <c r="A27" s="11" t="s">
        <v>55</v>
      </c>
      <c r="B27" s="11" t="s">
        <v>56</v>
      </c>
      <c r="C27" s="11" t="s">
        <v>57</v>
      </c>
      <c r="D27" s="11" t="s">
        <v>241</v>
      </c>
      <c r="E27" s="12" t="n">
        <v>7</v>
      </c>
      <c r="F27" s="11" t="s">
        <v>242</v>
      </c>
      <c r="G27" s="8" t="n">
        <v>8</v>
      </c>
      <c r="H27" s="11" t="s">
        <v>61</v>
      </c>
      <c r="I27" s="11" t="s">
        <v>243</v>
      </c>
      <c r="J27" s="11" t="s">
        <v>244</v>
      </c>
      <c r="K27" s="8" t="n">
        <v>3</v>
      </c>
      <c r="L27" s="8" t="n">
        <v>76</v>
      </c>
      <c r="M27" s="8" t="n">
        <v>2</v>
      </c>
      <c r="N27" s="8" t="n">
        <v>17</v>
      </c>
      <c r="O27" s="8" t="n">
        <v>2</v>
      </c>
      <c r="P27" s="9" t="n">
        <v>5.82020933403116</v>
      </c>
      <c r="Q27" s="10" t="n">
        <v>0.171815125987468</v>
      </c>
      <c r="R27" s="9" t="n">
        <v>3.5</v>
      </c>
      <c r="S27" s="13" t="n">
        <f aca="false">IF(AND(ISNUMBER(R27),R27&gt;1,P27&gt;0),R27/P27-1,"")</f>
        <v>-0.398647059043863</v>
      </c>
      <c r="T27" s="9" t="n">
        <f aca="false">IF(AND(ISNUMBER(P27),P27&gt;0),P27*EXP('Read me'!$B$22),"")</f>
        <v>7.10881973365523</v>
      </c>
    </row>
    <row r="28" customFormat="false" ht="15" hidden="false" customHeight="false" outlineLevel="0" collapsed="false">
      <c r="A28" s="11" t="s">
        <v>55</v>
      </c>
      <c r="B28" s="11" t="s">
        <v>56</v>
      </c>
      <c r="C28" s="11" t="s">
        <v>57</v>
      </c>
      <c r="D28" s="11" t="s">
        <v>241</v>
      </c>
      <c r="E28" s="12" t="n">
        <v>7</v>
      </c>
      <c r="F28" s="11" t="s">
        <v>242</v>
      </c>
      <c r="G28" s="8" t="n">
        <v>8</v>
      </c>
      <c r="H28" s="11" t="s">
        <v>245</v>
      </c>
      <c r="I28" s="11" t="s">
        <v>246</v>
      </c>
      <c r="J28" s="11" t="s">
        <v>247</v>
      </c>
      <c r="K28" s="8" t="n">
        <v>9</v>
      </c>
      <c r="L28" s="8" t="n">
        <v>83</v>
      </c>
      <c r="M28" s="8" t="n">
        <v>2</v>
      </c>
      <c r="N28" s="8" t="n">
        <v>38</v>
      </c>
      <c r="O28" s="8" t="n">
        <v>3</v>
      </c>
      <c r="P28" s="9" t="n">
        <v>6.2737355886032</v>
      </c>
      <c r="Q28" s="10" t="n">
        <v>0.159394667798335</v>
      </c>
      <c r="R28" s="9" t="n">
        <v>4.5</v>
      </c>
      <c r="S28" s="13" t="n">
        <f aca="false">IF(AND(ISNUMBER(R28),R28&gt;1,P28&gt;0),R28/P28-1,"")</f>
        <v>-0.282723994907492</v>
      </c>
      <c r="T28" s="9" t="n">
        <f aca="false">IF(AND(ISNUMBER(P28),P28&gt;0),P28*EXP('Read me'!$B$22),"")</f>
        <v>7.66275795188757</v>
      </c>
    </row>
    <row r="29" customFormat="false" ht="15" hidden="false" customHeight="false" outlineLevel="0" collapsed="false">
      <c r="A29" s="11" t="s">
        <v>55</v>
      </c>
      <c r="B29" s="11" t="s">
        <v>56</v>
      </c>
      <c r="C29" s="11" t="s">
        <v>57</v>
      </c>
      <c r="D29" s="11" t="s">
        <v>241</v>
      </c>
      <c r="E29" s="12" t="n">
        <v>7</v>
      </c>
      <c r="F29" s="11" t="s">
        <v>242</v>
      </c>
      <c r="G29" s="8" t="n">
        <v>8</v>
      </c>
      <c r="H29" s="11" t="s">
        <v>248</v>
      </c>
      <c r="I29" s="11" t="s">
        <v>92</v>
      </c>
      <c r="J29" s="11" t="s">
        <v>249</v>
      </c>
      <c r="K29" s="8" t="n">
        <v>8</v>
      </c>
      <c r="L29" s="8" t="n">
        <v>80</v>
      </c>
      <c r="M29" s="8" t="n">
        <v>2</v>
      </c>
      <c r="N29" s="8" t="n">
        <v>38</v>
      </c>
      <c r="O29" s="8" t="n">
        <v>4</v>
      </c>
      <c r="P29" s="9" t="n">
        <v>8.74538487819185</v>
      </c>
      <c r="Q29" s="10" t="n">
        <v>0.114346025238257</v>
      </c>
      <c r="R29" s="9" t="n">
        <v>6.5</v>
      </c>
      <c r="S29" s="13" t="n">
        <f aca="false">IF(AND(ISNUMBER(R29),R29&gt;1,P29&gt;0),R29/P29-1,"")</f>
        <v>-0.256750835951327</v>
      </c>
      <c r="T29" s="9" t="n">
        <f aca="false">IF(AND(ISNUMBER(P29),P29&gt;0),P29*EXP('Read me'!$B$22),"")</f>
        <v>10.6816372113958</v>
      </c>
    </row>
    <row r="30" customFormat="false" ht="15" hidden="false" customHeight="false" outlineLevel="0" collapsed="false">
      <c r="A30" s="11" t="s">
        <v>55</v>
      </c>
      <c r="B30" s="11" t="s">
        <v>56</v>
      </c>
      <c r="C30" s="11" t="s">
        <v>57</v>
      </c>
      <c r="D30" s="11" t="s">
        <v>241</v>
      </c>
      <c r="E30" s="12" t="n">
        <v>7</v>
      </c>
      <c r="F30" s="11" t="s">
        <v>242</v>
      </c>
      <c r="G30" s="8" t="n">
        <v>8</v>
      </c>
      <c r="H30" s="11" t="s">
        <v>250</v>
      </c>
      <c r="I30" s="11" t="s">
        <v>75</v>
      </c>
      <c r="J30" s="11" t="s">
        <v>251</v>
      </c>
      <c r="K30" s="8" t="n">
        <v>5</v>
      </c>
      <c r="L30" s="8" t="n">
        <v>78</v>
      </c>
      <c r="M30" s="8" t="n">
        <v>2</v>
      </c>
      <c r="N30" s="8" t="n">
        <v>34</v>
      </c>
      <c r="O30" s="8" t="n">
        <v>5</v>
      </c>
      <c r="P30" s="9" t="n">
        <v>9.13889470646226</v>
      </c>
      <c r="Q30" s="10" t="n">
        <v>0.109422422745814</v>
      </c>
      <c r="R30" s="9" t="n">
        <v>17</v>
      </c>
      <c r="S30" s="13" t="n">
        <f aca="false">IF(AND(ISNUMBER(R30),R30&gt;1,P30&gt;0),R30/P30-1,"")</f>
        <v>0.860181186678846</v>
      </c>
      <c r="T30" s="9" t="n">
        <f aca="false">IF(AND(ISNUMBER(P30),P30&gt;0),P30*EXP('Read me'!$B$22),"")</f>
        <v>11.1622712010084</v>
      </c>
    </row>
    <row r="31" customFormat="false" ht="15" hidden="false" customHeight="false" outlineLevel="0" collapsed="false">
      <c r="A31" s="11" t="s">
        <v>55</v>
      </c>
      <c r="B31" s="11" t="s">
        <v>56</v>
      </c>
      <c r="C31" s="11" t="s">
        <v>57</v>
      </c>
      <c r="D31" s="11" t="s">
        <v>241</v>
      </c>
      <c r="E31" s="12" t="n">
        <v>7</v>
      </c>
      <c r="F31" s="11" t="s">
        <v>242</v>
      </c>
      <c r="G31" s="8" t="n">
        <v>8</v>
      </c>
      <c r="H31" s="11" t="s">
        <v>252</v>
      </c>
      <c r="I31" s="11" t="s">
        <v>253</v>
      </c>
      <c r="J31" s="11" t="s">
        <v>254</v>
      </c>
      <c r="K31" s="8" t="n">
        <v>1</v>
      </c>
      <c r="L31" s="8" t="n">
        <v>78</v>
      </c>
      <c r="M31" s="8" t="n">
        <v>2</v>
      </c>
      <c r="N31" s="8" t="n">
        <v>16</v>
      </c>
      <c r="O31" s="8" t="n">
        <v>6</v>
      </c>
      <c r="P31" s="9" t="n">
        <v>9.33500438373489</v>
      </c>
      <c r="Q31" s="10" t="n">
        <v>0.107123677600235</v>
      </c>
      <c r="R31" s="9" t="n">
        <v>9.5</v>
      </c>
      <c r="S31" s="13" t="n">
        <f aca="false">IF(AND(ISNUMBER(R31),R31&gt;1,P31&gt;0),R31/P31-1,"")</f>
        <v>0.017674937202236</v>
      </c>
      <c r="T31" s="9" t="n">
        <f aca="false">IF(AND(ISNUMBER(P31),P31&gt;0),P31*EXP('Read me'!$B$22),"")</f>
        <v>11.4018001017311</v>
      </c>
    </row>
    <row r="32" customFormat="false" ht="15" hidden="false" customHeight="false" outlineLevel="0" collapsed="false">
      <c r="A32" s="11" t="s">
        <v>55</v>
      </c>
      <c r="B32" s="11" t="s">
        <v>56</v>
      </c>
      <c r="C32" s="11" t="s">
        <v>57</v>
      </c>
      <c r="D32" s="11" t="s">
        <v>241</v>
      </c>
      <c r="E32" s="12" t="n">
        <v>7</v>
      </c>
      <c r="F32" s="11" t="s">
        <v>242</v>
      </c>
      <c r="G32" s="8" t="n">
        <v>8</v>
      </c>
      <c r="H32" s="11" t="s">
        <v>255</v>
      </c>
      <c r="I32" s="11" t="s">
        <v>127</v>
      </c>
      <c r="J32" s="11" t="s">
        <v>256</v>
      </c>
      <c r="K32" s="8" t="n">
        <v>6</v>
      </c>
      <c r="L32" s="8" t="n">
        <v>71</v>
      </c>
      <c r="M32" s="8" t="n">
        <v>2</v>
      </c>
      <c r="N32" s="8" t="n">
        <v>27</v>
      </c>
      <c r="O32" s="8" t="n">
        <v>7</v>
      </c>
      <c r="P32" s="9" t="n">
        <v>13.8115462440101</v>
      </c>
      <c r="Q32" s="10" t="n">
        <v>0.0724031895005012</v>
      </c>
      <c r="R32" s="9" t="n">
        <v>11</v>
      </c>
      <c r="S32" s="13" t="n">
        <f aca="false">IF(AND(ISNUMBER(R32),R32&gt;1,P32&gt;0),R32/P32-1,"")</f>
        <v>-0.203564915494487</v>
      </c>
      <c r="T32" s="9" t="n">
        <f aca="false">IF(AND(ISNUMBER(P32),P32&gt;0),P32*EXP('Read me'!$B$22),"")</f>
        <v>16.8694606768907</v>
      </c>
    </row>
    <row r="33" customFormat="false" ht="15" hidden="false" customHeight="false" outlineLevel="0" collapsed="false">
      <c r="A33" s="11" t="s">
        <v>55</v>
      </c>
      <c r="B33" s="11" t="s">
        <v>56</v>
      </c>
      <c r="C33" s="11" t="s">
        <v>57</v>
      </c>
      <c r="D33" s="11" t="s">
        <v>241</v>
      </c>
      <c r="E33" s="12" t="n">
        <v>7</v>
      </c>
      <c r="F33" s="11" t="s">
        <v>242</v>
      </c>
      <c r="G33" s="8" t="n">
        <v>8</v>
      </c>
      <c r="H33" s="11" t="s">
        <v>257</v>
      </c>
      <c r="I33" s="11" t="s">
        <v>258</v>
      </c>
      <c r="J33" s="11" t="s">
        <v>259</v>
      </c>
      <c r="K33" s="8" t="n">
        <v>2</v>
      </c>
      <c r="L33" s="8" t="n">
        <v>71</v>
      </c>
      <c r="M33" s="8" t="n">
        <v>2</v>
      </c>
      <c r="N33" s="8" t="n">
        <v>17</v>
      </c>
      <c r="O33" s="8" t="n">
        <v>8</v>
      </c>
      <c r="P33" s="9" t="n">
        <v>20.8394218993339</v>
      </c>
      <c r="Q33" s="10" t="n">
        <v>0.0479859760424526</v>
      </c>
      <c r="R33" s="9" t="n">
        <v>19</v>
      </c>
      <c r="S33" s="13" t="n">
        <f aca="false">IF(AND(ISNUMBER(R33),R33&gt;1,P33&gt;0),R33/P33-1,"")</f>
        <v>-0.0882664551933997</v>
      </c>
      <c r="T33" s="9" t="n">
        <f aca="false">IF(AND(ISNUMBER(P33),P33&gt;0),P33*EXP('Read me'!$B$22),"")</f>
        <v>25.4533273863099</v>
      </c>
    </row>
    <row r="34" customFormat="false" ht="15" hidden="false" customHeight="false" outlineLevel="0" collapsed="false">
      <c r="A34" s="11" t="s">
        <v>62</v>
      </c>
      <c r="B34" s="11" t="s">
        <v>42</v>
      </c>
      <c r="C34" s="11" t="s">
        <v>63</v>
      </c>
      <c r="D34" s="11" t="s">
        <v>260</v>
      </c>
      <c r="E34" s="12" t="n">
        <v>5</v>
      </c>
      <c r="F34" s="11" t="s">
        <v>185</v>
      </c>
      <c r="G34" s="8" t="n">
        <v>8</v>
      </c>
      <c r="H34" s="11" t="s">
        <v>64</v>
      </c>
      <c r="I34" s="11" t="s">
        <v>65</v>
      </c>
      <c r="J34" s="11" t="s">
        <v>66</v>
      </c>
      <c r="K34" s="8" t="n">
        <v>4</v>
      </c>
      <c r="L34" s="8" t="n">
        <v>75</v>
      </c>
      <c r="M34" s="8" t="n">
        <v>2</v>
      </c>
      <c r="N34" s="8" t="n">
        <v>8</v>
      </c>
      <c r="O34" s="8" t="n">
        <v>1</v>
      </c>
      <c r="P34" s="9" t="n">
        <v>4.96132225227591</v>
      </c>
      <c r="Q34" s="10" t="n">
        <v>0.20155917095312</v>
      </c>
      <c r="R34" s="9" t="n">
        <v>3.75</v>
      </c>
      <c r="S34" s="13" t="n">
        <f aca="false">IF(AND(ISNUMBER(R34),R34&gt;1,P34&gt;0),R34/P34-1,"")</f>
        <v>-0.244153108925799</v>
      </c>
      <c r="T34" s="9" t="n">
        <f aca="false">IF(AND(ISNUMBER(P34),P34&gt;0),P34*EXP('Read me'!$B$22),"")</f>
        <v>6.05977268305123</v>
      </c>
    </row>
    <row r="35" customFormat="false" ht="15" hidden="false" customHeight="false" outlineLevel="0" collapsed="false">
      <c r="A35" s="11" t="s">
        <v>62</v>
      </c>
      <c r="B35" s="11" t="s">
        <v>42</v>
      </c>
      <c r="C35" s="11" t="s">
        <v>63</v>
      </c>
      <c r="D35" s="11" t="s">
        <v>260</v>
      </c>
      <c r="E35" s="12" t="n">
        <v>5</v>
      </c>
      <c r="F35" s="11" t="s">
        <v>185</v>
      </c>
      <c r="G35" s="8" t="n">
        <v>8</v>
      </c>
      <c r="H35" s="11" t="s">
        <v>67</v>
      </c>
      <c r="I35" s="11" t="s">
        <v>210</v>
      </c>
      <c r="J35" s="11" t="s">
        <v>261</v>
      </c>
      <c r="K35" s="8" t="n">
        <v>8</v>
      </c>
      <c r="L35" s="8" t="n">
        <v>71</v>
      </c>
      <c r="M35" s="8" t="n">
        <v>2</v>
      </c>
      <c r="N35" s="8" t="n">
        <v>15</v>
      </c>
      <c r="O35" s="8" t="n">
        <v>2</v>
      </c>
      <c r="P35" s="9" t="n">
        <v>5.56430366359588</v>
      </c>
      <c r="Q35" s="10" t="n">
        <v>0.179717006917225</v>
      </c>
      <c r="R35" s="9" t="n">
        <v>4.5</v>
      </c>
      <c r="S35" s="13" t="n">
        <f aca="false">IF(AND(ISNUMBER(R35),R35&gt;1,P35&gt;0),R35/P35-1,"")</f>
        <v>-0.191273468872488</v>
      </c>
      <c r="T35" s="9" t="n">
        <f aca="false">IF(AND(ISNUMBER(P35),P35&gt;0),P35*EXP('Read me'!$B$22),"")</f>
        <v>6.79625584195674</v>
      </c>
    </row>
    <row r="36" customFormat="false" ht="15" hidden="false" customHeight="false" outlineLevel="0" collapsed="false">
      <c r="A36" s="11" t="s">
        <v>62</v>
      </c>
      <c r="B36" s="11" t="s">
        <v>42</v>
      </c>
      <c r="C36" s="11" t="s">
        <v>63</v>
      </c>
      <c r="D36" s="11" t="s">
        <v>260</v>
      </c>
      <c r="E36" s="12" t="n">
        <v>5</v>
      </c>
      <c r="F36" s="11" t="s">
        <v>185</v>
      </c>
      <c r="G36" s="8" t="n">
        <v>8</v>
      </c>
      <c r="H36" s="11" t="s">
        <v>262</v>
      </c>
      <c r="I36" s="11" t="s">
        <v>45</v>
      </c>
      <c r="J36" s="11" t="s">
        <v>116</v>
      </c>
      <c r="K36" s="8" t="n">
        <v>2</v>
      </c>
      <c r="L36" s="8" t="n">
        <v>65</v>
      </c>
      <c r="M36" s="8" t="n">
        <v>2</v>
      </c>
      <c r="N36" s="8" t="n">
        <v>15</v>
      </c>
      <c r="O36" s="8" t="n">
        <v>3</v>
      </c>
      <c r="P36" s="9" t="n">
        <v>6.32484324577074</v>
      </c>
      <c r="Q36" s="10" t="n">
        <v>0.15810668520025</v>
      </c>
      <c r="R36" s="9" t="n">
        <v>4.5</v>
      </c>
      <c r="S36" s="13" t="n">
        <f aca="false">IF(AND(ISNUMBER(R36),R36&gt;1,P36&gt;0),R36/P36-1,"")</f>
        <v>-0.288519916598877</v>
      </c>
      <c r="T36" s="9" t="n">
        <f aca="false">IF(AND(ISNUMBER(P36),P36&gt;0),P36*EXP('Read me'!$B$22),"")</f>
        <v>7.72518098531511</v>
      </c>
    </row>
    <row r="37" customFormat="false" ht="15" hidden="false" customHeight="false" outlineLevel="0" collapsed="false">
      <c r="A37" s="11" t="s">
        <v>62</v>
      </c>
      <c r="B37" s="11" t="s">
        <v>42</v>
      </c>
      <c r="C37" s="11" t="s">
        <v>63</v>
      </c>
      <c r="D37" s="11" t="s">
        <v>260</v>
      </c>
      <c r="E37" s="12" t="n">
        <v>5</v>
      </c>
      <c r="F37" s="11" t="s">
        <v>185</v>
      </c>
      <c r="G37" s="8" t="n">
        <v>8</v>
      </c>
      <c r="H37" s="11" t="s">
        <v>263</v>
      </c>
      <c r="I37" s="11" t="s">
        <v>264</v>
      </c>
      <c r="J37" s="11" t="s">
        <v>265</v>
      </c>
      <c r="K37" s="8" t="n">
        <v>5</v>
      </c>
      <c r="L37" s="8" t="n">
        <v>73</v>
      </c>
      <c r="M37" s="8" t="n">
        <v>2</v>
      </c>
      <c r="N37" s="8" t="n">
        <v>73</v>
      </c>
      <c r="O37" s="8" t="n">
        <v>4</v>
      </c>
      <c r="P37" s="9" t="n">
        <v>6.814806208773</v>
      </c>
      <c r="Q37" s="10" t="n">
        <v>0.146739315743514</v>
      </c>
      <c r="R37" s="9" t="n">
        <v>9</v>
      </c>
      <c r="S37" s="13" t="n">
        <f aca="false">IF(AND(ISNUMBER(R37),R37&gt;1,P37&gt;0),R37/P37-1,"")</f>
        <v>0.320653841691625</v>
      </c>
      <c r="T37" s="9" t="n">
        <f aca="false">IF(AND(ISNUMBER(P37),P37&gt;0),P37*EXP('Read me'!$B$22),"")</f>
        <v>8.32362309972239</v>
      </c>
    </row>
    <row r="38" customFormat="false" ht="15" hidden="false" customHeight="false" outlineLevel="0" collapsed="false">
      <c r="A38" s="11" t="s">
        <v>62</v>
      </c>
      <c r="B38" s="11" t="s">
        <v>42</v>
      </c>
      <c r="C38" s="11" t="s">
        <v>63</v>
      </c>
      <c r="D38" s="11" t="s">
        <v>260</v>
      </c>
      <c r="E38" s="12" t="n">
        <v>5</v>
      </c>
      <c r="F38" s="11" t="s">
        <v>185</v>
      </c>
      <c r="G38" s="8" t="n">
        <v>8</v>
      </c>
      <c r="H38" s="11" t="s">
        <v>266</v>
      </c>
      <c r="I38" s="11" t="s">
        <v>149</v>
      </c>
      <c r="J38" s="11" t="s">
        <v>265</v>
      </c>
      <c r="K38" s="8" t="n">
        <v>7</v>
      </c>
      <c r="L38" s="8" t="n">
        <v>73</v>
      </c>
      <c r="M38" s="8" t="n">
        <v>2</v>
      </c>
      <c r="N38" s="8" t="n">
        <v>15</v>
      </c>
      <c r="O38" s="8" t="n">
        <v>5</v>
      </c>
      <c r="P38" s="9" t="n">
        <v>8.47818616131087</v>
      </c>
      <c r="Q38" s="10" t="n">
        <v>0.117949757291645</v>
      </c>
      <c r="R38" s="9" t="n">
        <v>5</v>
      </c>
      <c r="S38" s="13" t="n">
        <f aca="false">IF(AND(ISNUMBER(R38),R38&gt;1,P38&gt;0),R38/P38-1,"")</f>
        <v>-0.410251213541775</v>
      </c>
      <c r="T38" s="9" t="n">
        <f aca="false">IF(AND(ISNUMBER(P38),P38&gt;0),P38*EXP('Read me'!$B$22),"")</f>
        <v>10.3552799616205</v>
      </c>
    </row>
    <row r="39" customFormat="false" ht="15" hidden="false" customHeight="false" outlineLevel="0" collapsed="false">
      <c r="A39" s="11" t="s">
        <v>62</v>
      </c>
      <c r="B39" s="11" t="s">
        <v>42</v>
      </c>
      <c r="C39" s="11" t="s">
        <v>63</v>
      </c>
      <c r="D39" s="11" t="s">
        <v>260</v>
      </c>
      <c r="E39" s="12" t="n">
        <v>5</v>
      </c>
      <c r="F39" s="11" t="s">
        <v>185</v>
      </c>
      <c r="G39" s="8" t="n">
        <v>8</v>
      </c>
      <c r="H39" s="11" t="s">
        <v>267</v>
      </c>
      <c r="I39" s="11" t="s">
        <v>268</v>
      </c>
      <c r="J39" s="11" t="s">
        <v>251</v>
      </c>
      <c r="K39" s="8" t="n">
        <v>6</v>
      </c>
      <c r="L39" s="8" t="n">
        <v>73</v>
      </c>
      <c r="M39" s="8" t="n">
        <v>2</v>
      </c>
      <c r="N39" s="8" t="n">
        <v>12</v>
      </c>
      <c r="O39" s="8" t="n">
        <v>6</v>
      </c>
      <c r="P39" s="9" t="n">
        <v>10.7828380636121</v>
      </c>
      <c r="Q39" s="10" t="n">
        <v>0.0927399627167374</v>
      </c>
      <c r="R39" s="9" t="n">
        <v>23</v>
      </c>
      <c r="S39" s="13" t="n">
        <f aca="false">IF(AND(ISNUMBER(R39),R39&gt;1,P39&gt;0),R39/P39-1,"")</f>
        <v>1.13301914248496</v>
      </c>
      <c r="T39" s="9" t="n">
        <f aca="false">IF(AND(ISNUMBER(P39),P39&gt;0),P39*EXP('Read me'!$B$22),"")</f>
        <v>13.1701881516902</v>
      </c>
    </row>
    <row r="40" customFormat="false" ht="15" hidden="false" customHeight="false" outlineLevel="0" collapsed="false">
      <c r="A40" s="11" t="s">
        <v>62</v>
      </c>
      <c r="B40" s="11" t="s">
        <v>42</v>
      </c>
      <c r="C40" s="11" t="s">
        <v>63</v>
      </c>
      <c r="D40" s="11" t="s">
        <v>260</v>
      </c>
      <c r="E40" s="12" t="n">
        <v>5</v>
      </c>
      <c r="F40" s="11" t="s">
        <v>185</v>
      </c>
      <c r="G40" s="8" t="n">
        <v>8</v>
      </c>
      <c r="H40" s="11" t="s">
        <v>269</v>
      </c>
      <c r="I40" s="11" t="s">
        <v>207</v>
      </c>
      <c r="J40" s="11" t="s">
        <v>270</v>
      </c>
      <c r="K40" s="8" t="n">
        <v>1</v>
      </c>
      <c r="L40" s="8" t="n">
        <v>68</v>
      </c>
      <c r="M40" s="8" t="n">
        <v>2</v>
      </c>
      <c r="N40" s="8" t="n">
        <v>45</v>
      </c>
      <c r="O40" s="8" t="n">
        <v>7</v>
      </c>
      <c r="P40" s="9" t="n">
        <v>12.0295540473983</v>
      </c>
      <c r="Q40" s="10" t="n">
        <v>0.083128601115207</v>
      </c>
      <c r="R40" s="9" t="n">
        <v>11</v>
      </c>
      <c r="S40" s="13" t="n">
        <f aca="false">IF(AND(ISNUMBER(R40),R40&gt;1,P40&gt;0),R40/P40-1,"")</f>
        <v>-0.0855853877327227</v>
      </c>
      <c r="T40" s="9" t="n">
        <f aca="false">IF(AND(ISNUMBER(P40),P40&gt;0),P40*EXP('Read me'!$B$22),"")</f>
        <v>14.6929304929292</v>
      </c>
    </row>
    <row r="41" customFormat="false" ht="15" hidden="false" customHeight="false" outlineLevel="0" collapsed="false">
      <c r="A41" s="11" t="s">
        <v>62</v>
      </c>
      <c r="B41" s="11" t="s">
        <v>42</v>
      </c>
      <c r="C41" s="11" t="s">
        <v>63</v>
      </c>
      <c r="D41" s="11" t="s">
        <v>260</v>
      </c>
      <c r="E41" s="12" t="n">
        <v>5</v>
      </c>
      <c r="F41" s="11" t="s">
        <v>185</v>
      </c>
      <c r="G41" s="8" t="n">
        <v>8</v>
      </c>
      <c r="H41" s="11" t="s">
        <v>271</v>
      </c>
      <c r="I41" s="11" t="s">
        <v>202</v>
      </c>
      <c r="J41" s="11" t="s">
        <v>111</v>
      </c>
      <c r="K41" s="8" t="n">
        <v>3</v>
      </c>
      <c r="L41" s="8" t="n">
        <v>54</v>
      </c>
      <c r="M41" s="8" t="n">
        <v>2</v>
      </c>
      <c r="N41" s="8" t="n">
        <v>10</v>
      </c>
      <c r="O41" s="8" t="n">
        <v>8</v>
      </c>
      <c r="P41" s="9" t="n">
        <v>49.8516910637923</v>
      </c>
      <c r="Q41" s="10" t="n">
        <v>0.0200595000623019</v>
      </c>
      <c r="R41" s="9" t="n">
        <v>29</v>
      </c>
      <c r="S41" s="13" t="n">
        <f aca="false">IF(AND(ISNUMBER(R41),R41&gt;1,P41&gt;0),R41/P41-1,"")</f>
        <v>-0.418274498193243</v>
      </c>
      <c r="T41" s="9" t="n">
        <f aca="false">IF(AND(ISNUMBER(P41),P41&gt;0),P41*EXP('Read me'!$B$22),"")</f>
        <v>60.8889929642646</v>
      </c>
    </row>
    <row r="42" customFormat="false" ht="15" hidden="false" customHeight="false" outlineLevel="0" collapsed="false">
      <c r="A42" s="11" t="s">
        <v>68</v>
      </c>
      <c r="B42" s="11" t="s">
        <v>49</v>
      </c>
      <c r="C42" s="11" t="s">
        <v>69</v>
      </c>
      <c r="D42" s="11"/>
      <c r="E42" s="12" t="n">
        <v>9</v>
      </c>
      <c r="F42" s="11" t="s">
        <v>211</v>
      </c>
      <c r="G42" s="8" t="n">
        <v>9</v>
      </c>
      <c r="H42" s="11" t="s">
        <v>70</v>
      </c>
      <c r="I42" s="11" t="s">
        <v>52</v>
      </c>
      <c r="J42" s="11" t="s">
        <v>53</v>
      </c>
      <c r="K42" s="8" t="n">
        <v>12</v>
      </c>
      <c r="L42" s="8" t="n">
        <v>0</v>
      </c>
      <c r="M42" s="8" t="n">
        <v>2</v>
      </c>
      <c r="N42" s="8" t="n">
        <v>29</v>
      </c>
      <c r="O42" s="8" t="n">
        <v>1</v>
      </c>
      <c r="P42" s="9" t="n">
        <v>2.70975680572779</v>
      </c>
      <c r="Q42" s="10" t="n">
        <v>0.369036807246405</v>
      </c>
      <c r="R42" s="9" t="n">
        <v>1.90909090909091</v>
      </c>
      <c r="S42" s="13" t="n">
        <f aca="false">IF(AND(ISNUMBER(R42),R42&gt;1,P42&gt;0),R42/P42-1,"")</f>
        <v>-0.295475186165954</v>
      </c>
      <c r="T42" s="9" t="n">
        <f aca="false">IF(AND(ISNUMBER(P42),P42&gt;0),P42*EXP('Read me'!$B$22),"")</f>
        <v>3.30970443645921</v>
      </c>
    </row>
    <row r="43" customFormat="false" ht="15" hidden="false" customHeight="false" outlineLevel="0" collapsed="false">
      <c r="A43" s="11" t="s">
        <v>68</v>
      </c>
      <c r="B43" s="11" t="s">
        <v>49</v>
      </c>
      <c r="C43" s="11" t="s">
        <v>69</v>
      </c>
      <c r="D43" s="11"/>
      <c r="E43" s="12" t="n">
        <v>9</v>
      </c>
      <c r="F43" s="11" t="s">
        <v>211</v>
      </c>
      <c r="G43" s="8" t="n">
        <v>9</v>
      </c>
      <c r="H43" s="11" t="s">
        <v>71</v>
      </c>
      <c r="I43" s="11" t="s">
        <v>272</v>
      </c>
      <c r="J43" s="11" t="s">
        <v>140</v>
      </c>
      <c r="K43" s="8" t="n">
        <v>6</v>
      </c>
      <c r="L43" s="8" t="n">
        <v>0</v>
      </c>
      <c r="M43" s="8" t="n">
        <v>2</v>
      </c>
      <c r="N43" s="8" t="n">
        <v>29</v>
      </c>
      <c r="O43" s="8" t="n">
        <v>2</v>
      </c>
      <c r="P43" s="9" t="n">
        <v>4.00750541856212</v>
      </c>
      <c r="Q43" s="10" t="n">
        <v>0.249531789868121</v>
      </c>
      <c r="R43" s="9" t="n">
        <v>2.75</v>
      </c>
      <c r="S43" s="13" t="n">
        <f aca="false">IF(AND(ISNUMBER(R43),R43&gt;1,P43&gt;0),R43/P43-1,"")</f>
        <v>-0.313787577862667</v>
      </c>
      <c r="T43" s="9" t="n">
        <f aca="false">IF(AND(ISNUMBER(P43),P43&gt;0),P43*EXP('Read me'!$B$22),"")</f>
        <v>4.8947781715736</v>
      </c>
    </row>
    <row r="44" customFormat="false" ht="15" hidden="false" customHeight="false" outlineLevel="0" collapsed="false">
      <c r="A44" s="11" t="s">
        <v>68</v>
      </c>
      <c r="B44" s="11" t="s">
        <v>49</v>
      </c>
      <c r="C44" s="11" t="s">
        <v>69</v>
      </c>
      <c r="D44" s="11"/>
      <c r="E44" s="12" t="n">
        <v>9</v>
      </c>
      <c r="F44" s="11" t="s">
        <v>211</v>
      </c>
      <c r="G44" s="8" t="n">
        <v>9</v>
      </c>
      <c r="H44" s="11" t="s">
        <v>273</v>
      </c>
      <c r="I44" s="11" t="s">
        <v>274</v>
      </c>
      <c r="J44" s="11" t="s">
        <v>53</v>
      </c>
      <c r="K44" s="8" t="n">
        <v>1</v>
      </c>
      <c r="L44" s="8" t="n">
        <v>0</v>
      </c>
      <c r="M44" s="8" t="n">
        <v>2</v>
      </c>
      <c r="N44" s="8" t="n">
        <v>26</v>
      </c>
      <c r="O44" s="8" t="n">
        <v>3</v>
      </c>
      <c r="P44" s="9" t="n">
        <v>4.47517753304185</v>
      </c>
      <c r="Q44" s="10" t="n">
        <v>0.223454822209095</v>
      </c>
      <c r="R44" s="9" t="n">
        <v>6.5</v>
      </c>
      <c r="S44" s="13" t="n">
        <f aca="false">IF(AND(ISNUMBER(R44),R44&gt;1,P44&gt;0),R44/P44-1,"")</f>
        <v>0.452456344359114</v>
      </c>
      <c r="T44" s="9" t="n">
        <f aca="false">IF(AND(ISNUMBER(P44),P44&gt;0),P44*EXP('Read me'!$B$22),"")</f>
        <v>5.46599418211374</v>
      </c>
    </row>
    <row r="45" customFormat="false" ht="15" hidden="false" customHeight="false" outlineLevel="0" collapsed="false">
      <c r="A45" s="11" t="s">
        <v>68</v>
      </c>
      <c r="B45" s="11" t="s">
        <v>49</v>
      </c>
      <c r="C45" s="11" t="s">
        <v>69</v>
      </c>
      <c r="D45" s="11"/>
      <c r="E45" s="12" t="n">
        <v>9</v>
      </c>
      <c r="F45" s="11" t="s">
        <v>211</v>
      </c>
      <c r="G45" s="8" t="n">
        <v>9</v>
      </c>
      <c r="H45" s="11" t="s">
        <v>275</v>
      </c>
      <c r="I45" s="11" t="s">
        <v>121</v>
      </c>
      <c r="J45" s="11" t="s">
        <v>122</v>
      </c>
      <c r="K45" s="8" t="n">
        <v>5</v>
      </c>
      <c r="L45" s="8" t="n">
        <v>0</v>
      </c>
      <c r="M45" s="8" t="n">
        <v>2</v>
      </c>
      <c r="N45" s="8" t="n">
        <v>92</v>
      </c>
      <c r="O45" s="8" t="n">
        <v>4</v>
      </c>
      <c r="P45" s="9" t="n">
        <v>11.9564999435787</v>
      </c>
      <c r="Q45" s="10" t="n">
        <v>0.0836365160974263</v>
      </c>
      <c r="R45" s="9" t="n">
        <v>19</v>
      </c>
      <c r="S45" s="13" t="n">
        <f aca="false">IF(AND(ISNUMBER(R45),R45&gt;1,P45&gt;0),R45/P45-1,"")</f>
        <v>0.589093805851101</v>
      </c>
      <c r="T45" s="9" t="n">
        <f aca="false">IF(AND(ISNUMBER(P45),P45&gt;0),P45*EXP('Read me'!$B$22),"")</f>
        <v>14.603702009029</v>
      </c>
    </row>
    <row r="46" customFormat="false" ht="15" hidden="false" customHeight="false" outlineLevel="0" collapsed="false">
      <c r="A46" s="11" t="s">
        <v>68</v>
      </c>
      <c r="B46" s="11" t="s">
        <v>49</v>
      </c>
      <c r="C46" s="11" t="s">
        <v>69</v>
      </c>
      <c r="D46" s="11"/>
      <c r="E46" s="12" t="n">
        <v>9</v>
      </c>
      <c r="F46" s="11" t="s">
        <v>211</v>
      </c>
      <c r="G46" s="8" t="n">
        <v>9</v>
      </c>
      <c r="H46" s="11" t="s">
        <v>276</v>
      </c>
      <c r="I46" s="11" t="s">
        <v>213</v>
      </c>
      <c r="J46" s="11" t="s">
        <v>53</v>
      </c>
      <c r="K46" s="8" t="n">
        <v>10</v>
      </c>
      <c r="L46" s="8" t="n">
        <v>0</v>
      </c>
      <c r="M46" s="8" t="n">
        <v>2</v>
      </c>
      <c r="N46" s="8"/>
      <c r="O46" s="8" t="n">
        <v>5</v>
      </c>
      <c r="P46" s="9" t="n">
        <v>25.2679912224592</v>
      </c>
      <c r="Q46" s="10" t="n">
        <v>0.0395757617293756</v>
      </c>
      <c r="R46" s="9" t="n">
        <v>21</v>
      </c>
      <c r="S46" s="13" t="n">
        <f aca="false">IF(AND(ISNUMBER(R46),R46&gt;1,P46&gt;0),R46/P46-1,"")</f>
        <v>-0.168909003683112</v>
      </c>
      <c r="T46" s="9" t="n">
        <f aca="false">IF(AND(ISNUMBER(P46),P46&gt;0),P46*EXP('Read me'!$B$22),"")</f>
        <v>30.8623941722786</v>
      </c>
    </row>
    <row r="47" customFormat="false" ht="15" hidden="false" customHeight="false" outlineLevel="0" collapsed="false">
      <c r="A47" s="11" t="s">
        <v>68</v>
      </c>
      <c r="B47" s="11" t="s">
        <v>49</v>
      </c>
      <c r="C47" s="11" t="s">
        <v>69</v>
      </c>
      <c r="D47" s="11"/>
      <c r="E47" s="12" t="n">
        <v>9</v>
      </c>
      <c r="F47" s="11" t="s">
        <v>211</v>
      </c>
      <c r="G47" s="8" t="n">
        <v>9</v>
      </c>
      <c r="H47" s="11" t="s">
        <v>277</v>
      </c>
      <c r="I47" s="11" t="s">
        <v>215</v>
      </c>
      <c r="J47" s="11" t="s">
        <v>278</v>
      </c>
      <c r="K47" s="8" t="n">
        <v>2</v>
      </c>
      <c r="L47" s="8" t="n">
        <v>0</v>
      </c>
      <c r="M47" s="8" t="n">
        <v>2</v>
      </c>
      <c r="N47" s="8"/>
      <c r="O47" s="8" t="n">
        <v>6</v>
      </c>
      <c r="P47" s="9" t="n">
        <v>60.5245755799746</v>
      </c>
      <c r="Q47" s="10" t="n">
        <v>0.0165222141653623</v>
      </c>
      <c r="R47" s="9" t="n">
        <v>34</v>
      </c>
      <c r="S47" s="13" t="n">
        <f aca="false">IF(AND(ISNUMBER(R47),R47&gt;1,P47&gt;0),R47/P47-1,"")</f>
        <v>-0.43824471837768</v>
      </c>
      <c r="T47" s="9" t="n">
        <f aca="false">IF(AND(ISNUMBER(P47),P47&gt;0),P47*EXP('Read me'!$B$22),"")</f>
        <v>73.9248835498546</v>
      </c>
    </row>
    <row r="48" customFormat="false" ht="15" hidden="false" customHeight="false" outlineLevel="0" collapsed="false">
      <c r="A48" s="11" t="s">
        <v>68</v>
      </c>
      <c r="B48" s="11" t="s">
        <v>49</v>
      </c>
      <c r="C48" s="11" t="s">
        <v>69</v>
      </c>
      <c r="D48" s="11"/>
      <c r="E48" s="12" t="n">
        <v>9</v>
      </c>
      <c r="F48" s="11" t="s">
        <v>211</v>
      </c>
      <c r="G48" s="8" t="n">
        <v>9</v>
      </c>
      <c r="H48" s="11" t="s">
        <v>279</v>
      </c>
      <c r="I48" s="11" t="s">
        <v>239</v>
      </c>
      <c r="J48" s="11" t="s">
        <v>280</v>
      </c>
      <c r="K48" s="8" t="n">
        <v>11</v>
      </c>
      <c r="L48" s="8" t="n">
        <v>0</v>
      </c>
      <c r="M48" s="8" t="n">
        <v>2</v>
      </c>
      <c r="N48" s="8"/>
      <c r="O48" s="8" t="n">
        <v>7</v>
      </c>
      <c r="P48" s="9" t="n">
        <v>74.4409774489432</v>
      </c>
      <c r="Q48" s="10" t="n">
        <v>0.0134334614384378</v>
      </c>
      <c r="R48" s="9" t="n">
        <v>67</v>
      </c>
      <c r="S48" s="13" t="n">
        <f aca="false">IF(AND(ISNUMBER(R48),R48&gt;1,P48&gt;0),R48/P48-1,"")</f>
        <v>-0.0999580836246646</v>
      </c>
      <c r="T48" s="9" t="n">
        <f aca="false">IF(AND(ISNUMBER(P48),P48&gt;0),P48*EXP('Read me'!$B$22),"")</f>
        <v>90.9224151762783</v>
      </c>
    </row>
    <row r="49" customFormat="false" ht="15" hidden="false" customHeight="false" outlineLevel="0" collapsed="false">
      <c r="A49" s="11" t="s">
        <v>68</v>
      </c>
      <c r="B49" s="11" t="s">
        <v>49</v>
      </c>
      <c r="C49" s="11" t="s">
        <v>69</v>
      </c>
      <c r="D49" s="11"/>
      <c r="E49" s="12" t="n">
        <v>9</v>
      </c>
      <c r="F49" s="11" t="s">
        <v>211</v>
      </c>
      <c r="G49" s="8" t="n">
        <v>9</v>
      </c>
      <c r="H49" s="11" t="s">
        <v>281</v>
      </c>
      <c r="I49" s="11" t="s">
        <v>104</v>
      </c>
      <c r="J49" s="11" t="s">
        <v>122</v>
      </c>
      <c r="K49" s="8" t="n">
        <v>3</v>
      </c>
      <c r="L49" s="8" t="n">
        <v>0</v>
      </c>
      <c r="M49" s="8" t="n">
        <v>2</v>
      </c>
      <c r="N49" s="8" t="n">
        <v>29</v>
      </c>
      <c r="O49" s="8" t="n">
        <v>8</v>
      </c>
      <c r="P49" s="9" t="n">
        <v>264.029613689872</v>
      </c>
      <c r="Q49" s="10" t="n">
        <v>0.0037874539375518</v>
      </c>
      <c r="R49" s="9" t="n">
        <v>201</v>
      </c>
      <c r="S49" s="13" t="n">
        <f aca="false">IF(AND(ISNUMBER(R49),R49&gt;1,P49&gt;0),R49/P49-1,"")</f>
        <v>-0.238721758552078</v>
      </c>
      <c r="T49" s="9" t="n">
        <f aca="false">IF(AND(ISNUMBER(P49),P49&gt;0),P49*EXP('Read me'!$B$22),"")</f>
        <v>322.486498396774</v>
      </c>
    </row>
    <row r="50" customFormat="false" ht="15" hidden="false" customHeight="false" outlineLevel="0" collapsed="false">
      <c r="A50" s="11" t="s">
        <v>68</v>
      </c>
      <c r="B50" s="11" t="s">
        <v>49</v>
      </c>
      <c r="C50" s="11" t="s">
        <v>69</v>
      </c>
      <c r="D50" s="11"/>
      <c r="E50" s="12" t="n">
        <v>9</v>
      </c>
      <c r="F50" s="11" t="s">
        <v>211</v>
      </c>
      <c r="G50" s="8" t="n">
        <v>9</v>
      </c>
      <c r="H50" s="11" t="s">
        <v>282</v>
      </c>
      <c r="I50" s="11" t="s">
        <v>283</v>
      </c>
      <c r="J50" s="11" t="s">
        <v>284</v>
      </c>
      <c r="K50" s="8" t="n">
        <v>9</v>
      </c>
      <c r="L50" s="8" t="n">
        <v>0</v>
      </c>
      <c r="M50" s="8" t="n">
        <v>2</v>
      </c>
      <c r="N50" s="8" t="n">
        <v>10</v>
      </c>
      <c r="O50" s="8" t="n">
        <v>9</v>
      </c>
      <c r="P50" s="9" t="n">
        <v>979.265705385241</v>
      </c>
      <c r="Q50" s="10" t="n">
        <v>0.0010211733082254</v>
      </c>
      <c r="R50" s="9" t="n">
        <v>151</v>
      </c>
      <c r="S50" s="13" t="n">
        <f aca="false">IF(AND(ISNUMBER(R50),R50&gt;1,P50&gt;0),R50/P50-1,"")</f>
        <v>-0.845802830457953</v>
      </c>
      <c r="T50" s="9" t="n">
        <f aca="false">IF(AND(ISNUMBER(P50),P50&gt;0),P50*EXP('Read me'!$B$22),"")</f>
        <v>1196.0778335292</v>
      </c>
    </row>
    <row r="51" customFormat="false" ht="15" hidden="false" customHeight="false" outlineLevel="0" collapsed="false">
      <c r="A51" s="11" t="s">
        <v>72</v>
      </c>
      <c r="B51" s="11" t="s">
        <v>56</v>
      </c>
      <c r="C51" s="11" t="s">
        <v>73</v>
      </c>
      <c r="D51" s="11" t="s">
        <v>285</v>
      </c>
      <c r="E51" s="12" t="n">
        <v>8.5</v>
      </c>
      <c r="F51" s="11" t="s">
        <v>242</v>
      </c>
      <c r="G51" s="8" t="n">
        <v>5</v>
      </c>
      <c r="H51" s="11" t="s">
        <v>74</v>
      </c>
      <c r="I51" s="11" t="s">
        <v>75</v>
      </c>
      <c r="J51" s="11" t="s">
        <v>66</v>
      </c>
      <c r="K51" s="8" t="n">
        <v>5</v>
      </c>
      <c r="L51" s="8" t="n">
        <v>0</v>
      </c>
      <c r="M51" s="8" t="n">
        <v>2</v>
      </c>
      <c r="N51" s="8" t="n">
        <v>24</v>
      </c>
      <c r="O51" s="8" t="n">
        <v>1</v>
      </c>
      <c r="P51" s="9" t="n">
        <v>3.31256245561359</v>
      </c>
      <c r="Q51" s="10" t="n">
        <v>0.301881100628115</v>
      </c>
      <c r="R51" s="9" t="n">
        <v>2.375</v>
      </c>
      <c r="S51" s="13" t="n">
        <f aca="false">IF(AND(ISNUMBER(R51),R51&gt;1,P51&gt;0),R51/P51-1,"")</f>
        <v>-0.283032386008227</v>
      </c>
      <c r="T51" s="9" t="n">
        <f aca="false">IF(AND(ISNUMBER(P51),P51&gt;0),P51*EXP('Read me'!$B$22),"")</f>
        <v>4.04597291986426</v>
      </c>
    </row>
    <row r="52" customFormat="false" ht="15" hidden="false" customHeight="false" outlineLevel="0" collapsed="false">
      <c r="A52" s="11" t="s">
        <v>72</v>
      </c>
      <c r="B52" s="11" t="s">
        <v>56</v>
      </c>
      <c r="C52" s="11" t="s">
        <v>73</v>
      </c>
      <c r="D52" s="11" t="s">
        <v>285</v>
      </c>
      <c r="E52" s="12" t="n">
        <v>8.5</v>
      </c>
      <c r="F52" s="11" t="s">
        <v>242</v>
      </c>
      <c r="G52" s="8" t="n">
        <v>5</v>
      </c>
      <c r="H52" s="11" t="s">
        <v>76</v>
      </c>
      <c r="I52" s="11" t="s">
        <v>92</v>
      </c>
      <c r="J52" s="11" t="s">
        <v>286</v>
      </c>
      <c r="K52" s="8" t="n">
        <v>4</v>
      </c>
      <c r="L52" s="8" t="n">
        <v>89</v>
      </c>
      <c r="M52" s="8" t="n">
        <v>2</v>
      </c>
      <c r="N52" s="8" t="n">
        <v>17</v>
      </c>
      <c r="O52" s="8" t="n">
        <v>2</v>
      </c>
      <c r="P52" s="9" t="n">
        <v>3.5245139727454</v>
      </c>
      <c r="Q52" s="10" t="n">
        <v>0.283727063570429</v>
      </c>
      <c r="R52" s="9" t="n">
        <v>4</v>
      </c>
      <c r="S52" s="13" t="n">
        <f aca="false">IF(AND(ISNUMBER(R52),R52&gt;1,P52&gt;0),R52/P52-1,"")</f>
        <v>0.134908254281718</v>
      </c>
      <c r="T52" s="9" t="n">
        <f aca="false">IF(AND(ISNUMBER(P52),P52&gt;0),P52*EXP('Read me'!$B$22),"")</f>
        <v>4.30485108748529</v>
      </c>
    </row>
    <row r="53" customFormat="false" ht="15" hidden="false" customHeight="false" outlineLevel="0" collapsed="false">
      <c r="A53" s="11" t="s">
        <v>72</v>
      </c>
      <c r="B53" s="11" t="s">
        <v>56</v>
      </c>
      <c r="C53" s="11" t="s">
        <v>73</v>
      </c>
      <c r="D53" s="11" t="s">
        <v>285</v>
      </c>
      <c r="E53" s="12" t="n">
        <v>8.5</v>
      </c>
      <c r="F53" s="11" t="s">
        <v>242</v>
      </c>
      <c r="G53" s="8" t="n">
        <v>5</v>
      </c>
      <c r="H53" s="11" t="s">
        <v>287</v>
      </c>
      <c r="I53" s="11" t="s">
        <v>127</v>
      </c>
      <c r="J53" s="11" t="s">
        <v>128</v>
      </c>
      <c r="K53" s="8" t="n">
        <v>1</v>
      </c>
      <c r="L53" s="8" t="n">
        <v>0</v>
      </c>
      <c r="M53" s="8" t="n">
        <v>2</v>
      </c>
      <c r="N53" s="8" t="n">
        <v>17</v>
      </c>
      <c r="O53" s="8" t="n">
        <v>3</v>
      </c>
      <c r="P53" s="9" t="n">
        <v>5.33912186667854</v>
      </c>
      <c r="Q53" s="10" t="n">
        <v>0.187296717507236</v>
      </c>
      <c r="R53" s="9" t="n">
        <v>3.5</v>
      </c>
      <c r="S53" s="13" t="n">
        <f aca="false">IF(AND(ISNUMBER(R53),R53&gt;1,P53&gt;0),R53/P53-1,"")</f>
        <v>-0.344461488724673</v>
      </c>
      <c r="T53" s="9" t="n">
        <f aca="false">IF(AND(ISNUMBER(P53),P53&gt;0),P53*EXP('Read me'!$B$22),"")</f>
        <v>6.52121817411445</v>
      </c>
    </row>
    <row r="54" customFormat="false" ht="15" hidden="false" customHeight="false" outlineLevel="0" collapsed="false">
      <c r="A54" s="11" t="s">
        <v>72</v>
      </c>
      <c r="B54" s="11" t="s">
        <v>56</v>
      </c>
      <c r="C54" s="11" t="s">
        <v>73</v>
      </c>
      <c r="D54" s="11" t="s">
        <v>285</v>
      </c>
      <c r="E54" s="12" t="n">
        <v>8.5</v>
      </c>
      <c r="F54" s="11" t="s">
        <v>242</v>
      </c>
      <c r="G54" s="8" t="n">
        <v>5</v>
      </c>
      <c r="H54" s="11" t="s">
        <v>288</v>
      </c>
      <c r="I54" s="11" t="s">
        <v>289</v>
      </c>
      <c r="J54" s="11" t="s">
        <v>249</v>
      </c>
      <c r="K54" s="8" t="n">
        <v>2</v>
      </c>
      <c r="L54" s="8" t="n">
        <v>91</v>
      </c>
      <c r="M54" s="8" t="n">
        <v>2</v>
      </c>
      <c r="N54" s="8" t="n">
        <v>59</v>
      </c>
      <c r="O54" s="8" t="n">
        <v>4</v>
      </c>
      <c r="P54" s="9" t="n">
        <v>8.01634204614209</v>
      </c>
      <c r="Q54" s="10" t="n">
        <v>0.124745176072078</v>
      </c>
      <c r="R54" s="9" t="n">
        <v>13</v>
      </c>
      <c r="S54" s="13" t="n">
        <f aca="false">IF(AND(ISNUMBER(R54),R54&gt;1,P54&gt;0),R54/P54-1,"")</f>
        <v>0.621687288937018</v>
      </c>
      <c r="T54" s="9" t="n">
        <f aca="false">IF(AND(ISNUMBER(P54),P54&gt;0),P54*EXP('Read me'!$B$22),"")</f>
        <v>9.79118228551329</v>
      </c>
    </row>
    <row r="55" customFormat="false" ht="15" hidden="false" customHeight="false" outlineLevel="0" collapsed="false">
      <c r="A55" s="11" t="s">
        <v>72</v>
      </c>
      <c r="B55" s="11" t="s">
        <v>56</v>
      </c>
      <c r="C55" s="11" t="s">
        <v>73</v>
      </c>
      <c r="D55" s="11" t="s">
        <v>285</v>
      </c>
      <c r="E55" s="12" t="n">
        <v>8.5</v>
      </c>
      <c r="F55" s="11" t="s">
        <v>242</v>
      </c>
      <c r="G55" s="8" t="n">
        <v>5</v>
      </c>
      <c r="H55" s="11" t="s">
        <v>290</v>
      </c>
      <c r="I55" s="11" t="s">
        <v>243</v>
      </c>
      <c r="J55" s="11" t="s">
        <v>244</v>
      </c>
      <c r="K55" s="8" t="n">
        <v>3</v>
      </c>
      <c r="L55" s="8" t="n">
        <v>81</v>
      </c>
      <c r="M55" s="8" t="n">
        <v>2</v>
      </c>
      <c r="N55" s="8" t="n">
        <v>31</v>
      </c>
      <c r="O55" s="8" t="n">
        <v>5</v>
      </c>
      <c r="P55" s="9" t="n">
        <v>9.77040121653995</v>
      </c>
      <c r="Q55" s="10" t="n">
        <v>0.102349942222141</v>
      </c>
      <c r="R55" s="9" t="n">
        <v>17</v>
      </c>
      <c r="S55" s="13" t="n">
        <f aca="false">IF(AND(ISNUMBER(R55),R55&gt;1,P55&gt;0),R55/P55-1,"")</f>
        <v>0.739949017776397</v>
      </c>
      <c r="T55" s="9" t="n">
        <f aca="false">IF(AND(ISNUMBER(P55),P55&gt;0),P55*EXP('Read me'!$B$22),"")</f>
        <v>11.9335949942134</v>
      </c>
    </row>
    <row r="56" customFormat="false" ht="15" hidden="false" customHeight="false" outlineLevel="0" collapsed="false">
      <c r="A56" s="11" t="s">
        <v>77</v>
      </c>
      <c r="B56" s="11" t="s">
        <v>42</v>
      </c>
      <c r="C56" s="11" t="s">
        <v>78</v>
      </c>
      <c r="D56" s="11" t="s">
        <v>184</v>
      </c>
      <c r="E56" s="12" t="n">
        <v>5</v>
      </c>
      <c r="F56" s="11" t="s">
        <v>185</v>
      </c>
      <c r="G56" s="8" t="n">
        <v>4</v>
      </c>
      <c r="H56" s="11" t="s">
        <v>79</v>
      </c>
      <c r="I56" s="11" t="s">
        <v>80</v>
      </c>
      <c r="J56" s="11" t="s">
        <v>81</v>
      </c>
      <c r="K56" s="8" t="n">
        <v>5</v>
      </c>
      <c r="L56" s="8" t="n">
        <v>55</v>
      </c>
      <c r="M56" s="8" t="n">
        <v>5</v>
      </c>
      <c r="N56" s="8" t="n">
        <v>6</v>
      </c>
      <c r="O56" s="8" t="n">
        <v>1</v>
      </c>
      <c r="P56" s="9" t="n">
        <v>1.88168126072494</v>
      </c>
      <c r="Q56" s="10" t="n">
        <v>0.531439633731983</v>
      </c>
      <c r="R56" s="9" t="n">
        <v>1.61538461538462</v>
      </c>
      <c r="S56" s="13" t="n">
        <f aca="false">IF(AND(ISNUMBER(R56),R56&gt;1,P56&gt;0),R56/P56-1,"")</f>
        <v>-0.14152059166372</v>
      </c>
      <c r="T56" s="9" t="n">
        <f aca="false">IF(AND(ISNUMBER(P56),P56&gt;0),P56*EXP('Read me'!$B$22),"")</f>
        <v>2.29829068182775</v>
      </c>
    </row>
    <row r="57" customFormat="false" ht="15" hidden="false" customHeight="false" outlineLevel="0" collapsed="false">
      <c r="A57" s="11" t="s">
        <v>77</v>
      </c>
      <c r="B57" s="11" t="s">
        <v>42</v>
      </c>
      <c r="C57" s="11" t="s">
        <v>78</v>
      </c>
      <c r="D57" s="11" t="s">
        <v>184</v>
      </c>
      <c r="E57" s="12" t="n">
        <v>5</v>
      </c>
      <c r="F57" s="11" t="s">
        <v>185</v>
      </c>
      <c r="G57" s="8" t="n">
        <v>4</v>
      </c>
      <c r="H57" s="11" t="s">
        <v>82</v>
      </c>
      <c r="I57" s="11" t="s">
        <v>196</v>
      </c>
      <c r="J57" s="11" t="s">
        <v>197</v>
      </c>
      <c r="K57" s="8" t="n">
        <v>1</v>
      </c>
      <c r="L57" s="8" t="n">
        <v>49</v>
      </c>
      <c r="M57" s="8" t="n">
        <v>9</v>
      </c>
      <c r="N57" s="8" t="n">
        <v>15</v>
      </c>
      <c r="O57" s="8" t="n">
        <v>2</v>
      </c>
      <c r="P57" s="9" t="n">
        <v>3.78837847683098</v>
      </c>
      <c r="Q57" s="10" t="n">
        <v>0.263965178272397</v>
      </c>
      <c r="R57" s="9" t="n">
        <v>3.75</v>
      </c>
      <c r="S57" s="13" t="n">
        <f aca="false">IF(AND(ISNUMBER(R57),R57&gt;1,P57&gt;0),R57/P57-1,"")</f>
        <v>-0.0101305814785113</v>
      </c>
      <c r="T57" s="9" t="n">
        <f aca="false">IF(AND(ISNUMBER(P57),P57&gt;0),P57*EXP('Read me'!$B$22),"")</f>
        <v>4.62713592055598</v>
      </c>
    </row>
    <row r="58" customFormat="false" ht="15" hidden="false" customHeight="false" outlineLevel="0" collapsed="false">
      <c r="A58" s="11" t="s">
        <v>77</v>
      </c>
      <c r="B58" s="11" t="s">
        <v>42</v>
      </c>
      <c r="C58" s="11" t="s">
        <v>78</v>
      </c>
      <c r="D58" s="11" t="s">
        <v>184</v>
      </c>
      <c r="E58" s="12" t="n">
        <v>5</v>
      </c>
      <c r="F58" s="11" t="s">
        <v>185</v>
      </c>
      <c r="G58" s="8" t="n">
        <v>4</v>
      </c>
      <c r="H58" s="11" t="s">
        <v>291</v>
      </c>
      <c r="I58" s="11" t="s">
        <v>149</v>
      </c>
      <c r="J58" s="11" t="s">
        <v>150</v>
      </c>
      <c r="K58" s="8" t="n">
        <v>4</v>
      </c>
      <c r="L58" s="8" t="n">
        <v>45</v>
      </c>
      <c r="M58" s="8" t="n">
        <v>8</v>
      </c>
      <c r="N58" s="8" t="n">
        <v>6</v>
      </c>
      <c r="O58" s="8" t="n">
        <v>3</v>
      </c>
      <c r="P58" s="9" t="n">
        <v>5.67075534942856</v>
      </c>
      <c r="Q58" s="10" t="n">
        <v>0.176343350820234</v>
      </c>
      <c r="R58" s="9" t="n">
        <v>5.5</v>
      </c>
      <c r="S58" s="13" t="n">
        <f aca="false">IF(AND(ISNUMBER(R58),R58&gt;1,P58&gt;0),R58/P58-1,"")</f>
        <v>-0.0301115704887118</v>
      </c>
      <c r="T58" s="9" t="n">
        <f aca="false">IF(AND(ISNUMBER(P58),P58&gt;0),P58*EXP('Read me'!$B$22),"")</f>
        <v>6.92627622464358</v>
      </c>
    </row>
    <row r="59" customFormat="false" ht="15" hidden="false" customHeight="false" outlineLevel="0" collapsed="false">
      <c r="A59" s="11" t="s">
        <v>77</v>
      </c>
      <c r="B59" s="11" t="s">
        <v>42</v>
      </c>
      <c r="C59" s="11" t="s">
        <v>78</v>
      </c>
      <c r="D59" s="11" t="s">
        <v>184</v>
      </c>
      <c r="E59" s="12" t="n">
        <v>5</v>
      </c>
      <c r="F59" s="11" t="s">
        <v>185</v>
      </c>
      <c r="G59" s="8" t="n">
        <v>4</v>
      </c>
      <c r="H59" s="11" t="s">
        <v>292</v>
      </c>
      <c r="I59" s="11" t="s">
        <v>293</v>
      </c>
      <c r="J59" s="11" t="s">
        <v>192</v>
      </c>
      <c r="K59" s="8" t="n">
        <v>2</v>
      </c>
      <c r="L59" s="8" t="n">
        <v>45</v>
      </c>
      <c r="M59" s="8" t="n">
        <v>3</v>
      </c>
      <c r="N59" s="8" t="n">
        <v>27</v>
      </c>
      <c r="O59" s="8" t="n">
        <v>4</v>
      </c>
      <c r="P59" s="9" t="n">
        <v>35.3959281936975</v>
      </c>
      <c r="Q59" s="10" t="n">
        <v>0.0282518371753861</v>
      </c>
      <c r="R59" s="9" t="n">
        <v>23</v>
      </c>
      <c r="S59" s="13" t="n">
        <f aca="false">IF(AND(ISNUMBER(R59),R59&gt;1,P59&gt;0),R59/P59-1,"")</f>
        <v>-0.350207744966119</v>
      </c>
      <c r="T59" s="9" t="n">
        <f aca="false">IF(AND(ISNUMBER(P59),P59&gt;0),P59*EXP('Read me'!$B$22),"")</f>
        <v>43.2326843234214</v>
      </c>
    </row>
    <row r="60" customFormat="false" ht="15" hidden="false" customHeight="false" outlineLevel="0" collapsed="false">
      <c r="A60" s="11" t="s">
        <v>83</v>
      </c>
      <c r="B60" s="11" t="s">
        <v>49</v>
      </c>
      <c r="C60" s="11" t="s">
        <v>84</v>
      </c>
      <c r="D60" s="11"/>
      <c r="E60" s="12" t="n">
        <v>6</v>
      </c>
      <c r="F60" s="11" t="s">
        <v>211</v>
      </c>
      <c r="G60" s="8" t="n">
        <v>8</v>
      </c>
      <c r="H60" s="11" t="s">
        <v>85</v>
      </c>
      <c r="I60" s="11" t="s">
        <v>86</v>
      </c>
      <c r="J60" s="11" t="s">
        <v>87</v>
      </c>
      <c r="K60" s="8" t="n">
        <v>9</v>
      </c>
      <c r="L60" s="8" t="n">
        <v>101</v>
      </c>
      <c r="M60" s="8" t="n">
        <v>3</v>
      </c>
      <c r="N60" s="8" t="n">
        <v>35</v>
      </c>
      <c r="O60" s="8" t="n">
        <v>1</v>
      </c>
      <c r="P60" s="9" t="n">
        <v>3.65697218536959</v>
      </c>
      <c r="Q60" s="10" t="n">
        <v>0.273450261394027</v>
      </c>
      <c r="R60" s="9" t="n">
        <v>3.75</v>
      </c>
      <c r="S60" s="13" t="n">
        <f aca="false">IF(AND(ISNUMBER(R60),R60&gt;1,P60&gt;0),R60/P60-1,"")</f>
        <v>0.0254384802276006</v>
      </c>
      <c r="T60" s="9" t="n">
        <f aca="false">IF(AND(ISNUMBER(P60),P60&gt;0),P60*EXP('Read me'!$B$22),"")</f>
        <v>4.46663591372544</v>
      </c>
    </row>
    <row r="61" customFormat="false" ht="15" hidden="false" customHeight="false" outlineLevel="0" collapsed="false">
      <c r="A61" s="11" t="s">
        <v>83</v>
      </c>
      <c r="B61" s="11" t="s">
        <v>49</v>
      </c>
      <c r="C61" s="11" t="s">
        <v>84</v>
      </c>
      <c r="D61" s="11"/>
      <c r="E61" s="12" t="n">
        <v>6</v>
      </c>
      <c r="F61" s="11" t="s">
        <v>211</v>
      </c>
      <c r="G61" s="8" t="n">
        <v>8</v>
      </c>
      <c r="H61" s="11" t="s">
        <v>88</v>
      </c>
      <c r="I61" s="11" t="s">
        <v>215</v>
      </c>
      <c r="J61" s="11" t="s">
        <v>294</v>
      </c>
      <c r="K61" s="8" t="n">
        <v>8</v>
      </c>
      <c r="L61" s="8" t="n">
        <v>110</v>
      </c>
      <c r="M61" s="8" t="n">
        <v>3</v>
      </c>
      <c r="N61" s="8" t="n">
        <v>36</v>
      </c>
      <c r="O61" s="8" t="n">
        <v>2</v>
      </c>
      <c r="P61" s="9" t="n">
        <v>4.47956335034291</v>
      </c>
      <c r="Q61" s="10" t="n">
        <v>0.223236043737042</v>
      </c>
      <c r="R61" s="9" t="n">
        <v>3.75</v>
      </c>
      <c r="S61" s="13" t="n">
        <f aca="false">IF(AND(ISNUMBER(R61),R61&gt;1,P61&gt;0),R61/P61-1,"")</f>
        <v>-0.162864835986092</v>
      </c>
      <c r="T61" s="9" t="n">
        <f aca="false">IF(AND(ISNUMBER(P61),P61&gt;0),P61*EXP('Read me'!$B$22),"")</f>
        <v>5.47135103146204</v>
      </c>
    </row>
    <row r="62" customFormat="false" ht="15" hidden="false" customHeight="false" outlineLevel="0" collapsed="false">
      <c r="A62" s="11" t="s">
        <v>83</v>
      </c>
      <c r="B62" s="11" t="s">
        <v>49</v>
      </c>
      <c r="C62" s="11" t="s">
        <v>84</v>
      </c>
      <c r="D62" s="11"/>
      <c r="E62" s="12" t="n">
        <v>6</v>
      </c>
      <c r="F62" s="11" t="s">
        <v>211</v>
      </c>
      <c r="G62" s="8" t="n">
        <v>8</v>
      </c>
      <c r="H62" s="11" t="s">
        <v>295</v>
      </c>
      <c r="I62" s="11" t="s">
        <v>52</v>
      </c>
      <c r="J62" s="11" t="s">
        <v>53</v>
      </c>
      <c r="K62" s="8" t="n">
        <v>2</v>
      </c>
      <c r="L62" s="8" t="n">
        <v>101</v>
      </c>
      <c r="M62" s="8" t="n">
        <v>3</v>
      </c>
      <c r="N62" s="8" t="n">
        <v>14</v>
      </c>
      <c r="O62" s="8" t="n">
        <v>3</v>
      </c>
      <c r="P62" s="9" t="n">
        <v>5.47115027515942</v>
      </c>
      <c r="Q62" s="10" t="n">
        <v>0.182776920703547</v>
      </c>
      <c r="R62" s="9" t="n">
        <v>7</v>
      </c>
      <c r="S62" s="13" t="n">
        <f aca="false">IF(AND(ISNUMBER(R62),R62&gt;1,P62&gt;0),R62/P62-1,"")</f>
        <v>0.279438444924827</v>
      </c>
      <c r="T62" s="9" t="n">
        <f aca="false">IF(AND(ISNUMBER(P62),P62&gt;0),P62*EXP('Read me'!$B$22),"")</f>
        <v>6.68247803638848</v>
      </c>
    </row>
    <row r="63" customFormat="false" ht="15" hidden="false" customHeight="false" outlineLevel="0" collapsed="false">
      <c r="A63" s="11" t="s">
        <v>83</v>
      </c>
      <c r="B63" s="11" t="s">
        <v>49</v>
      </c>
      <c r="C63" s="11" t="s">
        <v>84</v>
      </c>
      <c r="D63" s="11"/>
      <c r="E63" s="12" t="n">
        <v>6</v>
      </c>
      <c r="F63" s="11" t="s">
        <v>211</v>
      </c>
      <c r="G63" s="8" t="n">
        <v>8</v>
      </c>
      <c r="H63" s="11" t="s">
        <v>296</v>
      </c>
      <c r="I63" s="11" t="s">
        <v>121</v>
      </c>
      <c r="J63" s="11" t="s">
        <v>122</v>
      </c>
      <c r="K63" s="8" t="n">
        <v>7</v>
      </c>
      <c r="L63" s="8" t="n">
        <v>104</v>
      </c>
      <c r="M63" s="8" t="n">
        <v>3</v>
      </c>
      <c r="N63" s="8" t="n">
        <v>133</v>
      </c>
      <c r="O63" s="8" t="n">
        <v>4</v>
      </c>
      <c r="P63" s="9" t="n">
        <v>6.29359725137638</v>
      </c>
      <c r="Q63" s="10" t="n">
        <v>0.158891641784244</v>
      </c>
      <c r="R63" s="9" t="n">
        <v>3.75</v>
      </c>
      <c r="S63" s="13" t="n">
        <f aca="false">IF(AND(ISNUMBER(R63),R63&gt;1,P63&gt;0),R63/P63-1,"")</f>
        <v>-0.404156343309084</v>
      </c>
      <c r="T63" s="9" t="n">
        <f aca="false">IF(AND(ISNUMBER(P63),P63&gt;0),P63*EXP('Read me'!$B$22),"")</f>
        <v>7.68701704158037</v>
      </c>
    </row>
    <row r="64" customFormat="false" ht="15" hidden="false" customHeight="false" outlineLevel="0" collapsed="false">
      <c r="A64" s="11" t="s">
        <v>83</v>
      </c>
      <c r="B64" s="11" t="s">
        <v>49</v>
      </c>
      <c r="C64" s="11" t="s">
        <v>84</v>
      </c>
      <c r="D64" s="11"/>
      <c r="E64" s="12" t="n">
        <v>6</v>
      </c>
      <c r="F64" s="11" t="s">
        <v>211</v>
      </c>
      <c r="G64" s="8" t="n">
        <v>8</v>
      </c>
      <c r="H64" s="11" t="s">
        <v>297</v>
      </c>
      <c r="I64" s="11" t="s">
        <v>274</v>
      </c>
      <c r="J64" s="11" t="s">
        <v>53</v>
      </c>
      <c r="K64" s="8" t="n">
        <v>4</v>
      </c>
      <c r="L64" s="8" t="n">
        <v>103</v>
      </c>
      <c r="M64" s="8" t="n">
        <v>3</v>
      </c>
      <c r="N64" s="8" t="n">
        <v>71</v>
      </c>
      <c r="O64" s="8" t="n">
        <v>5</v>
      </c>
      <c r="P64" s="9" t="n">
        <v>15.7205309479774</v>
      </c>
      <c r="Q64" s="10" t="n">
        <v>0.063611083067691</v>
      </c>
      <c r="R64" s="9" t="n">
        <v>29</v>
      </c>
      <c r="S64" s="13" t="n">
        <f aca="false">IF(AND(ISNUMBER(R64),R64&gt;1,P64&gt;0),R64/P64-1,"")</f>
        <v>0.844721408963041</v>
      </c>
      <c r="T64" s="9" t="n">
        <f aca="false">IF(AND(ISNUMBER(P64),P64&gt;0),P64*EXP('Read me'!$B$22),"")</f>
        <v>19.2010998596019</v>
      </c>
    </row>
    <row r="65" customFormat="false" ht="15" hidden="false" customHeight="false" outlineLevel="0" collapsed="false">
      <c r="A65" s="11" t="s">
        <v>83</v>
      </c>
      <c r="B65" s="11" t="s">
        <v>49</v>
      </c>
      <c r="C65" s="11" t="s">
        <v>84</v>
      </c>
      <c r="D65" s="11"/>
      <c r="E65" s="12" t="n">
        <v>6</v>
      </c>
      <c r="F65" s="11" t="s">
        <v>211</v>
      </c>
      <c r="G65" s="8" t="n">
        <v>8</v>
      </c>
      <c r="H65" s="11" t="s">
        <v>298</v>
      </c>
      <c r="I65" s="11" t="s">
        <v>299</v>
      </c>
      <c r="J65" s="11" t="s">
        <v>300</v>
      </c>
      <c r="K65" s="8" t="n">
        <v>1</v>
      </c>
      <c r="L65" s="8" t="n">
        <v>104</v>
      </c>
      <c r="M65" s="8" t="n">
        <v>9</v>
      </c>
      <c r="N65" s="8" t="n">
        <v>14</v>
      </c>
      <c r="O65" s="8" t="n">
        <v>6</v>
      </c>
      <c r="P65" s="9" t="n">
        <v>22.9184698679287</v>
      </c>
      <c r="Q65" s="10" t="n">
        <v>0.0436329303728676</v>
      </c>
      <c r="R65" s="9" t="n">
        <v>9</v>
      </c>
      <c r="S65" s="13" t="n">
        <f aca="false">IF(AND(ISNUMBER(R65),R65&gt;1,P65&gt;0),R65/P65-1,"")</f>
        <v>-0.607303626644191</v>
      </c>
      <c r="T65" s="9" t="n">
        <f aca="false">IF(AND(ISNUMBER(P65),P65&gt;0),P65*EXP('Read me'!$B$22),"")</f>
        <v>27.9926823094989</v>
      </c>
    </row>
    <row r="66" customFormat="false" ht="15" hidden="false" customHeight="false" outlineLevel="0" collapsed="false">
      <c r="A66" s="11" t="s">
        <v>83</v>
      </c>
      <c r="B66" s="11" t="s">
        <v>49</v>
      </c>
      <c r="C66" s="11" t="s">
        <v>84</v>
      </c>
      <c r="D66" s="11"/>
      <c r="E66" s="12" t="n">
        <v>6</v>
      </c>
      <c r="F66" s="11" t="s">
        <v>211</v>
      </c>
      <c r="G66" s="8" t="n">
        <v>8</v>
      </c>
      <c r="H66" s="11" t="s">
        <v>301</v>
      </c>
      <c r="I66" s="11" t="s">
        <v>302</v>
      </c>
      <c r="J66" s="11" t="s">
        <v>219</v>
      </c>
      <c r="K66" s="8" t="n">
        <v>6</v>
      </c>
      <c r="L66" s="8" t="n">
        <v>104</v>
      </c>
      <c r="M66" s="8" t="n">
        <v>4</v>
      </c>
      <c r="N66" s="8" t="n">
        <v>37</v>
      </c>
      <c r="O66" s="8" t="n">
        <v>7</v>
      </c>
      <c r="P66" s="9" t="n">
        <v>31.2535913816564</v>
      </c>
      <c r="Q66" s="10" t="n">
        <v>0.0319963228477776</v>
      </c>
      <c r="R66" s="9" t="n">
        <v>19</v>
      </c>
      <c r="S66" s="13" t="n">
        <f aca="false">IF(AND(ISNUMBER(R66),R66&gt;1,P66&gt;0),R66/P66-1,"")</f>
        <v>-0.392069865892225</v>
      </c>
      <c r="T66" s="9" t="n">
        <f aca="false">IF(AND(ISNUMBER(P66),P66&gt;0),P66*EXP('Read me'!$B$22),"")</f>
        <v>38.1732227159661</v>
      </c>
    </row>
    <row r="67" customFormat="false" ht="15" hidden="false" customHeight="false" outlineLevel="0" collapsed="false">
      <c r="A67" s="11" t="s">
        <v>83</v>
      </c>
      <c r="B67" s="11" t="s">
        <v>49</v>
      </c>
      <c r="C67" s="11" t="s">
        <v>84</v>
      </c>
      <c r="D67" s="11"/>
      <c r="E67" s="12" t="n">
        <v>6</v>
      </c>
      <c r="F67" s="11" t="s">
        <v>211</v>
      </c>
      <c r="G67" s="8" t="n">
        <v>8</v>
      </c>
      <c r="H67" s="11" t="s">
        <v>303</v>
      </c>
      <c r="I67" s="11" t="s">
        <v>218</v>
      </c>
      <c r="J67" s="11" t="s">
        <v>304</v>
      </c>
      <c r="K67" s="8" t="n">
        <v>3</v>
      </c>
      <c r="L67" s="8" t="n">
        <v>96</v>
      </c>
      <c r="M67" s="8" t="n">
        <v>7</v>
      </c>
      <c r="N67" s="8" t="n">
        <v>14</v>
      </c>
      <c r="O67" s="8" t="n">
        <v>8</v>
      </c>
      <c r="P67" s="9" t="n">
        <v>44.6333006494623</v>
      </c>
      <c r="Q67" s="10" t="n">
        <v>0.0224047960928035</v>
      </c>
      <c r="R67" s="9" t="n">
        <v>34</v>
      </c>
      <c r="S67" s="13" t="n">
        <f aca="false">IF(AND(ISNUMBER(R67),R67&gt;1,P67&gt;0),R67/P67-1,"")</f>
        <v>-0.238236932844679</v>
      </c>
      <c r="T67" s="9" t="n">
        <f aca="false">IF(AND(ISNUMBER(P67),P67&gt;0),P67*EXP('Read me'!$B$22),"")</f>
        <v>54.5152365190454</v>
      </c>
    </row>
    <row r="68" customFormat="false" ht="15" hidden="false" customHeight="false" outlineLevel="0" collapsed="false">
      <c r="A68" s="11" t="s">
        <v>89</v>
      </c>
      <c r="B68" s="11" t="s">
        <v>56</v>
      </c>
      <c r="C68" s="11" t="s">
        <v>90</v>
      </c>
      <c r="D68" s="11" t="s">
        <v>305</v>
      </c>
      <c r="E68" s="12" t="n">
        <v>10</v>
      </c>
      <c r="F68" s="11" t="s">
        <v>242</v>
      </c>
      <c r="G68" s="8" t="n">
        <v>6</v>
      </c>
      <c r="H68" s="11" t="s">
        <v>91</v>
      </c>
      <c r="I68" s="11" t="s">
        <v>92</v>
      </c>
      <c r="J68" s="11" t="s">
        <v>93</v>
      </c>
      <c r="K68" s="8" t="n">
        <v>5</v>
      </c>
      <c r="L68" s="8" t="n">
        <v>75</v>
      </c>
      <c r="M68" s="8" t="n">
        <v>4</v>
      </c>
      <c r="N68" s="8" t="n">
        <v>24</v>
      </c>
      <c r="O68" s="8" t="n">
        <v>1</v>
      </c>
      <c r="P68" s="9" t="n">
        <v>3.49405326570162</v>
      </c>
      <c r="Q68" s="10" t="n">
        <v>0.286200559624038</v>
      </c>
      <c r="R68" s="9" t="n">
        <v>4</v>
      </c>
      <c r="S68" s="13" t="n">
        <f aca="false">IF(AND(ISNUMBER(R68),R68&gt;1,P68&gt;0),R68/P68-1,"")</f>
        <v>0.14480223849615</v>
      </c>
      <c r="T68" s="9" t="n">
        <f aca="false">IF(AND(ISNUMBER(P68),P68&gt;0),P68*EXP('Read me'!$B$22),"")</f>
        <v>4.26764629588651</v>
      </c>
    </row>
    <row r="69" customFormat="false" ht="15" hidden="false" customHeight="false" outlineLevel="0" collapsed="false">
      <c r="A69" s="11" t="s">
        <v>89</v>
      </c>
      <c r="B69" s="11" t="s">
        <v>56</v>
      </c>
      <c r="C69" s="11" t="s">
        <v>90</v>
      </c>
      <c r="D69" s="11" t="s">
        <v>305</v>
      </c>
      <c r="E69" s="12" t="n">
        <v>10</v>
      </c>
      <c r="F69" s="11" t="s">
        <v>242</v>
      </c>
      <c r="G69" s="8" t="n">
        <v>6</v>
      </c>
      <c r="H69" s="11" t="s">
        <v>94</v>
      </c>
      <c r="I69" s="11" t="s">
        <v>127</v>
      </c>
      <c r="J69" s="11" t="s">
        <v>128</v>
      </c>
      <c r="K69" s="8" t="n">
        <v>3</v>
      </c>
      <c r="L69" s="8" t="n">
        <v>0</v>
      </c>
      <c r="M69" s="8" t="n">
        <v>3</v>
      </c>
      <c r="N69" s="8"/>
      <c r="O69" s="8" t="n">
        <v>2</v>
      </c>
      <c r="P69" s="9" t="n">
        <v>3.93860003830891</v>
      </c>
      <c r="Q69" s="10" t="n">
        <v>0.253897321452666</v>
      </c>
      <c r="R69" s="9" t="n">
        <v>3.5</v>
      </c>
      <c r="S69" s="13" t="n">
        <f aca="false">IF(AND(ISNUMBER(R69),R69&gt;1,P69&gt;0),R69/P69-1,"")</f>
        <v>-0.111359374915668</v>
      </c>
      <c r="T69" s="9" t="n">
        <f aca="false">IF(AND(ISNUMBER(P69),P69&gt;0),P69*EXP('Read me'!$B$22),"")</f>
        <v>4.81061695008025</v>
      </c>
    </row>
    <row r="70" customFormat="false" ht="15" hidden="false" customHeight="false" outlineLevel="0" collapsed="false">
      <c r="A70" s="11" t="s">
        <v>89</v>
      </c>
      <c r="B70" s="11" t="s">
        <v>56</v>
      </c>
      <c r="C70" s="11" t="s">
        <v>90</v>
      </c>
      <c r="D70" s="11" t="s">
        <v>305</v>
      </c>
      <c r="E70" s="12" t="n">
        <v>10</v>
      </c>
      <c r="F70" s="11" t="s">
        <v>242</v>
      </c>
      <c r="G70" s="8" t="n">
        <v>6</v>
      </c>
      <c r="H70" s="11" t="s">
        <v>306</v>
      </c>
      <c r="I70" s="11" t="s">
        <v>258</v>
      </c>
      <c r="J70" s="11" t="s">
        <v>259</v>
      </c>
      <c r="K70" s="8" t="n">
        <v>2</v>
      </c>
      <c r="L70" s="8" t="n">
        <v>74</v>
      </c>
      <c r="M70" s="8" t="n">
        <v>3</v>
      </c>
      <c r="N70" s="8" t="n">
        <v>30</v>
      </c>
      <c r="O70" s="8" t="n">
        <v>3</v>
      </c>
      <c r="P70" s="9" t="n">
        <v>4.03943460726022</v>
      </c>
      <c r="Q70" s="10" t="n">
        <v>0.247559398090679</v>
      </c>
      <c r="R70" s="9" t="n">
        <v>2.75</v>
      </c>
      <c r="S70" s="13" t="n">
        <f aca="false">IF(AND(ISNUMBER(R70),R70&gt;1,P70&gt;0),R70/P70-1,"")</f>
        <v>-0.319211655250632</v>
      </c>
      <c r="T70" s="9" t="n">
        <f aca="false">IF(AND(ISNUMBER(P70),P70&gt;0),P70*EXP('Read me'!$B$22),"")</f>
        <v>4.93377657071528</v>
      </c>
    </row>
    <row r="71" customFormat="false" ht="15" hidden="false" customHeight="false" outlineLevel="0" collapsed="false">
      <c r="A71" s="11" t="s">
        <v>89</v>
      </c>
      <c r="B71" s="11" t="s">
        <v>56</v>
      </c>
      <c r="C71" s="11" t="s">
        <v>90</v>
      </c>
      <c r="D71" s="11" t="s">
        <v>305</v>
      </c>
      <c r="E71" s="12" t="n">
        <v>10</v>
      </c>
      <c r="F71" s="11" t="s">
        <v>242</v>
      </c>
      <c r="G71" s="8" t="n">
        <v>6</v>
      </c>
      <c r="H71" s="11" t="s">
        <v>307</v>
      </c>
      <c r="I71" s="11" t="s">
        <v>75</v>
      </c>
      <c r="J71" s="11" t="s">
        <v>66</v>
      </c>
      <c r="K71" s="8" t="n">
        <v>6</v>
      </c>
      <c r="L71" s="8" t="n">
        <v>73</v>
      </c>
      <c r="M71" s="8" t="n">
        <v>3</v>
      </c>
      <c r="N71" s="8" t="n">
        <v>13</v>
      </c>
      <c r="O71" s="8" t="n">
        <v>4</v>
      </c>
      <c r="P71" s="9" t="n">
        <v>5.64366856701598</v>
      </c>
      <c r="Q71" s="10" t="n">
        <v>0.177189710580176</v>
      </c>
      <c r="R71" s="9" t="n">
        <v>6</v>
      </c>
      <c r="S71" s="13" t="n">
        <f aca="false">IF(AND(ISNUMBER(R71),R71&gt;1,P71&gt;0),R71/P71-1,"")</f>
        <v>0.0631382634810578</v>
      </c>
      <c r="T71" s="9" t="n">
        <f aca="false">IF(AND(ISNUMBER(P71),P71&gt;0),P71*EXP('Read me'!$B$22),"")</f>
        <v>6.89319235389517</v>
      </c>
    </row>
    <row r="72" customFormat="false" ht="15" hidden="false" customHeight="false" outlineLevel="0" collapsed="false">
      <c r="A72" s="11" t="s">
        <v>89</v>
      </c>
      <c r="B72" s="11" t="s">
        <v>56</v>
      </c>
      <c r="C72" s="11" t="s">
        <v>90</v>
      </c>
      <c r="D72" s="11" t="s">
        <v>305</v>
      </c>
      <c r="E72" s="12" t="n">
        <v>10</v>
      </c>
      <c r="F72" s="11" t="s">
        <v>242</v>
      </c>
      <c r="G72" s="8" t="n">
        <v>6</v>
      </c>
      <c r="H72" s="11" t="s">
        <v>308</v>
      </c>
      <c r="I72" s="11" t="s">
        <v>253</v>
      </c>
      <c r="J72" s="11" t="s">
        <v>309</v>
      </c>
      <c r="K72" s="8" t="n">
        <v>4</v>
      </c>
      <c r="L72" s="8" t="n">
        <v>0</v>
      </c>
      <c r="M72" s="8" t="n">
        <v>3</v>
      </c>
      <c r="N72" s="8"/>
      <c r="O72" s="8" t="n">
        <v>5</v>
      </c>
      <c r="P72" s="9" t="n">
        <v>29.5625884607217</v>
      </c>
      <c r="Q72" s="10" t="n">
        <v>0.0338265372576778</v>
      </c>
      <c r="R72" s="9" t="n">
        <v>19</v>
      </c>
      <c r="S72" s="13" t="n">
        <f aca="false">IF(AND(ISNUMBER(R72),R72&gt;1,P72&gt;0),R72/P72-1,"")</f>
        <v>-0.35729579210412</v>
      </c>
      <c r="T72" s="9" t="n">
        <f aca="false">IF(AND(ISNUMBER(P72),P72&gt;0),P72*EXP('Read me'!$B$22),"")</f>
        <v>36.1078270842795</v>
      </c>
    </row>
    <row r="73" customFormat="false" ht="15" hidden="false" customHeight="false" outlineLevel="0" collapsed="false">
      <c r="A73" s="11" t="s">
        <v>89</v>
      </c>
      <c r="B73" s="11" t="s">
        <v>56</v>
      </c>
      <c r="C73" s="11" t="s">
        <v>90</v>
      </c>
      <c r="D73" s="11" t="s">
        <v>305</v>
      </c>
      <c r="E73" s="12" t="n">
        <v>10</v>
      </c>
      <c r="F73" s="11" t="s">
        <v>242</v>
      </c>
      <c r="G73" s="8" t="n">
        <v>6</v>
      </c>
      <c r="H73" s="11" t="s">
        <v>310</v>
      </c>
      <c r="I73" s="11" t="s">
        <v>311</v>
      </c>
      <c r="J73" s="11" t="s">
        <v>312</v>
      </c>
      <c r="K73" s="8" t="n">
        <v>1</v>
      </c>
      <c r="L73" s="8" t="n">
        <v>0</v>
      </c>
      <c r="M73" s="8" t="n">
        <v>3</v>
      </c>
      <c r="N73" s="8" t="n">
        <v>13</v>
      </c>
      <c r="O73" s="8" t="n">
        <v>6</v>
      </c>
      <c r="P73" s="9" t="n">
        <v>753.87889836297</v>
      </c>
      <c r="Q73" s="10" t="n">
        <v>0.0013264729947627</v>
      </c>
      <c r="R73" s="9" t="n">
        <v>151</v>
      </c>
      <c r="S73" s="13" t="n">
        <f aca="false">IF(AND(ISNUMBER(R73),R73&gt;1,P73&gt;0),R73/P73-1,"")</f>
        <v>-0.799702577790819</v>
      </c>
      <c r="T73" s="9" t="n">
        <f aca="false">IF(AND(ISNUMBER(P73),P73&gt;0),P73*EXP('Read me'!$B$22),"")</f>
        <v>920.789765779282</v>
      </c>
    </row>
    <row r="74" customFormat="false" ht="15" hidden="false" customHeight="false" outlineLevel="0" collapsed="false">
      <c r="A74" s="11" t="s">
        <v>95</v>
      </c>
      <c r="B74" s="11" t="s">
        <v>42</v>
      </c>
      <c r="C74" s="11" t="s">
        <v>96</v>
      </c>
      <c r="D74" s="11" t="s">
        <v>260</v>
      </c>
      <c r="E74" s="12" t="n">
        <v>16</v>
      </c>
      <c r="F74" s="11" t="s">
        <v>185</v>
      </c>
      <c r="G74" s="8" t="n">
        <v>5</v>
      </c>
      <c r="H74" s="11" t="s">
        <v>97</v>
      </c>
      <c r="I74" s="11" t="s">
        <v>98</v>
      </c>
      <c r="J74" s="11" t="s">
        <v>99</v>
      </c>
      <c r="K74" s="8" t="n">
        <v>3</v>
      </c>
      <c r="L74" s="8" t="n">
        <v>74</v>
      </c>
      <c r="M74" s="8" t="n">
        <v>3</v>
      </c>
      <c r="N74" s="8" t="n">
        <v>22</v>
      </c>
      <c r="O74" s="8" t="n">
        <v>1</v>
      </c>
      <c r="P74" s="9" t="n">
        <v>2.63874997202321</v>
      </c>
      <c r="Q74" s="10" t="n">
        <v>0.378967318087083</v>
      </c>
      <c r="R74" s="9" t="n">
        <v>2.625</v>
      </c>
      <c r="S74" s="13" t="n">
        <f aca="false">IF(AND(ISNUMBER(R74),R74&gt;1,P74&gt;0),R74/P74-1,"")</f>
        <v>-0.00521079002140723</v>
      </c>
      <c r="T74" s="9" t="n">
        <f aca="false">IF(AND(ISNUMBER(P74),P74&gt;0),P74*EXP('Read me'!$B$22),"")</f>
        <v>3.22297649392422</v>
      </c>
    </row>
    <row r="75" customFormat="false" ht="15" hidden="false" customHeight="false" outlineLevel="0" collapsed="false">
      <c r="A75" s="11" t="s">
        <v>95</v>
      </c>
      <c r="B75" s="11" t="s">
        <v>42</v>
      </c>
      <c r="C75" s="11" t="s">
        <v>96</v>
      </c>
      <c r="D75" s="11" t="s">
        <v>260</v>
      </c>
      <c r="E75" s="12" t="n">
        <v>16</v>
      </c>
      <c r="F75" s="11" t="s">
        <v>185</v>
      </c>
      <c r="G75" s="8" t="n">
        <v>5</v>
      </c>
      <c r="H75" s="11" t="s">
        <v>100</v>
      </c>
      <c r="I75" s="11" t="s">
        <v>313</v>
      </c>
      <c r="J75" s="11" t="s">
        <v>314</v>
      </c>
      <c r="K75" s="8" t="n">
        <v>2</v>
      </c>
      <c r="L75" s="8" t="n">
        <v>75</v>
      </c>
      <c r="M75" s="8" t="n">
        <v>4</v>
      </c>
      <c r="N75" s="8" t="n">
        <v>8</v>
      </c>
      <c r="O75" s="8" t="n">
        <v>2</v>
      </c>
      <c r="P75" s="9" t="n">
        <v>3.71489568411846</v>
      </c>
      <c r="Q75" s="10" t="n">
        <v>0.269186562700831</v>
      </c>
      <c r="R75" s="9" t="n">
        <v>4</v>
      </c>
      <c r="S75" s="13" t="n">
        <f aca="false">IF(AND(ISNUMBER(R75),R75&gt;1,P75&gt;0),R75/P75-1,"")</f>
        <v>0.0767462508033252</v>
      </c>
      <c r="T75" s="9" t="n">
        <f aca="false">IF(AND(ISNUMBER(P75),P75&gt;0),P75*EXP('Read me'!$B$22),"")</f>
        <v>4.53738383485959</v>
      </c>
    </row>
    <row r="76" customFormat="false" ht="15" hidden="false" customHeight="false" outlineLevel="0" collapsed="false">
      <c r="A76" s="11" t="s">
        <v>95</v>
      </c>
      <c r="B76" s="11" t="s">
        <v>42</v>
      </c>
      <c r="C76" s="11" t="s">
        <v>96</v>
      </c>
      <c r="D76" s="11" t="s">
        <v>260</v>
      </c>
      <c r="E76" s="12" t="n">
        <v>16</v>
      </c>
      <c r="F76" s="11" t="s">
        <v>185</v>
      </c>
      <c r="G76" s="8" t="n">
        <v>5</v>
      </c>
      <c r="H76" s="11" t="s">
        <v>315</v>
      </c>
      <c r="I76" s="11" t="s">
        <v>80</v>
      </c>
      <c r="J76" s="11" t="s">
        <v>316</v>
      </c>
      <c r="K76" s="8" t="n">
        <v>1</v>
      </c>
      <c r="L76" s="8" t="n">
        <v>60</v>
      </c>
      <c r="M76" s="8" t="n">
        <v>6</v>
      </c>
      <c r="N76" s="8" t="n">
        <v>162</v>
      </c>
      <c r="O76" s="8" t="n">
        <v>3</v>
      </c>
      <c r="P76" s="9" t="n">
        <v>4.82420135570333</v>
      </c>
      <c r="Q76" s="10" t="n">
        <v>0.207288196795054</v>
      </c>
      <c r="R76" s="9" t="n">
        <v>2.875</v>
      </c>
      <c r="S76" s="13" t="n">
        <f aca="false">IF(AND(ISNUMBER(R76),R76&gt;1,P76&gt;0),R76/P76-1,"")</f>
        <v>-0.404046434214219</v>
      </c>
      <c r="T76" s="9" t="n">
        <f aca="false">IF(AND(ISNUMBER(P76),P76&gt;0),P76*EXP('Read me'!$B$22),"")</f>
        <v>5.89229284177608</v>
      </c>
    </row>
    <row r="77" customFormat="false" ht="15" hidden="false" customHeight="false" outlineLevel="0" collapsed="false">
      <c r="A77" s="11" t="s">
        <v>95</v>
      </c>
      <c r="B77" s="11" t="s">
        <v>42</v>
      </c>
      <c r="C77" s="11" t="s">
        <v>96</v>
      </c>
      <c r="D77" s="11" t="s">
        <v>260</v>
      </c>
      <c r="E77" s="12" t="n">
        <v>16</v>
      </c>
      <c r="F77" s="11" t="s">
        <v>185</v>
      </c>
      <c r="G77" s="8" t="n">
        <v>5</v>
      </c>
      <c r="H77" s="11" t="s">
        <v>317</v>
      </c>
      <c r="I77" s="11" t="s">
        <v>194</v>
      </c>
      <c r="J77" s="11" t="s">
        <v>168</v>
      </c>
      <c r="K77" s="8" t="n">
        <v>5</v>
      </c>
      <c r="L77" s="8" t="n">
        <v>63</v>
      </c>
      <c r="M77" s="8" t="n">
        <v>3</v>
      </c>
      <c r="N77" s="8" t="n">
        <v>6</v>
      </c>
      <c r="O77" s="8" t="n">
        <v>4</v>
      </c>
      <c r="P77" s="9" t="n">
        <v>9.54483342460632</v>
      </c>
      <c r="Q77" s="10" t="n">
        <v>0.104768722042024</v>
      </c>
      <c r="R77" s="9" t="n">
        <v>10</v>
      </c>
      <c r="S77" s="13" t="n">
        <f aca="false">IF(AND(ISNUMBER(R77),R77&gt;1,P77&gt;0),R77/P77-1,"")</f>
        <v>0.0476872204202401</v>
      </c>
      <c r="T77" s="9" t="n">
        <f aca="false">IF(AND(ISNUMBER(P77),P77&gt;0),P77*EXP('Read me'!$B$22),"")</f>
        <v>11.6580858709935</v>
      </c>
    </row>
    <row r="78" customFormat="false" ht="15" hidden="false" customHeight="false" outlineLevel="0" collapsed="false">
      <c r="A78" s="11" t="s">
        <v>95</v>
      </c>
      <c r="B78" s="11" t="s">
        <v>42</v>
      </c>
      <c r="C78" s="11" t="s">
        <v>96</v>
      </c>
      <c r="D78" s="11" t="s">
        <v>260</v>
      </c>
      <c r="E78" s="12" t="n">
        <v>16</v>
      </c>
      <c r="F78" s="11" t="s">
        <v>185</v>
      </c>
      <c r="G78" s="8" t="n">
        <v>5</v>
      </c>
      <c r="H78" s="11" t="s">
        <v>318</v>
      </c>
      <c r="I78" s="11" t="s">
        <v>133</v>
      </c>
      <c r="J78" s="11" t="s">
        <v>319</v>
      </c>
      <c r="K78" s="8" t="n">
        <v>4</v>
      </c>
      <c r="L78" s="8" t="n">
        <v>65</v>
      </c>
      <c r="M78" s="8" t="n">
        <v>10</v>
      </c>
      <c r="N78" s="8" t="n">
        <v>15</v>
      </c>
      <c r="O78" s="8" t="n">
        <v>5</v>
      </c>
      <c r="P78" s="9" t="n">
        <v>25.1324477640955</v>
      </c>
      <c r="Q78" s="10" t="n">
        <v>0.0397892003750073</v>
      </c>
      <c r="R78" s="9" t="n">
        <v>13</v>
      </c>
      <c r="S78" s="13" t="n">
        <f aca="false">IF(AND(ISNUMBER(R78),R78&gt;1,P78&gt;0),R78/P78-1,"")</f>
        <v>-0.482740395124905</v>
      </c>
      <c r="T78" s="9" t="n">
        <f aca="false">IF(AND(ISNUMBER(P78),P78&gt;0),P78*EXP('Read me'!$B$22),"")</f>
        <v>30.6968410183826</v>
      </c>
    </row>
    <row r="79" customFormat="false" ht="15" hidden="false" customHeight="false" outlineLevel="0" collapsed="false">
      <c r="A79" s="11" t="s">
        <v>101</v>
      </c>
      <c r="B79" s="11" t="s">
        <v>49</v>
      </c>
      <c r="C79" s="11" t="s">
        <v>102</v>
      </c>
      <c r="D79" s="11"/>
      <c r="E79" s="12" t="n">
        <v>6</v>
      </c>
      <c r="F79" s="11" t="s">
        <v>211</v>
      </c>
      <c r="G79" s="8" t="n">
        <v>12</v>
      </c>
      <c r="H79" s="11" t="s">
        <v>103</v>
      </c>
      <c r="I79" s="11" t="s">
        <v>104</v>
      </c>
      <c r="J79" s="11" t="s">
        <v>105</v>
      </c>
      <c r="K79" s="8" t="n">
        <v>11</v>
      </c>
      <c r="L79" s="8" t="n">
        <v>0</v>
      </c>
      <c r="M79" s="8" t="n">
        <v>3</v>
      </c>
      <c r="N79" s="8" t="n">
        <v>93</v>
      </c>
      <c r="O79" s="8" t="n">
        <v>1</v>
      </c>
      <c r="P79" s="9" t="n">
        <v>2.43476829094769</v>
      </c>
      <c r="Q79" s="10" t="n">
        <v>0.410716700935336</v>
      </c>
      <c r="R79" s="9" t="n">
        <v>1.72727272727273</v>
      </c>
      <c r="S79" s="13" t="n">
        <f aca="false">IF(AND(ISNUMBER(R79),R79&gt;1,P79&gt;0),R79/P79-1,"")</f>
        <v>-0.290580243838965</v>
      </c>
      <c r="T79" s="9" t="n">
        <f aca="false">IF(AND(ISNUMBER(P79),P79&gt;0),P79*EXP('Read me'!$B$22),"")</f>
        <v>2.97383270604443</v>
      </c>
    </row>
    <row r="80" customFormat="false" ht="15" hidden="false" customHeight="false" outlineLevel="0" collapsed="false">
      <c r="A80" s="11" t="s">
        <v>101</v>
      </c>
      <c r="B80" s="11" t="s">
        <v>49</v>
      </c>
      <c r="C80" s="11" t="s">
        <v>102</v>
      </c>
      <c r="D80" s="11"/>
      <c r="E80" s="12" t="n">
        <v>6</v>
      </c>
      <c r="F80" s="11" t="s">
        <v>211</v>
      </c>
      <c r="G80" s="8" t="n">
        <v>12</v>
      </c>
      <c r="H80" s="11" t="s">
        <v>106</v>
      </c>
      <c r="I80" s="11" t="s">
        <v>274</v>
      </c>
      <c r="J80" s="11" t="s">
        <v>320</v>
      </c>
      <c r="K80" s="8" t="n">
        <v>1</v>
      </c>
      <c r="L80" s="8" t="n">
        <v>0</v>
      </c>
      <c r="M80" s="8" t="n">
        <v>3</v>
      </c>
      <c r="N80" s="8" t="n">
        <v>161</v>
      </c>
      <c r="O80" s="8" t="n">
        <v>2</v>
      </c>
      <c r="P80" s="9" t="n">
        <v>3.59872953654096</v>
      </c>
      <c r="Q80" s="10" t="n">
        <v>0.27787584197316</v>
      </c>
      <c r="R80" s="9" t="n">
        <v>3.5</v>
      </c>
      <c r="S80" s="13" t="n">
        <f aca="false">IF(AND(ISNUMBER(R80),R80&gt;1,P80&gt;0),R80/P80-1,"")</f>
        <v>-0.0274345530939392</v>
      </c>
      <c r="T80" s="9" t="n">
        <f aca="false">IF(AND(ISNUMBER(P80),P80&gt;0),P80*EXP('Read me'!$B$22),"")</f>
        <v>4.3954981818036</v>
      </c>
    </row>
    <row r="81" customFormat="false" ht="15" hidden="false" customHeight="false" outlineLevel="0" collapsed="false">
      <c r="A81" s="11" t="s">
        <v>101</v>
      </c>
      <c r="B81" s="11" t="s">
        <v>49</v>
      </c>
      <c r="C81" s="11" t="s">
        <v>102</v>
      </c>
      <c r="D81" s="11"/>
      <c r="E81" s="12" t="n">
        <v>6</v>
      </c>
      <c r="F81" s="11" t="s">
        <v>211</v>
      </c>
      <c r="G81" s="8" t="n">
        <v>12</v>
      </c>
      <c r="H81" s="11" t="s">
        <v>321</v>
      </c>
      <c r="I81" s="11" t="s">
        <v>322</v>
      </c>
      <c r="J81" s="11" t="s">
        <v>105</v>
      </c>
      <c r="K81" s="8" t="n">
        <v>12</v>
      </c>
      <c r="L81" s="8" t="n">
        <v>0</v>
      </c>
      <c r="M81" s="8" t="n">
        <v>3</v>
      </c>
      <c r="N81" s="8" t="n">
        <v>26</v>
      </c>
      <c r="O81" s="8" t="n">
        <v>3</v>
      </c>
      <c r="P81" s="9" t="n">
        <v>7.17421563660113</v>
      </c>
      <c r="Q81" s="10" t="n">
        <v>0.13938806005471</v>
      </c>
      <c r="R81" s="9" t="n">
        <v>9</v>
      </c>
      <c r="S81" s="13" t="n">
        <f aca="false">IF(AND(ISNUMBER(R81),R81&gt;1,P81&gt;0),R81/P81-1,"")</f>
        <v>0.254492540492392</v>
      </c>
      <c r="T81" s="9" t="n">
        <f aca="false">IF(AND(ISNUMBER(P81),P81&gt;0),P81*EXP('Read me'!$B$22),"")</f>
        <v>8.76260676618044</v>
      </c>
    </row>
    <row r="82" customFormat="false" ht="15" hidden="false" customHeight="false" outlineLevel="0" collapsed="false">
      <c r="A82" s="11" t="s">
        <v>101</v>
      </c>
      <c r="B82" s="11" t="s">
        <v>49</v>
      </c>
      <c r="C82" s="11" t="s">
        <v>102</v>
      </c>
      <c r="D82" s="11"/>
      <c r="E82" s="12" t="n">
        <v>6</v>
      </c>
      <c r="F82" s="11" t="s">
        <v>211</v>
      </c>
      <c r="G82" s="8" t="n">
        <v>12</v>
      </c>
      <c r="H82" s="11" t="s">
        <v>323</v>
      </c>
      <c r="I82" s="11" t="s">
        <v>324</v>
      </c>
      <c r="J82" s="11" t="s">
        <v>325</v>
      </c>
      <c r="K82" s="8" t="n">
        <v>13</v>
      </c>
      <c r="L82" s="8" t="n">
        <v>0</v>
      </c>
      <c r="M82" s="8" t="n">
        <v>3</v>
      </c>
      <c r="N82" s="8"/>
      <c r="O82" s="8" t="n">
        <v>4</v>
      </c>
      <c r="P82" s="9" t="n">
        <v>14.0106722311587</v>
      </c>
      <c r="Q82" s="10" t="n">
        <v>0.0713741627454585</v>
      </c>
      <c r="R82" s="9" t="n">
        <v>26</v>
      </c>
      <c r="S82" s="13" t="n">
        <f aca="false">IF(AND(ISNUMBER(R82),R82&gt;1,P82&gt;0),R82/P82-1,"")</f>
        <v>0.855728231381922</v>
      </c>
      <c r="T82" s="9" t="n">
        <f aca="false">IF(AND(ISNUMBER(P82),P82&gt;0),P82*EXP('Read me'!$B$22),"")</f>
        <v>17.1126737068154</v>
      </c>
    </row>
    <row r="83" customFormat="false" ht="15" hidden="false" customHeight="false" outlineLevel="0" collapsed="false">
      <c r="A83" s="11" t="s">
        <v>101</v>
      </c>
      <c r="B83" s="11" t="s">
        <v>49</v>
      </c>
      <c r="C83" s="11" t="s">
        <v>102</v>
      </c>
      <c r="D83" s="11"/>
      <c r="E83" s="12" t="n">
        <v>6</v>
      </c>
      <c r="F83" s="11" t="s">
        <v>211</v>
      </c>
      <c r="G83" s="8" t="n">
        <v>12</v>
      </c>
      <c r="H83" s="11" t="s">
        <v>326</v>
      </c>
      <c r="I83" s="11" t="s">
        <v>327</v>
      </c>
      <c r="J83" s="11" t="s">
        <v>328</v>
      </c>
      <c r="K83" s="8" t="n">
        <v>6</v>
      </c>
      <c r="L83" s="8" t="n">
        <v>73</v>
      </c>
      <c r="M83" s="8" t="n">
        <v>3</v>
      </c>
      <c r="N83" s="8" t="n">
        <v>37</v>
      </c>
      <c r="O83" s="8" t="n">
        <v>5</v>
      </c>
      <c r="P83" s="9" t="n">
        <v>34.1065855427835</v>
      </c>
      <c r="Q83" s="10" t="n">
        <v>0.0293198508172445</v>
      </c>
      <c r="R83" s="9" t="n">
        <v>13</v>
      </c>
      <c r="S83" s="13" t="n">
        <f aca="false">IF(AND(ISNUMBER(R83),R83&gt;1,P83&gt;0),R83/P83-1,"")</f>
        <v>-0.618841939375821</v>
      </c>
      <c r="T83" s="9" t="n">
        <f aca="false">IF(AND(ISNUMBER(P83),P83&gt;0),P83*EXP('Read me'!$B$22),"")</f>
        <v>41.6578776533815</v>
      </c>
    </row>
    <row r="84" customFormat="false" ht="15" hidden="false" customHeight="false" outlineLevel="0" collapsed="false">
      <c r="A84" s="11" t="s">
        <v>101</v>
      </c>
      <c r="B84" s="11" t="s">
        <v>49</v>
      </c>
      <c r="C84" s="11" t="s">
        <v>102</v>
      </c>
      <c r="D84" s="11"/>
      <c r="E84" s="12" t="n">
        <v>6</v>
      </c>
      <c r="F84" s="11" t="s">
        <v>211</v>
      </c>
      <c r="G84" s="8" t="n">
        <v>12</v>
      </c>
      <c r="H84" s="11" t="s">
        <v>329</v>
      </c>
      <c r="I84" s="11" t="s">
        <v>302</v>
      </c>
      <c r="J84" s="11" t="s">
        <v>330</v>
      </c>
      <c r="K84" s="8" t="n">
        <v>7</v>
      </c>
      <c r="L84" s="8" t="n">
        <v>74</v>
      </c>
      <c r="M84" s="8" t="n">
        <v>3</v>
      </c>
      <c r="N84" s="8" t="n">
        <v>12</v>
      </c>
      <c r="O84" s="8" t="n">
        <v>6</v>
      </c>
      <c r="P84" s="9" t="n">
        <v>35.7273123149223</v>
      </c>
      <c r="Q84" s="10" t="n">
        <v>0.0279897908688286</v>
      </c>
      <c r="R84" s="9" t="n">
        <v>21</v>
      </c>
      <c r="S84" s="13" t="n">
        <f aca="false">IF(AND(ISNUMBER(R84),R84&gt;1,P84&gt;0),R84/P84-1,"")</f>
        <v>-0.412214391754599</v>
      </c>
      <c r="T84" s="9" t="n">
        <f aca="false">IF(AND(ISNUMBER(P84),P84&gt;0),P84*EXP('Read me'!$B$22),"")</f>
        <v>43.6374378030959</v>
      </c>
    </row>
    <row r="85" customFormat="false" ht="15" hidden="false" customHeight="false" outlineLevel="0" collapsed="false">
      <c r="A85" s="11" t="s">
        <v>101</v>
      </c>
      <c r="B85" s="11" t="s">
        <v>49</v>
      </c>
      <c r="C85" s="11" t="s">
        <v>102</v>
      </c>
      <c r="D85" s="11"/>
      <c r="E85" s="12" t="n">
        <v>6</v>
      </c>
      <c r="F85" s="11" t="s">
        <v>211</v>
      </c>
      <c r="G85" s="8" t="n">
        <v>12</v>
      </c>
      <c r="H85" s="11" t="s">
        <v>331</v>
      </c>
      <c r="I85" s="11" t="s">
        <v>332</v>
      </c>
      <c r="J85" s="11" t="s">
        <v>240</v>
      </c>
      <c r="K85" s="8" t="n">
        <v>2</v>
      </c>
      <c r="L85" s="8" t="n">
        <v>57</v>
      </c>
      <c r="M85" s="8" t="n">
        <v>3</v>
      </c>
      <c r="N85" s="8" t="n">
        <v>36</v>
      </c>
      <c r="O85" s="8" t="n">
        <v>7</v>
      </c>
      <c r="P85" s="9" t="n">
        <v>40.7913348770997</v>
      </c>
      <c r="Q85" s="10" t="n">
        <v>0.0245150104308403</v>
      </c>
      <c r="R85" s="9" t="n">
        <v>23</v>
      </c>
      <c r="S85" s="13" t="n">
        <f aca="false">IF(AND(ISNUMBER(R85),R85&gt;1,P85&gt;0),R85/P85-1,"")</f>
        <v>-0.436154760090672</v>
      </c>
      <c r="T85" s="9" t="n">
        <f aca="false">IF(AND(ISNUMBER(P85),P85&gt;0),P85*EXP('Read me'!$B$22),"")</f>
        <v>49.8226489279247</v>
      </c>
    </row>
    <row r="86" customFormat="false" ht="15" hidden="false" customHeight="false" outlineLevel="0" collapsed="false">
      <c r="A86" s="11" t="s">
        <v>101</v>
      </c>
      <c r="B86" s="11" t="s">
        <v>49</v>
      </c>
      <c r="C86" s="11" t="s">
        <v>102</v>
      </c>
      <c r="D86" s="11"/>
      <c r="E86" s="12" t="n">
        <v>6</v>
      </c>
      <c r="F86" s="11" t="s">
        <v>211</v>
      </c>
      <c r="G86" s="8" t="n">
        <v>12</v>
      </c>
      <c r="H86" s="11" t="s">
        <v>333</v>
      </c>
      <c r="I86" s="11" t="s">
        <v>223</v>
      </c>
      <c r="J86" s="11" t="s">
        <v>334</v>
      </c>
      <c r="K86" s="8" t="n">
        <v>4</v>
      </c>
      <c r="L86" s="8" t="n">
        <v>0</v>
      </c>
      <c r="M86" s="8" t="n">
        <v>3</v>
      </c>
      <c r="N86" s="8" t="n">
        <v>26</v>
      </c>
      <c r="O86" s="8" t="n">
        <v>8</v>
      </c>
      <c r="P86" s="9" t="n">
        <v>107.156096396147</v>
      </c>
      <c r="Q86" s="10" t="n">
        <v>0.0093321801897587</v>
      </c>
      <c r="R86" s="9" t="n">
        <v>34</v>
      </c>
      <c r="S86" s="13" t="n">
        <f aca="false">IF(AND(ISNUMBER(R86),R86&gt;1,P86&gt;0),R86/P86-1,"")</f>
        <v>-0.682705873548203</v>
      </c>
      <c r="T86" s="9" t="n">
        <f aca="false">IF(AND(ISNUMBER(P86),P86&gt;0),P86*EXP('Read me'!$B$22),"")</f>
        <v>130.880751691931</v>
      </c>
    </row>
    <row r="87" customFormat="false" ht="15" hidden="false" customHeight="false" outlineLevel="0" collapsed="false">
      <c r="A87" s="11" t="s">
        <v>101</v>
      </c>
      <c r="B87" s="11" t="s">
        <v>49</v>
      </c>
      <c r="C87" s="11" t="s">
        <v>102</v>
      </c>
      <c r="D87" s="11"/>
      <c r="E87" s="12" t="n">
        <v>6</v>
      </c>
      <c r="F87" s="11" t="s">
        <v>211</v>
      </c>
      <c r="G87" s="8" t="n">
        <v>12</v>
      </c>
      <c r="H87" s="11" t="s">
        <v>335</v>
      </c>
      <c r="I87" s="11" t="s">
        <v>236</v>
      </c>
      <c r="J87" s="11" t="s">
        <v>336</v>
      </c>
      <c r="K87" s="8" t="n">
        <v>10</v>
      </c>
      <c r="L87" s="8" t="n">
        <v>0</v>
      </c>
      <c r="M87" s="8" t="n">
        <v>3</v>
      </c>
      <c r="N87" s="8" t="n">
        <v>23</v>
      </c>
      <c r="O87" s="8" t="n">
        <v>9</v>
      </c>
      <c r="P87" s="9" t="n">
        <v>265.763755271572</v>
      </c>
      <c r="Q87" s="10" t="n">
        <v>0.0037627403292</v>
      </c>
      <c r="R87" s="9" t="n">
        <v>41</v>
      </c>
      <c r="S87" s="13" t="n">
        <f aca="false">IF(AND(ISNUMBER(R87),R87&gt;1,P87&gt;0),R87/P87-1,"")</f>
        <v>-0.845727646502797</v>
      </c>
      <c r="T87" s="9" t="n">
        <f aca="false">IF(AND(ISNUMBER(P87),P87&gt;0),P87*EXP('Read me'!$B$22),"")</f>
        <v>324.604583707702</v>
      </c>
    </row>
    <row r="88" customFormat="false" ht="15" hidden="false" customHeight="false" outlineLevel="0" collapsed="false">
      <c r="A88" s="11" t="s">
        <v>101</v>
      </c>
      <c r="B88" s="11" t="s">
        <v>49</v>
      </c>
      <c r="C88" s="11" t="s">
        <v>102</v>
      </c>
      <c r="D88" s="11"/>
      <c r="E88" s="12" t="n">
        <v>6</v>
      </c>
      <c r="F88" s="11" t="s">
        <v>211</v>
      </c>
      <c r="G88" s="8" t="n">
        <v>12</v>
      </c>
      <c r="H88" s="11" t="s">
        <v>337</v>
      </c>
      <c r="I88" s="11" t="s">
        <v>338</v>
      </c>
      <c r="J88" s="11" t="s">
        <v>339</v>
      </c>
      <c r="K88" s="8" t="n">
        <v>3</v>
      </c>
      <c r="L88" s="8" t="n">
        <v>0</v>
      </c>
      <c r="M88" s="8" t="n">
        <v>3</v>
      </c>
      <c r="N88" s="8" t="n">
        <v>28</v>
      </c>
      <c r="O88" s="8" t="n">
        <v>10</v>
      </c>
      <c r="P88" s="9" t="n">
        <v>386.814828220755</v>
      </c>
      <c r="Q88" s="10" t="n">
        <v>0.0025852163025903</v>
      </c>
      <c r="R88" s="9" t="n">
        <v>126</v>
      </c>
      <c r="S88" s="13" t="n">
        <f aca="false">IF(AND(ISNUMBER(R88),R88&gt;1,P88&gt;0),R88/P88-1,"")</f>
        <v>-0.67426274587361</v>
      </c>
      <c r="T88" s="9" t="n">
        <f aca="false">IF(AND(ISNUMBER(P88),P88&gt;0),P88*EXP('Read me'!$B$22),"")</f>
        <v>472.456698086082</v>
      </c>
    </row>
    <row r="89" customFormat="false" ht="15" hidden="false" customHeight="false" outlineLevel="0" collapsed="false">
      <c r="A89" s="11" t="s">
        <v>101</v>
      </c>
      <c r="B89" s="11" t="s">
        <v>49</v>
      </c>
      <c r="C89" s="11" t="s">
        <v>102</v>
      </c>
      <c r="D89" s="11"/>
      <c r="E89" s="12" t="n">
        <v>6</v>
      </c>
      <c r="F89" s="11" t="s">
        <v>211</v>
      </c>
      <c r="G89" s="8" t="n">
        <v>12</v>
      </c>
      <c r="H89" s="11" t="s">
        <v>340</v>
      </c>
      <c r="I89" s="11" t="s">
        <v>341</v>
      </c>
      <c r="J89" s="11" t="s">
        <v>342</v>
      </c>
      <c r="K89" s="8" t="n">
        <v>14</v>
      </c>
      <c r="L89" s="8" t="n">
        <v>0</v>
      </c>
      <c r="M89" s="8" t="n">
        <v>5</v>
      </c>
      <c r="N89" s="8" t="n">
        <v>18</v>
      </c>
      <c r="O89" s="8" t="n">
        <v>11</v>
      </c>
      <c r="P89" s="9" t="n">
        <v>573.555316748356</v>
      </c>
      <c r="Q89" s="10" t="n">
        <v>0.0017435109932713</v>
      </c>
      <c r="R89" s="9" t="n">
        <v>126</v>
      </c>
      <c r="S89" s="13" t="n">
        <f aca="false">IF(AND(ISNUMBER(R89),R89&gt;1,P89&gt;0),R89/P89-1,"")</f>
        <v>-0.780317614847808</v>
      </c>
      <c r="T89" s="9" t="n">
        <f aca="false">IF(AND(ISNUMBER(P89),P89&gt;0),P89*EXP('Read me'!$B$22),"")</f>
        <v>700.542045833872</v>
      </c>
    </row>
    <row r="90" customFormat="false" ht="15" hidden="false" customHeight="false" outlineLevel="0" collapsed="false">
      <c r="A90" s="11" t="s">
        <v>101</v>
      </c>
      <c r="B90" s="11" t="s">
        <v>49</v>
      </c>
      <c r="C90" s="11" t="s">
        <v>102</v>
      </c>
      <c r="D90" s="11"/>
      <c r="E90" s="12" t="n">
        <v>6</v>
      </c>
      <c r="F90" s="11" t="s">
        <v>211</v>
      </c>
      <c r="G90" s="8" t="n">
        <v>12</v>
      </c>
      <c r="H90" s="11" t="s">
        <v>343</v>
      </c>
      <c r="I90" s="11" t="s">
        <v>344</v>
      </c>
      <c r="J90" s="11" t="s">
        <v>345</v>
      </c>
      <c r="K90" s="8" t="n">
        <v>8</v>
      </c>
      <c r="L90" s="8" t="n">
        <v>0</v>
      </c>
      <c r="M90" s="8" t="n">
        <v>5</v>
      </c>
      <c r="N90" s="8" t="n">
        <v>793</v>
      </c>
      <c r="O90" s="8" t="n">
        <v>12</v>
      </c>
      <c r="P90" s="9" t="n">
        <v>715.853249028585</v>
      </c>
      <c r="Q90" s="10" t="n">
        <v>0.0013969343596009</v>
      </c>
      <c r="R90" s="9" t="n">
        <v>126</v>
      </c>
      <c r="S90" s="13" t="n">
        <f aca="false">IF(AND(ISNUMBER(R90),R90&gt;1,P90&gt;0),R90/P90-1,"")</f>
        <v>-0.823986270690281</v>
      </c>
      <c r="T90" s="9" t="n">
        <f aca="false">IF(AND(ISNUMBER(P90),P90&gt;0),P90*EXP('Read me'!$B$22),"")</f>
        <v>874.345132801433</v>
      </c>
    </row>
    <row r="91" customFormat="false" ht="15" hidden="false" customHeight="false" outlineLevel="0" collapsed="false">
      <c r="A91" s="11" t="s">
        <v>107</v>
      </c>
      <c r="B91" s="11" t="s">
        <v>56</v>
      </c>
      <c r="C91" s="11" t="s">
        <v>108</v>
      </c>
      <c r="D91" s="11" t="s">
        <v>241</v>
      </c>
      <c r="E91" s="12" t="n">
        <v>12</v>
      </c>
      <c r="F91" s="11" t="s">
        <v>242</v>
      </c>
      <c r="G91" s="8" t="n">
        <v>13</v>
      </c>
      <c r="H91" s="11" t="s">
        <v>109</v>
      </c>
      <c r="I91" s="11" t="s">
        <v>110</v>
      </c>
      <c r="J91" s="11" t="s">
        <v>111</v>
      </c>
      <c r="K91" s="8" t="n">
        <v>11</v>
      </c>
      <c r="L91" s="8" t="n">
        <v>75</v>
      </c>
      <c r="M91" s="8" t="n">
        <v>5</v>
      </c>
      <c r="N91" s="8" t="n">
        <v>27</v>
      </c>
      <c r="O91" s="8" t="n">
        <v>1</v>
      </c>
      <c r="P91" s="9" t="n">
        <v>4.88904141695731</v>
      </c>
      <c r="Q91" s="10" t="n">
        <v>0.204539073146643</v>
      </c>
      <c r="R91" s="9" t="n">
        <v>4.5</v>
      </c>
      <c r="S91" s="13" t="n">
        <f aca="false">IF(AND(ISNUMBER(R91),R91&gt;1,P91&gt;0),R91/P91-1,"")</f>
        <v>-0.0795741708401053</v>
      </c>
      <c r="T91" s="9" t="n">
        <f aca="false">IF(AND(ISNUMBER(P91),P91&gt;0),P91*EXP('Read me'!$B$22),"")</f>
        <v>5.97148867143097</v>
      </c>
    </row>
    <row r="92" customFormat="false" ht="15" hidden="false" customHeight="false" outlineLevel="0" collapsed="false">
      <c r="A92" s="11" t="s">
        <v>107</v>
      </c>
      <c r="B92" s="11" t="s">
        <v>56</v>
      </c>
      <c r="C92" s="11" t="s">
        <v>108</v>
      </c>
      <c r="D92" s="11" t="s">
        <v>241</v>
      </c>
      <c r="E92" s="12" t="n">
        <v>12</v>
      </c>
      <c r="F92" s="11" t="s">
        <v>242</v>
      </c>
      <c r="G92" s="8" t="n">
        <v>13</v>
      </c>
      <c r="H92" s="11" t="s">
        <v>112</v>
      </c>
      <c r="I92" s="11" t="s">
        <v>346</v>
      </c>
      <c r="J92" s="11" t="s">
        <v>347</v>
      </c>
      <c r="K92" s="8" t="n">
        <v>3</v>
      </c>
      <c r="L92" s="8" t="n">
        <v>79</v>
      </c>
      <c r="M92" s="8" t="n">
        <v>8</v>
      </c>
      <c r="N92" s="8" t="n">
        <v>15</v>
      </c>
      <c r="O92" s="8" t="n">
        <v>2</v>
      </c>
      <c r="P92" s="9" t="n">
        <v>6.90238377612501</v>
      </c>
      <c r="Q92" s="10" t="n">
        <v>0.144877484711724</v>
      </c>
      <c r="R92" s="9" t="n">
        <v>8</v>
      </c>
      <c r="S92" s="13" t="n">
        <f aca="false">IF(AND(ISNUMBER(R92),R92&gt;1,P92&gt;0),R92/P92-1,"")</f>
        <v>0.159019877693789</v>
      </c>
      <c r="T92" s="9" t="n">
        <f aca="false">IF(AND(ISNUMBER(P92),P92&gt;0),P92*EXP('Read me'!$B$22),"")</f>
        <v>8.4305905820391</v>
      </c>
    </row>
    <row r="93" customFormat="false" ht="15" hidden="false" customHeight="false" outlineLevel="0" collapsed="false">
      <c r="A93" s="11" t="s">
        <v>107</v>
      </c>
      <c r="B93" s="11" t="s">
        <v>56</v>
      </c>
      <c r="C93" s="11" t="s">
        <v>108</v>
      </c>
      <c r="D93" s="11" t="s">
        <v>241</v>
      </c>
      <c r="E93" s="12" t="n">
        <v>12</v>
      </c>
      <c r="F93" s="11" t="s">
        <v>242</v>
      </c>
      <c r="G93" s="8" t="n">
        <v>13</v>
      </c>
      <c r="H93" s="11" t="s">
        <v>348</v>
      </c>
      <c r="I93" s="11" t="s">
        <v>349</v>
      </c>
      <c r="J93" s="11" t="s">
        <v>350</v>
      </c>
      <c r="K93" s="8" t="n">
        <v>8</v>
      </c>
      <c r="L93" s="8" t="n">
        <v>84</v>
      </c>
      <c r="M93" s="8" t="n">
        <v>4</v>
      </c>
      <c r="N93" s="8" t="n">
        <v>28</v>
      </c>
      <c r="O93" s="8" t="n">
        <v>3</v>
      </c>
      <c r="P93" s="9" t="n">
        <v>7.29819590900017</v>
      </c>
      <c r="Q93" s="10" t="n">
        <v>0.137020163951312</v>
      </c>
      <c r="R93" s="9" t="n">
        <v>8</v>
      </c>
      <c r="S93" s="13" t="n">
        <f aca="false">IF(AND(ISNUMBER(R93),R93&gt;1,P93&gt;0),R93/P93-1,"")</f>
        <v>0.0961613116104991</v>
      </c>
      <c r="T93" s="9" t="n">
        <f aca="false">IF(AND(ISNUMBER(P93),P93&gt;0),P93*EXP('Read me'!$B$22),"")</f>
        <v>8.91403661284607</v>
      </c>
    </row>
    <row r="94" customFormat="false" ht="15" hidden="false" customHeight="false" outlineLevel="0" collapsed="false">
      <c r="A94" s="11" t="s">
        <v>107</v>
      </c>
      <c r="B94" s="11" t="s">
        <v>56</v>
      </c>
      <c r="C94" s="11" t="s">
        <v>108</v>
      </c>
      <c r="D94" s="11" t="s">
        <v>241</v>
      </c>
      <c r="E94" s="12" t="n">
        <v>12</v>
      </c>
      <c r="F94" s="11" t="s">
        <v>242</v>
      </c>
      <c r="G94" s="8" t="n">
        <v>13</v>
      </c>
      <c r="H94" s="11" t="s">
        <v>351</v>
      </c>
      <c r="I94" s="11" t="s">
        <v>352</v>
      </c>
      <c r="J94" s="11" t="s">
        <v>353</v>
      </c>
      <c r="K94" s="8" t="n">
        <v>12</v>
      </c>
      <c r="L94" s="8" t="n">
        <v>81</v>
      </c>
      <c r="M94" s="8" t="n">
        <v>5</v>
      </c>
      <c r="N94" s="8" t="n">
        <v>18</v>
      </c>
      <c r="O94" s="8" t="n">
        <v>4</v>
      </c>
      <c r="P94" s="9" t="n">
        <v>7.66248592365814</v>
      </c>
      <c r="Q94" s="10" t="n">
        <v>0.130505949369835</v>
      </c>
      <c r="R94" s="9" t="n">
        <v>7.5</v>
      </c>
      <c r="S94" s="13" t="n">
        <f aca="false">IF(AND(ISNUMBER(R94),R94&gt;1,P94&gt;0),R94/P94-1,"")</f>
        <v>-0.0212053797262406</v>
      </c>
      <c r="T94" s="9" t="n">
        <f aca="false">IF(AND(ISNUMBER(P94),P94&gt;0),P94*EXP('Read me'!$B$22),"")</f>
        <v>9.35898144151953</v>
      </c>
    </row>
    <row r="95" customFormat="false" ht="15" hidden="false" customHeight="false" outlineLevel="0" collapsed="false">
      <c r="A95" s="11" t="s">
        <v>107</v>
      </c>
      <c r="B95" s="11" t="s">
        <v>56</v>
      </c>
      <c r="C95" s="11" t="s">
        <v>108</v>
      </c>
      <c r="D95" s="11" t="s">
        <v>241</v>
      </c>
      <c r="E95" s="12" t="n">
        <v>12</v>
      </c>
      <c r="F95" s="11" t="s">
        <v>242</v>
      </c>
      <c r="G95" s="8" t="n">
        <v>13</v>
      </c>
      <c r="H95" s="11" t="s">
        <v>354</v>
      </c>
      <c r="I95" s="11" t="s">
        <v>355</v>
      </c>
      <c r="J95" s="11" t="s">
        <v>356</v>
      </c>
      <c r="K95" s="8" t="n">
        <v>9</v>
      </c>
      <c r="L95" s="8" t="n">
        <v>77</v>
      </c>
      <c r="M95" s="8" t="n">
        <v>6</v>
      </c>
      <c r="N95" s="8" t="n">
        <v>15</v>
      </c>
      <c r="O95" s="8" t="n">
        <v>5</v>
      </c>
      <c r="P95" s="9" t="n">
        <v>15.267406498378</v>
      </c>
      <c r="Q95" s="10" t="n">
        <v>0.0654990092853188</v>
      </c>
      <c r="R95" s="9" t="n">
        <v>12</v>
      </c>
      <c r="S95" s="13" t="n">
        <f aca="false">IF(AND(ISNUMBER(R95),R95&gt;1,P95&gt;0),R95/P95-1,"")</f>
        <v>-0.214011888576173</v>
      </c>
      <c r="T95" s="9" t="n">
        <f aca="false">IF(AND(ISNUMBER(P95),P95&gt;0),P95*EXP('Read me'!$B$22),"")</f>
        <v>18.6476524070714</v>
      </c>
    </row>
    <row r="96" customFormat="false" ht="15" hidden="false" customHeight="false" outlineLevel="0" collapsed="false">
      <c r="A96" s="11" t="s">
        <v>107</v>
      </c>
      <c r="B96" s="11" t="s">
        <v>56</v>
      </c>
      <c r="C96" s="11" t="s">
        <v>108</v>
      </c>
      <c r="D96" s="11" t="s">
        <v>241</v>
      </c>
      <c r="E96" s="12" t="n">
        <v>12</v>
      </c>
      <c r="F96" s="11" t="s">
        <v>242</v>
      </c>
      <c r="G96" s="8" t="n">
        <v>13</v>
      </c>
      <c r="H96" s="11" t="s">
        <v>357</v>
      </c>
      <c r="I96" s="11" t="s">
        <v>358</v>
      </c>
      <c r="J96" s="11" t="s">
        <v>309</v>
      </c>
      <c r="K96" s="8" t="n">
        <v>10</v>
      </c>
      <c r="L96" s="8" t="n">
        <v>86</v>
      </c>
      <c r="M96" s="8" t="n">
        <v>4</v>
      </c>
      <c r="N96" s="8" t="n">
        <v>28</v>
      </c>
      <c r="O96" s="8" t="n">
        <v>6</v>
      </c>
      <c r="P96" s="9" t="n">
        <v>16.7744558203885</v>
      </c>
      <c r="Q96" s="10" t="n">
        <v>0.0596144525168173</v>
      </c>
      <c r="R96" s="9" t="n">
        <v>6.5</v>
      </c>
      <c r="S96" s="13" t="n">
        <f aca="false">IF(AND(ISNUMBER(R96),R96&gt;1,P96&gt;0),R96/P96-1,"")</f>
        <v>-0.612506058640687</v>
      </c>
      <c r="T96" s="9" t="n">
        <f aca="false">IF(AND(ISNUMBER(P96),P96&gt;0),P96*EXP('Read me'!$B$22),"")</f>
        <v>20.4883666056584</v>
      </c>
    </row>
    <row r="97" customFormat="false" ht="15" hidden="false" customHeight="false" outlineLevel="0" collapsed="false">
      <c r="A97" s="11" t="s">
        <v>107</v>
      </c>
      <c r="B97" s="11" t="s">
        <v>56</v>
      </c>
      <c r="C97" s="11" t="s">
        <v>108</v>
      </c>
      <c r="D97" s="11" t="s">
        <v>241</v>
      </c>
      <c r="E97" s="12" t="n">
        <v>12</v>
      </c>
      <c r="F97" s="11" t="s">
        <v>242</v>
      </c>
      <c r="G97" s="8" t="n">
        <v>13</v>
      </c>
      <c r="H97" s="11" t="s">
        <v>359</v>
      </c>
      <c r="I97" s="11" t="s">
        <v>360</v>
      </c>
      <c r="J97" s="11" t="s">
        <v>309</v>
      </c>
      <c r="K97" s="8" t="n">
        <v>7</v>
      </c>
      <c r="L97" s="8" t="n">
        <v>70</v>
      </c>
      <c r="M97" s="8" t="n">
        <v>4</v>
      </c>
      <c r="N97" s="8" t="n">
        <v>13</v>
      </c>
      <c r="O97" s="8" t="n">
        <v>7</v>
      </c>
      <c r="P97" s="9" t="n">
        <v>17.7319172384846</v>
      </c>
      <c r="Q97" s="10" t="n">
        <v>0.0563954809031953</v>
      </c>
      <c r="R97" s="9" t="n">
        <v>12</v>
      </c>
      <c r="S97" s="13" t="n">
        <f aca="false">IF(AND(ISNUMBER(R97),R97&gt;1,P97&gt;0),R97/P97-1,"")</f>
        <v>-0.323254229161656</v>
      </c>
      <c r="T97" s="9" t="n">
        <f aca="false">IF(AND(ISNUMBER(P97),P97&gt;0),P97*EXP('Read me'!$B$22),"")</f>
        <v>21.657812622553</v>
      </c>
    </row>
    <row r="98" customFormat="false" ht="15" hidden="false" customHeight="false" outlineLevel="0" collapsed="false">
      <c r="A98" s="11" t="s">
        <v>107</v>
      </c>
      <c r="B98" s="11" t="s">
        <v>56</v>
      </c>
      <c r="C98" s="11" t="s">
        <v>108</v>
      </c>
      <c r="D98" s="11" t="s">
        <v>241</v>
      </c>
      <c r="E98" s="12" t="n">
        <v>12</v>
      </c>
      <c r="F98" s="11" t="s">
        <v>242</v>
      </c>
      <c r="G98" s="8" t="n">
        <v>13</v>
      </c>
      <c r="H98" s="11" t="s">
        <v>361</v>
      </c>
      <c r="I98" s="11" t="s">
        <v>362</v>
      </c>
      <c r="J98" s="11" t="s">
        <v>350</v>
      </c>
      <c r="K98" s="8" t="n">
        <v>6</v>
      </c>
      <c r="L98" s="8" t="n">
        <v>82</v>
      </c>
      <c r="M98" s="8" t="n">
        <v>7</v>
      </c>
      <c r="N98" s="8" t="n">
        <v>8</v>
      </c>
      <c r="O98" s="8" t="n">
        <v>8</v>
      </c>
      <c r="P98" s="9" t="n">
        <v>21.7258434952172</v>
      </c>
      <c r="Q98" s="10" t="n">
        <v>0.046028132358596</v>
      </c>
      <c r="R98" s="9" t="n">
        <v>11</v>
      </c>
      <c r="S98" s="13" t="n">
        <f aca="false">IF(AND(ISNUMBER(R98),R98&gt;1,P98&gt;0),R98/P98-1,"")</f>
        <v>-0.493690544055444</v>
      </c>
      <c r="T98" s="9" t="n">
        <f aca="false">IF(AND(ISNUMBER(P98),P98&gt;0),P98*EXP('Read me'!$B$22),"")</f>
        <v>26.5360051684145</v>
      </c>
    </row>
    <row r="99" customFormat="false" ht="15" hidden="false" customHeight="false" outlineLevel="0" collapsed="false">
      <c r="A99" s="11" t="s">
        <v>107</v>
      </c>
      <c r="B99" s="11" t="s">
        <v>56</v>
      </c>
      <c r="C99" s="11" t="s">
        <v>108</v>
      </c>
      <c r="D99" s="11" t="s">
        <v>241</v>
      </c>
      <c r="E99" s="12" t="n">
        <v>12</v>
      </c>
      <c r="F99" s="11" t="s">
        <v>242</v>
      </c>
      <c r="G99" s="8" t="n">
        <v>13</v>
      </c>
      <c r="H99" s="11" t="s">
        <v>363</v>
      </c>
      <c r="I99" s="11" t="s">
        <v>364</v>
      </c>
      <c r="J99" s="11" t="s">
        <v>365</v>
      </c>
      <c r="K99" s="8" t="n">
        <v>1</v>
      </c>
      <c r="L99" s="8" t="n">
        <v>75</v>
      </c>
      <c r="M99" s="8" t="n">
        <v>6</v>
      </c>
      <c r="N99" s="8" t="n">
        <v>14</v>
      </c>
      <c r="O99" s="8" t="n">
        <v>9</v>
      </c>
      <c r="P99" s="9" t="n">
        <v>26.3564451597946</v>
      </c>
      <c r="Q99" s="10" t="n">
        <v>0.0379413837464488</v>
      </c>
      <c r="R99" s="9" t="n">
        <v>15</v>
      </c>
      <c r="S99" s="13" t="n">
        <f aca="false">IF(AND(ISNUMBER(R99),R99&gt;1,P99&gt;0),R99/P99-1,"")</f>
        <v>-0.430879243803267</v>
      </c>
      <c r="T99" s="9" t="n">
        <f aca="false">IF(AND(ISNUMBER(P99),P99&gt;0),P99*EXP('Read me'!$B$22),"")</f>
        <v>32.1918348134704</v>
      </c>
    </row>
    <row r="100" customFormat="false" ht="15" hidden="false" customHeight="false" outlineLevel="0" collapsed="false">
      <c r="A100" s="11" t="s">
        <v>107</v>
      </c>
      <c r="B100" s="11" t="s">
        <v>56</v>
      </c>
      <c r="C100" s="11" t="s">
        <v>108</v>
      </c>
      <c r="D100" s="11" t="s">
        <v>241</v>
      </c>
      <c r="E100" s="12" t="n">
        <v>12</v>
      </c>
      <c r="F100" s="11" t="s">
        <v>242</v>
      </c>
      <c r="G100" s="8" t="n">
        <v>13</v>
      </c>
      <c r="H100" s="11" t="s">
        <v>366</v>
      </c>
      <c r="I100" s="11" t="s">
        <v>367</v>
      </c>
      <c r="J100" s="11" t="s">
        <v>261</v>
      </c>
      <c r="K100" s="8" t="n">
        <v>5</v>
      </c>
      <c r="L100" s="8" t="n">
        <v>83</v>
      </c>
      <c r="M100" s="8" t="n">
        <v>6</v>
      </c>
      <c r="N100" s="8" t="n">
        <v>17</v>
      </c>
      <c r="O100" s="8" t="n">
        <v>10</v>
      </c>
      <c r="P100" s="9" t="n">
        <v>27.9219933203795</v>
      </c>
      <c r="Q100" s="10" t="n">
        <v>0.0358140620021611</v>
      </c>
      <c r="R100" s="9" t="n">
        <v>13</v>
      </c>
      <c r="S100" s="13" t="n">
        <f aca="false">IF(AND(ISNUMBER(R100),R100&gt;1,P100&gt;0),R100/P100-1,"")</f>
        <v>-0.534417193971905</v>
      </c>
      <c r="T100" s="9" t="n">
        <f aca="false">IF(AND(ISNUMBER(P100),P100&gt;0),P100*EXP('Read me'!$B$22),"")</f>
        <v>34.1039996548413</v>
      </c>
    </row>
    <row r="101" customFormat="false" ht="15" hidden="false" customHeight="false" outlineLevel="0" collapsed="false">
      <c r="A101" s="11" t="s">
        <v>107</v>
      </c>
      <c r="B101" s="11" t="s">
        <v>56</v>
      </c>
      <c r="C101" s="11" t="s">
        <v>108</v>
      </c>
      <c r="D101" s="11" t="s">
        <v>241</v>
      </c>
      <c r="E101" s="12" t="n">
        <v>12</v>
      </c>
      <c r="F101" s="11" t="s">
        <v>242</v>
      </c>
      <c r="G101" s="8" t="n">
        <v>13</v>
      </c>
      <c r="H101" s="11" t="s">
        <v>368</v>
      </c>
      <c r="I101" s="11" t="s">
        <v>369</v>
      </c>
      <c r="J101" s="11" t="s">
        <v>370</v>
      </c>
      <c r="K101" s="8" t="n">
        <v>2</v>
      </c>
      <c r="L101" s="8" t="n">
        <v>79</v>
      </c>
      <c r="M101" s="8" t="n">
        <v>4</v>
      </c>
      <c r="N101" s="8" t="n">
        <v>8</v>
      </c>
      <c r="O101" s="8" t="n">
        <v>11</v>
      </c>
      <c r="P101" s="9" t="n">
        <v>29.4721379581574</v>
      </c>
      <c r="Q101" s="10" t="n">
        <v>0.0339303514872159</v>
      </c>
      <c r="R101" s="9" t="n">
        <v>21</v>
      </c>
      <c r="S101" s="13" t="n">
        <f aca="false">IF(AND(ISNUMBER(R101),R101&gt;1,P101&gt;0),R101/P101-1,"")</f>
        <v>-0.287462618768465</v>
      </c>
      <c r="T101" s="9" t="n">
        <f aca="false">IF(AND(ISNUMBER(P101),P101&gt;0),P101*EXP('Read me'!$B$22),"")</f>
        <v>35.9973505909705</v>
      </c>
    </row>
    <row r="102" customFormat="false" ht="15" hidden="false" customHeight="false" outlineLevel="0" collapsed="false">
      <c r="A102" s="11" t="s">
        <v>107</v>
      </c>
      <c r="B102" s="11" t="s">
        <v>56</v>
      </c>
      <c r="C102" s="11" t="s">
        <v>108</v>
      </c>
      <c r="D102" s="11" t="s">
        <v>241</v>
      </c>
      <c r="E102" s="12" t="n">
        <v>12</v>
      </c>
      <c r="F102" s="11" t="s">
        <v>242</v>
      </c>
      <c r="G102" s="8" t="n">
        <v>13</v>
      </c>
      <c r="H102" s="11" t="s">
        <v>371</v>
      </c>
      <c r="I102" s="11" t="s">
        <v>372</v>
      </c>
      <c r="J102" s="11" t="s">
        <v>373</v>
      </c>
      <c r="K102" s="8" t="n">
        <v>4</v>
      </c>
      <c r="L102" s="8" t="n">
        <v>78</v>
      </c>
      <c r="M102" s="8" t="n">
        <v>4</v>
      </c>
      <c r="N102" s="8" t="n">
        <v>126</v>
      </c>
      <c r="O102" s="8" t="n">
        <v>12</v>
      </c>
      <c r="P102" s="9" t="n">
        <v>39.9089889258909</v>
      </c>
      <c r="Q102" s="10" t="n">
        <v>0.0250570116385797</v>
      </c>
      <c r="R102" s="9" t="n">
        <v>41</v>
      </c>
      <c r="S102" s="13" t="n">
        <f aca="false">IF(AND(ISNUMBER(R102),R102&gt;1,P102&gt;0),R102/P102-1,"")</f>
        <v>0.0273374771817709</v>
      </c>
      <c r="T102" s="9" t="n">
        <f aca="false">IF(AND(ISNUMBER(P102),P102&gt;0),P102*EXP('Read me'!$B$22),"")</f>
        <v>48.7449491494668</v>
      </c>
    </row>
    <row r="103" customFormat="false" ht="15" hidden="false" customHeight="false" outlineLevel="0" collapsed="false">
      <c r="A103" s="11" t="s">
        <v>107</v>
      </c>
      <c r="B103" s="11" t="s">
        <v>56</v>
      </c>
      <c r="C103" s="11" t="s">
        <v>108</v>
      </c>
      <c r="D103" s="11" t="s">
        <v>241</v>
      </c>
      <c r="E103" s="12" t="n">
        <v>12</v>
      </c>
      <c r="F103" s="11" t="s">
        <v>242</v>
      </c>
      <c r="G103" s="8" t="n">
        <v>13</v>
      </c>
      <c r="H103" s="11" t="s">
        <v>374</v>
      </c>
      <c r="I103" s="11" t="s">
        <v>375</v>
      </c>
      <c r="J103" s="11" t="s">
        <v>187</v>
      </c>
      <c r="K103" s="8" t="n">
        <v>13</v>
      </c>
      <c r="L103" s="8" t="n">
        <v>68</v>
      </c>
      <c r="M103" s="8" t="n">
        <v>4</v>
      </c>
      <c r="N103" s="8" t="n">
        <v>19</v>
      </c>
      <c r="O103" s="8" t="n">
        <v>13</v>
      </c>
      <c r="P103" s="9" t="n">
        <v>43.9030806648356</v>
      </c>
      <c r="Q103" s="10" t="n">
        <v>0.0227774448821527</v>
      </c>
      <c r="R103" s="9" t="n">
        <v>26</v>
      </c>
      <c r="S103" s="13" t="n">
        <f aca="false">IF(AND(ISNUMBER(R103),R103&gt;1,P103&gt;0),R103/P103-1,"")</f>
        <v>-0.407786433064028</v>
      </c>
      <c r="T103" s="9" t="n">
        <f aca="false">IF(AND(ISNUMBER(P103),P103&gt;0),P103*EXP('Read me'!$B$22),"")</f>
        <v>53.6233438157586</v>
      </c>
    </row>
    <row r="104" customFormat="false" ht="15" hidden="false" customHeight="false" outlineLevel="0" collapsed="false">
      <c r="A104" s="11" t="s">
        <v>113</v>
      </c>
      <c r="B104" s="11" t="s">
        <v>42</v>
      </c>
      <c r="C104" s="11" t="s">
        <v>114</v>
      </c>
      <c r="D104" s="11" t="s">
        <v>305</v>
      </c>
      <c r="E104" s="12"/>
      <c r="F104" s="11" t="s">
        <v>185</v>
      </c>
      <c r="G104" s="8" t="n">
        <v>5</v>
      </c>
      <c r="H104" s="11" t="s">
        <v>115</v>
      </c>
      <c r="I104" s="11" t="s">
        <v>45</v>
      </c>
      <c r="J104" s="11" t="s">
        <v>116</v>
      </c>
      <c r="K104" s="8" t="n">
        <v>2</v>
      </c>
      <c r="L104" s="8" t="n">
        <v>0</v>
      </c>
      <c r="M104" s="8" t="n">
        <v>2</v>
      </c>
      <c r="N104" s="8" t="n">
        <v>43</v>
      </c>
      <c r="O104" s="8" t="n">
        <v>1</v>
      </c>
      <c r="P104" s="9" t="n">
        <v>1.72015495879957</v>
      </c>
      <c r="Q104" s="10" t="n">
        <v>0.58134297429684</v>
      </c>
      <c r="R104" s="9" t="n">
        <v>1.36363636363636</v>
      </c>
      <c r="S104" s="13" t="n">
        <f aca="false">IF(AND(ISNUMBER(R104),R104&gt;1,P104&gt;0),R104/P104-1,"")</f>
        <v>-0.20725958050431</v>
      </c>
      <c r="T104" s="9" t="n">
        <f aca="false">IF(AND(ISNUMBER(P104),P104&gt;0),P104*EXP('Read me'!$B$22),"")</f>
        <v>2.10100201114069</v>
      </c>
    </row>
    <row r="105" customFormat="false" ht="15" hidden="false" customHeight="false" outlineLevel="0" collapsed="false">
      <c r="A105" s="11" t="s">
        <v>113</v>
      </c>
      <c r="B105" s="11" t="s">
        <v>42</v>
      </c>
      <c r="C105" s="11" t="s">
        <v>114</v>
      </c>
      <c r="D105" s="11" t="s">
        <v>305</v>
      </c>
      <c r="E105" s="12"/>
      <c r="F105" s="11" t="s">
        <v>185</v>
      </c>
      <c r="G105" s="8" t="n">
        <v>5</v>
      </c>
      <c r="H105" s="11" t="s">
        <v>117</v>
      </c>
      <c r="I105" s="11" t="s">
        <v>65</v>
      </c>
      <c r="J105" s="11" t="s">
        <v>66</v>
      </c>
      <c r="K105" s="8" t="n">
        <v>5</v>
      </c>
      <c r="L105" s="8" t="n">
        <v>77</v>
      </c>
      <c r="M105" s="8" t="n">
        <v>2</v>
      </c>
      <c r="N105" s="8" t="n">
        <v>21</v>
      </c>
      <c r="O105" s="8" t="n">
        <v>2</v>
      </c>
      <c r="P105" s="9" t="n">
        <v>2.88904434213253</v>
      </c>
      <c r="Q105" s="10" t="n">
        <v>0.346135220362127</v>
      </c>
      <c r="R105" s="9" t="n">
        <v>3.25</v>
      </c>
      <c r="S105" s="13" t="n">
        <f aca="false">IF(AND(ISNUMBER(R105),R105&gt;1,P105&gt;0),R105/P105-1,"")</f>
        <v>0.124939466176912</v>
      </c>
      <c r="T105" s="9" t="n">
        <f aca="false">IF(AND(ISNUMBER(P105),P105&gt;0),P105*EXP('Read me'!$B$22),"")</f>
        <v>3.52868672792771</v>
      </c>
    </row>
    <row r="106" customFormat="false" ht="15" hidden="false" customHeight="false" outlineLevel="0" collapsed="false">
      <c r="A106" s="11" t="s">
        <v>113</v>
      </c>
      <c r="B106" s="11" t="s">
        <v>42</v>
      </c>
      <c r="C106" s="11" t="s">
        <v>114</v>
      </c>
      <c r="D106" s="11" t="s">
        <v>305</v>
      </c>
      <c r="E106" s="12"/>
      <c r="F106" s="11" t="s">
        <v>185</v>
      </c>
      <c r="G106" s="8" t="n">
        <v>5</v>
      </c>
      <c r="H106" s="11" t="s">
        <v>376</v>
      </c>
      <c r="I106" s="11" t="s">
        <v>293</v>
      </c>
      <c r="J106" s="11" t="s">
        <v>377</v>
      </c>
      <c r="K106" s="8" t="n">
        <v>3</v>
      </c>
      <c r="L106" s="8" t="n">
        <v>0</v>
      </c>
      <c r="M106" s="8" t="n">
        <v>2</v>
      </c>
      <c r="N106" s="8"/>
      <c r="O106" s="8" t="n">
        <v>3</v>
      </c>
      <c r="P106" s="9" t="n">
        <v>35.4589394833269</v>
      </c>
      <c r="Q106" s="10" t="n">
        <v>0.028201633059844</v>
      </c>
      <c r="R106" s="9" t="n">
        <v>13</v>
      </c>
      <c r="S106" s="13" t="n">
        <f aca="false">IF(AND(ISNUMBER(R106),R106&gt;1,P106&gt;0),R106/P106-1,"")</f>
        <v>-0.633378770222028</v>
      </c>
      <c r="T106" s="9" t="n">
        <f aca="false">IF(AND(ISNUMBER(P106),P106&gt;0),P106*EXP('Read me'!$B$22),"")</f>
        <v>43.30964648637</v>
      </c>
    </row>
    <row r="107" customFormat="false" ht="15" hidden="false" customHeight="false" outlineLevel="0" collapsed="false">
      <c r="A107" s="11" t="s">
        <v>113</v>
      </c>
      <c r="B107" s="11" t="s">
        <v>42</v>
      </c>
      <c r="C107" s="11" t="s">
        <v>114</v>
      </c>
      <c r="D107" s="11" t="s">
        <v>305</v>
      </c>
      <c r="E107" s="12"/>
      <c r="F107" s="11" t="s">
        <v>185</v>
      </c>
      <c r="G107" s="8" t="n">
        <v>5</v>
      </c>
      <c r="H107" s="11" t="s">
        <v>378</v>
      </c>
      <c r="I107" s="11" t="s">
        <v>194</v>
      </c>
      <c r="J107" s="11" t="s">
        <v>379</v>
      </c>
      <c r="K107" s="8" t="n">
        <v>4</v>
      </c>
      <c r="L107" s="8" t="n">
        <v>65</v>
      </c>
      <c r="M107" s="8" t="n">
        <v>2</v>
      </c>
      <c r="N107" s="8" t="n">
        <v>29</v>
      </c>
      <c r="O107" s="8" t="n">
        <v>4</v>
      </c>
      <c r="P107" s="9" t="n">
        <v>42.0616837704708</v>
      </c>
      <c r="Q107" s="10" t="n">
        <v>0.0237746069666865</v>
      </c>
      <c r="R107" s="9" t="n">
        <v>29</v>
      </c>
      <c r="S107" s="13" t="n">
        <f aca="false">IF(AND(ISNUMBER(R107),R107&gt;1,P107&gt;0),R107/P107-1,"")</f>
        <v>-0.310536397966092</v>
      </c>
      <c r="T107" s="9" t="n">
        <f aca="false">IF(AND(ISNUMBER(P107),P107&gt;0),P107*EXP('Read me'!$B$22),"")</f>
        <v>51.3742565701139</v>
      </c>
    </row>
    <row r="108" customFormat="false" ht="15" hidden="false" customHeight="false" outlineLevel="0" collapsed="false">
      <c r="A108" s="11" t="s">
        <v>113</v>
      </c>
      <c r="B108" s="11" t="s">
        <v>42</v>
      </c>
      <c r="C108" s="11" t="s">
        <v>114</v>
      </c>
      <c r="D108" s="11" t="s">
        <v>305</v>
      </c>
      <c r="E108" s="12"/>
      <c r="F108" s="11" t="s">
        <v>185</v>
      </c>
      <c r="G108" s="8" t="n">
        <v>5</v>
      </c>
      <c r="H108" s="11" t="s">
        <v>380</v>
      </c>
      <c r="I108" s="11" t="s">
        <v>98</v>
      </c>
      <c r="J108" s="11" t="s">
        <v>99</v>
      </c>
      <c r="K108" s="8" t="n">
        <v>1</v>
      </c>
      <c r="L108" s="8" t="n">
        <v>0</v>
      </c>
      <c r="M108" s="8" t="n">
        <v>2</v>
      </c>
      <c r="N108" s="8" t="n">
        <v>17</v>
      </c>
      <c r="O108" s="8" t="n">
        <v>5</v>
      </c>
      <c r="P108" s="9" t="n">
        <v>48.6723039591466</v>
      </c>
      <c r="Q108" s="10" t="n">
        <v>0.0205455653145032</v>
      </c>
      <c r="R108" s="9" t="n">
        <v>23</v>
      </c>
      <c r="S108" s="13" t="n">
        <f aca="false">IF(AND(ISNUMBER(R108),R108&gt;1,P108&gt;0),R108/P108-1,"")</f>
        <v>-0.527451997766426</v>
      </c>
      <c r="T108" s="9" t="n">
        <f aca="false">IF(AND(ISNUMBER(P108),P108&gt;0),P108*EXP('Read me'!$B$22),"")</f>
        <v>59.4484863017119</v>
      </c>
    </row>
    <row r="109" customFormat="false" ht="15" hidden="false" customHeight="false" outlineLevel="0" collapsed="false">
      <c r="A109" s="11" t="s">
        <v>118</v>
      </c>
      <c r="B109" s="11" t="s">
        <v>49</v>
      </c>
      <c r="C109" s="11" t="s">
        <v>119</v>
      </c>
      <c r="D109" s="11"/>
      <c r="E109" s="12" t="n">
        <v>7</v>
      </c>
      <c r="F109" s="11" t="s">
        <v>211</v>
      </c>
      <c r="G109" s="8" t="n">
        <v>8</v>
      </c>
      <c r="H109" s="11" t="s">
        <v>120</v>
      </c>
      <c r="I109" s="11" t="s">
        <v>121</v>
      </c>
      <c r="J109" s="11" t="s">
        <v>122</v>
      </c>
      <c r="K109" s="8" t="n">
        <v>8</v>
      </c>
      <c r="L109" s="8" t="n">
        <v>0</v>
      </c>
      <c r="M109" s="8" t="n">
        <v>2</v>
      </c>
      <c r="N109" s="8" t="n">
        <v>26</v>
      </c>
      <c r="O109" s="8" t="n">
        <v>1</v>
      </c>
      <c r="P109" s="9" t="n">
        <v>3.63098387100118</v>
      </c>
      <c r="Q109" s="10" t="n">
        <v>0.275407447547893</v>
      </c>
      <c r="R109" s="9" t="n">
        <v>2.5</v>
      </c>
      <c r="S109" s="13" t="n">
        <f aca="false">IF(AND(ISNUMBER(R109),R109&gt;1,P109&gt;0),R109/P109-1,"")</f>
        <v>-0.311481381130269</v>
      </c>
      <c r="T109" s="9" t="n">
        <f aca="false">IF(AND(ISNUMBER(P109),P109&gt;0),P109*EXP('Read me'!$B$22),"")</f>
        <v>4.43489371487593</v>
      </c>
    </row>
    <row r="110" customFormat="false" ht="15" hidden="false" customHeight="false" outlineLevel="0" collapsed="false">
      <c r="A110" s="11" t="s">
        <v>118</v>
      </c>
      <c r="B110" s="11" t="s">
        <v>49</v>
      </c>
      <c r="C110" s="11" t="s">
        <v>119</v>
      </c>
      <c r="D110" s="11"/>
      <c r="E110" s="12" t="n">
        <v>7</v>
      </c>
      <c r="F110" s="11" t="s">
        <v>211</v>
      </c>
      <c r="G110" s="8" t="n">
        <v>8</v>
      </c>
      <c r="H110" s="11" t="s">
        <v>123</v>
      </c>
      <c r="I110" s="11" t="s">
        <v>272</v>
      </c>
      <c r="J110" s="11" t="s">
        <v>280</v>
      </c>
      <c r="K110" s="8" t="n">
        <v>5</v>
      </c>
      <c r="L110" s="8" t="n">
        <v>95</v>
      </c>
      <c r="M110" s="8" t="n">
        <v>2</v>
      </c>
      <c r="N110" s="8" t="n">
        <v>29</v>
      </c>
      <c r="O110" s="8" t="n">
        <v>2</v>
      </c>
      <c r="P110" s="9" t="n">
        <v>3.8856511929277</v>
      </c>
      <c r="Q110" s="10" t="n">
        <v>0.257357119913415</v>
      </c>
      <c r="R110" s="9" t="n">
        <v>4.33333333333333</v>
      </c>
      <c r="S110" s="13" t="n">
        <f aca="false">IF(AND(ISNUMBER(R110),R110&gt;1,P110&gt;0),R110/P110-1,"")</f>
        <v>0.115214186291466</v>
      </c>
      <c r="T110" s="9" t="n">
        <f aca="false">IF(AND(ISNUMBER(P110),P110&gt;0),P110*EXP('Read me'!$B$22),"")</f>
        <v>4.74594508429025</v>
      </c>
    </row>
    <row r="111" customFormat="false" ht="15" hidden="false" customHeight="false" outlineLevel="0" collapsed="false">
      <c r="A111" s="11" t="s">
        <v>118</v>
      </c>
      <c r="B111" s="11" t="s">
        <v>49</v>
      </c>
      <c r="C111" s="11" t="s">
        <v>119</v>
      </c>
      <c r="D111" s="11"/>
      <c r="E111" s="12" t="n">
        <v>7</v>
      </c>
      <c r="F111" s="11" t="s">
        <v>211</v>
      </c>
      <c r="G111" s="8" t="n">
        <v>8</v>
      </c>
      <c r="H111" s="11" t="s">
        <v>381</v>
      </c>
      <c r="I111" s="11" t="s">
        <v>215</v>
      </c>
      <c r="J111" s="11" t="s">
        <v>382</v>
      </c>
      <c r="K111" s="8" t="n">
        <v>6</v>
      </c>
      <c r="L111" s="8" t="n">
        <v>90</v>
      </c>
      <c r="M111" s="8" t="n">
        <v>2</v>
      </c>
      <c r="N111" s="8" t="n">
        <v>18</v>
      </c>
      <c r="O111" s="8" t="n">
        <v>3</v>
      </c>
      <c r="P111" s="9" t="n">
        <v>5.18230783750469</v>
      </c>
      <c r="Q111" s="10" t="n">
        <v>0.192964221994482</v>
      </c>
      <c r="R111" s="9" t="n">
        <v>3.25</v>
      </c>
      <c r="S111" s="13" t="n">
        <f aca="false">IF(AND(ISNUMBER(R111),R111&gt;1,P111&gt;0),R111/P111-1,"")</f>
        <v>-0.372866278517932</v>
      </c>
      <c r="T111" s="9" t="n">
        <f aca="false">IF(AND(ISNUMBER(P111),P111&gt;0),P111*EXP('Read me'!$B$22),"")</f>
        <v>6.32968508636329</v>
      </c>
    </row>
    <row r="112" customFormat="false" ht="15" hidden="false" customHeight="false" outlineLevel="0" collapsed="false">
      <c r="A112" s="11" t="s">
        <v>118</v>
      </c>
      <c r="B112" s="11" t="s">
        <v>49</v>
      </c>
      <c r="C112" s="11" t="s">
        <v>119</v>
      </c>
      <c r="D112" s="11"/>
      <c r="E112" s="12" t="n">
        <v>7</v>
      </c>
      <c r="F112" s="11" t="s">
        <v>211</v>
      </c>
      <c r="G112" s="8" t="n">
        <v>8</v>
      </c>
      <c r="H112" s="11" t="s">
        <v>383</v>
      </c>
      <c r="I112" s="11" t="s">
        <v>52</v>
      </c>
      <c r="J112" s="11" t="s">
        <v>53</v>
      </c>
      <c r="K112" s="8" t="n">
        <v>3</v>
      </c>
      <c r="L112" s="8" t="n">
        <v>0</v>
      </c>
      <c r="M112" s="8" t="n">
        <v>2</v>
      </c>
      <c r="N112" s="8" t="n">
        <v>35</v>
      </c>
      <c r="O112" s="8" t="n">
        <v>4</v>
      </c>
      <c r="P112" s="9" t="n">
        <v>8.28840256112895</v>
      </c>
      <c r="Q112" s="10" t="n">
        <v>0.120650510472285</v>
      </c>
      <c r="R112" s="9" t="n">
        <v>15</v>
      </c>
      <c r="S112" s="13" t="n">
        <f aca="false">IF(AND(ISNUMBER(R112),R112&gt;1,P112&gt;0),R112/P112-1,"")</f>
        <v>0.809757657084272</v>
      </c>
      <c r="T112" s="9" t="n">
        <f aca="false">IF(AND(ISNUMBER(P112),P112&gt;0),P112*EXP('Read me'!$B$22),"")</f>
        <v>10.1234777489047</v>
      </c>
    </row>
    <row r="113" customFormat="false" ht="15" hidden="false" customHeight="false" outlineLevel="0" collapsed="false">
      <c r="A113" s="11" t="s">
        <v>118</v>
      </c>
      <c r="B113" s="11" t="s">
        <v>49</v>
      </c>
      <c r="C113" s="11" t="s">
        <v>119</v>
      </c>
      <c r="D113" s="11"/>
      <c r="E113" s="12" t="n">
        <v>7</v>
      </c>
      <c r="F113" s="11" t="s">
        <v>211</v>
      </c>
      <c r="G113" s="8" t="n">
        <v>8</v>
      </c>
      <c r="H113" s="11" t="s">
        <v>384</v>
      </c>
      <c r="I113" s="11" t="s">
        <v>139</v>
      </c>
      <c r="J113" s="11" t="s">
        <v>140</v>
      </c>
      <c r="K113" s="8" t="n">
        <v>4</v>
      </c>
      <c r="L113" s="8" t="n">
        <v>0</v>
      </c>
      <c r="M113" s="8" t="n">
        <v>2</v>
      </c>
      <c r="N113" s="8" t="n">
        <v>9</v>
      </c>
      <c r="O113" s="8" t="n">
        <v>5</v>
      </c>
      <c r="P113" s="9" t="n">
        <v>14.8276540136485</v>
      </c>
      <c r="Q113" s="10" t="n">
        <v>0.0674415520539878</v>
      </c>
      <c r="R113" s="9" t="n">
        <v>17</v>
      </c>
      <c r="S113" s="13" t="n">
        <f aca="false">IF(AND(ISNUMBER(R113),R113&gt;1,P113&gt;0),R113/P113-1,"")</f>
        <v>0.146506384917794</v>
      </c>
      <c r="T113" s="9" t="n">
        <f aca="false">IF(AND(ISNUMBER(P113),P113&gt;0),P113*EXP('Read me'!$B$22),"")</f>
        <v>18.110537509315</v>
      </c>
    </row>
    <row r="114" customFormat="false" ht="15" hidden="false" customHeight="false" outlineLevel="0" collapsed="false">
      <c r="A114" s="11" t="s">
        <v>118</v>
      </c>
      <c r="B114" s="11" t="s">
        <v>49</v>
      </c>
      <c r="C114" s="11" t="s">
        <v>119</v>
      </c>
      <c r="D114" s="11"/>
      <c r="E114" s="12" t="n">
        <v>7</v>
      </c>
      <c r="F114" s="11" t="s">
        <v>211</v>
      </c>
      <c r="G114" s="8" t="n">
        <v>8</v>
      </c>
      <c r="H114" s="11" t="s">
        <v>385</v>
      </c>
      <c r="I114" s="11" t="s">
        <v>386</v>
      </c>
      <c r="J114" s="11" t="s">
        <v>232</v>
      </c>
      <c r="K114" s="8" t="n">
        <v>7</v>
      </c>
      <c r="L114" s="8" t="n">
        <v>85</v>
      </c>
      <c r="M114" s="8" t="n">
        <v>2</v>
      </c>
      <c r="N114" s="8" t="n">
        <v>15</v>
      </c>
      <c r="O114" s="8" t="n">
        <v>6</v>
      </c>
      <c r="P114" s="9" t="n">
        <v>28.2773747654546</v>
      </c>
      <c r="Q114" s="10" t="n">
        <v>0.0353639617642887</v>
      </c>
      <c r="R114" s="9" t="n">
        <v>41</v>
      </c>
      <c r="S114" s="13" t="n">
        <f aca="false">IF(AND(ISNUMBER(R114),R114&gt;1,P114&gt;0),R114/P114-1,"")</f>
        <v>0.44992243233584</v>
      </c>
      <c r="T114" s="9" t="n">
        <f aca="false">IF(AND(ISNUMBER(P114),P114&gt;0),P114*EXP('Read me'!$B$22),"")</f>
        <v>34.538063532055</v>
      </c>
    </row>
    <row r="115" customFormat="false" ht="15" hidden="false" customHeight="false" outlineLevel="0" collapsed="false">
      <c r="A115" s="11" t="s">
        <v>118</v>
      </c>
      <c r="B115" s="11" t="s">
        <v>49</v>
      </c>
      <c r="C115" s="11" t="s">
        <v>119</v>
      </c>
      <c r="D115" s="11"/>
      <c r="E115" s="12" t="n">
        <v>7</v>
      </c>
      <c r="F115" s="11" t="s">
        <v>211</v>
      </c>
      <c r="G115" s="8" t="n">
        <v>8</v>
      </c>
      <c r="H115" s="11" t="s">
        <v>387</v>
      </c>
      <c r="I115" s="11" t="s">
        <v>234</v>
      </c>
      <c r="J115" s="11" t="s">
        <v>294</v>
      </c>
      <c r="K115" s="8" t="n">
        <v>1</v>
      </c>
      <c r="L115" s="8" t="n">
        <v>92</v>
      </c>
      <c r="M115" s="8" t="n">
        <v>2</v>
      </c>
      <c r="N115" s="8" t="n">
        <v>29</v>
      </c>
      <c r="O115" s="8" t="n">
        <v>7</v>
      </c>
      <c r="P115" s="9" t="n">
        <v>32.7329992349234</v>
      </c>
      <c r="Q115" s="10" t="n">
        <v>0.0305502099829912</v>
      </c>
      <c r="R115" s="9" t="n">
        <v>34</v>
      </c>
      <c r="S115" s="13" t="n">
        <f aca="false">IF(AND(ISNUMBER(R115),R115&gt;1,P115&gt;0),R115/P115-1,"")</f>
        <v>0.0387071394217018</v>
      </c>
      <c r="T115" s="9" t="n">
        <f aca="false">IF(AND(ISNUMBER(P115),P115&gt;0),P115*EXP('Read me'!$B$22),"")</f>
        <v>39.9801755483901</v>
      </c>
    </row>
    <row r="116" customFormat="false" ht="15" hidden="false" customHeight="false" outlineLevel="0" collapsed="false">
      <c r="A116" s="11" t="s">
        <v>118</v>
      </c>
      <c r="B116" s="11" t="s">
        <v>49</v>
      </c>
      <c r="C116" s="11" t="s">
        <v>119</v>
      </c>
      <c r="D116" s="11"/>
      <c r="E116" s="12" t="n">
        <v>7</v>
      </c>
      <c r="F116" s="11" t="s">
        <v>211</v>
      </c>
      <c r="G116" s="8" t="n">
        <v>8</v>
      </c>
      <c r="H116" s="11" t="s">
        <v>388</v>
      </c>
      <c r="I116" s="11" t="s">
        <v>302</v>
      </c>
      <c r="J116" s="11" t="s">
        <v>389</v>
      </c>
      <c r="K116" s="8" t="n">
        <v>2</v>
      </c>
      <c r="L116" s="8" t="n">
        <v>79</v>
      </c>
      <c r="M116" s="8" t="n">
        <v>2</v>
      </c>
      <c r="N116" s="8" t="n">
        <v>14</v>
      </c>
      <c r="O116" s="8" t="n">
        <v>8</v>
      </c>
      <c r="P116" s="9" t="n">
        <v>49.3462211178582</v>
      </c>
      <c r="Q116" s="10" t="n">
        <v>0.0202649762706572</v>
      </c>
      <c r="R116" s="9" t="n">
        <v>81</v>
      </c>
      <c r="S116" s="13" t="n">
        <f aca="false">IF(AND(ISNUMBER(R116),R116&gt;1,P116&gt;0),R116/P116-1,"")</f>
        <v>0.641463077923234</v>
      </c>
      <c r="T116" s="9" t="n">
        <f aca="false">IF(AND(ISNUMBER(P116),P116&gt;0),P116*EXP('Read me'!$B$22),"")</f>
        <v>60.2716105781336</v>
      </c>
    </row>
    <row r="117" customFormat="false" ht="15" hidden="false" customHeight="false" outlineLevel="0" collapsed="false">
      <c r="A117" s="11" t="s">
        <v>124</v>
      </c>
      <c r="B117" s="11" t="s">
        <v>56</v>
      </c>
      <c r="C117" s="11" t="s">
        <v>125</v>
      </c>
      <c r="D117" s="11" t="s">
        <v>305</v>
      </c>
      <c r="E117" s="12" t="n">
        <v>10</v>
      </c>
      <c r="F117" s="11" t="s">
        <v>242</v>
      </c>
      <c r="G117" s="8" t="n">
        <v>5</v>
      </c>
      <c r="H117" s="11" t="s">
        <v>126</v>
      </c>
      <c r="I117" s="11" t="s">
        <v>127</v>
      </c>
      <c r="J117" s="11" t="s">
        <v>128</v>
      </c>
      <c r="K117" s="8" t="n">
        <v>2</v>
      </c>
      <c r="L117" s="8" t="n">
        <v>95</v>
      </c>
      <c r="M117" s="8" t="n">
        <v>3</v>
      </c>
      <c r="N117" s="8" t="n">
        <v>44</v>
      </c>
      <c r="O117" s="8" t="n">
        <v>1</v>
      </c>
      <c r="P117" s="9" t="n">
        <v>1.8000795676527</v>
      </c>
      <c r="Q117" s="10" t="n">
        <v>0.555530998723572</v>
      </c>
      <c r="R117" s="9" t="n">
        <v>1.83333333333333</v>
      </c>
      <c r="S117" s="13" t="n">
        <f aca="false">IF(AND(ISNUMBER(R117),R117&gt;1,P117&gt;0),R117/P117-1,"")</f>
        <v>0.0184734976598822</v>
      </c>
      <c r="T117" s="9" t="n">
        <f aca="false">IF(AND(ISNUMBER(P117),P117&gt;0),P117*EXP('Read me'!$B$22),"")</f>
        <v>2.19862214883877</v>
      </c>
    </row>
    <row r="118" customFormat="false" ht="15" hidden="false" customHeight="false" outlineLevel="0" collapsed="false">
      <c r="A118" s="11" t="s">
        <v>124</v>
      </c>
      <c r="B118" s="11" t="s">
        <v>56</v>
      </c>
      <c r="C118" s="11" t="s">
        <v>125</v>
      </c>
      <c r="D118" s="11" t="s">
        <v>305</v>
      </c>
      <c r="E118" s="12" t="n">
        <v>10</v>
      </c>
      <c r="F118" s="11" t="s">
        <v>242</v>
      </c>
      <c r="G118" s="8" t="n">
        <v>5</v>
      </c>
      <c r="H118" s="11" t="s">
        <v>129</v>
      </c>
      <c r="I118" s="11" t="s">
        <v>390</v>
      </c>
      <c r="J118" s="11" t="s">
        <v>391</v>
      </c>
      <c r="K118" s="8" t="n">
        <v>4</v>
      </c>
      <c r="L118" s="8" t="n">
        <v>82</v>
      </c>
      <c r="M118" s="8" t="n">
        <v>5</v>
      </c>
      <c r="N118" s="8" t="n">
        <v>46</v>
      </c>
      <c r="O118" s="8" t="n">
        <v>2</v>
      </c>
      <c r="P118" s="9" t="n">
        <v>7.45051390775989</v>
      </c>
      <c r="Q118" s="10" t="n">
        <v>0.134218929375929</v>
      </c>
      <c r="R118" s="9" t="n">
        <v>8.5</v>
      </c>
      <c r="S118" s="13" t="n">
        <f aca="false">IF(AND(ISNUMBER(R118),R118&gt;1,P118&gt;0),R118/P118-1,"")</f>
        <v>0.140860899695395</v>
      </c>
      <c r="T118" s="9" t="n">
        <f aca="false">IF(AND(ISNUMBER(P118),P118&gt;0),P118*EXP('Read me'!$B$22),"")</f>
        <v>9.10007823664864</v>
      </c>
    </row>
    <row r="119" customFormat="false" ht="15" hidden="false" customHeight="false" outlineLevel="0" collapsed="false">
      <c r="A119" s="11" t="s">
        <v>124</v>
      </c>
      <c r="B119" s="11" t="s">
        <v>56</v>
      </c>
      <c r="C119" s="11" t="s">
        <v>125</v>
      </c>
      <c r="D119" s="11" t="s">
        <v>305</v>
      </c>
      <c r="E119" s="12" t="n">
        <v>10</v>
      </c>
      <c r="F119" s="11" t="s">
        <v>242</v>
      </c>
      <c r="G119" s="8" t="n">
        <v>5</v>
      </c>
      <c r="H119" s="11" t="s">
        <v>392</v>
      </c>
      <c r="I119" s="11" t="s">
        <v>92</v>
      </c>
      <c r="J119" s="11" t="s">
        <v>350</v>
      </c>
      <c r="K119" s="8" t="n">
        <v>5</v>
      </c>
      <c r="L119" s="8" t="n">
        <v>78</v>
      </c>
      <c r="M119" s="8" t="n">
        <v>4</v>
      </c>
      <c r="N119" s="8" t="n">
        <v>12</v>
      </c>
      <c r="O119" s="8" t="n">
        <v>3</v>
      </c>
      <c r="P119" s="9" t="n">
        <v>7.67918224036979</v>
      </c>
      <c r="Q119" s="10" t="n">
        <v>0.130222199278324</v>
      </c>
      <c r="R119" s="9" t="n">
        <v>5</v>
      </c>
      <c r="S119" s="13" t="n">
        <f aca="false">IF(AND(ISNUMBER(R119),R119&gt;1,P119&gt;0),R119/P119-1,"")</f>
        <v>-0.348889003608381</v>
      </c>
      <c r="T119" s="9" t="n">
        <f aca="false">IF(AND(ISNUMBER(P119),P119&gt;0),P119*EXP('Read me'!$B$22),"")</f>
        <v>9.37937436880226</v>
      </c>
    </row>
    <row r="120" customFormat="false" ht="15" hidden="false" customHeight="false" outlineLevel="0" collapsed="false">
      <c r="A120" s="11" t="s">
        <v>124</v>
      </c>
      <c r="B120" s="11" t="s">
        <v>56</v>
      </c>
      <c r="C120" s="11" t="s">
        <v>125</v>
      </c>
      <c r="D120" s="11" t="s">
        <v>305</v>
      </c>
      <c r="E120" s="12" t="n">
        <v>10</v>
      </c>
      <c r="F120" s="11" t="s">
        <v>242</v>
      </c>
      <c r="G120" s="8" t="n">
        <v>5</v>
      </c>
      <c r="H120" s="11" t="s">
        <v>393</v>
      </c>
      <c r="I120" s="11" t="s">
        <v>394</v>
      </c>
      <c r="J120" s="11" t="s">
        <v>395</v>
      </c>
      <c r="K120" s="8" t="n">
        <v>1</v>
      </c>
      <c r="L120" s="8" t="n">
        <v>77</v>
      </c>
      <c r="M120" s="8" t="n">
        <v>5</v>
      </c>
      <c r="N120" s="8" t="n">
        <v>17</v>
      </c>
      <c r="O120" s="8" t="n">
        <v>4</v>
      </c>
      <c r="P120" s="9" t="n">
        <v>9.52504339932046</v>
      </c>
      <c r="Q120" s="10" t="n">
        <v>0.104986398284688</v>
      </c>
      <c r="R120" s="9" t="n">
        <v>5.5</v>
      </c>
      <c r="S120" s="13" t="n">
        <f aca="false">IF(AND(ISNUMBER(R120),R120&gt;1,P120&gt;0),R120/P120-1,"")</f>
        <v>-0.422574809434214</v>
      </c>
      <c r="T120" s="9" t="n">
        <f aca="false">IF(AND(ISNUMBER(P120),P120&gt;0),P120*EXP('Read me'!$B$22),"")</f>
        <v>11.6339142795253</v>
      </c>
    </row>
    <row r="121" customFormat="false" ht="15" hidden="false" customHeight="false" outlineLevel="0" collapsed="false">
      <c r="A121" s="11" t="s">
        <v>124</v>
      </c>
      <c r="B121" s="11" t="s">
        <v>56</v>
      </c>
      <c r="C121" s="11" t="s">
        <v>125</v>
      </c>
      <c r="D121" s="11" t="s">
        <v>305</v>
      </c>
      <c r="E121" s="12" t="n">
        <v>10</v>
      </c>
      <c r="F121" s="11" t="s">
        <v>242</v>
      </c>
      <c r="G121" s="8" t="n">
        <v>5</v>
      </c>
      <c r="H121" s="11" t="s">
        <v>396</v>
      </c>
      <c r="I121" s="11" t="s">
        <v>253</v>
      </c>
      <c r="J121" s="11" t="s">
        <v>397</v>
      </c>
      <c r="K121" s="8" t="n">
        <v>3</v>
      </c>
      <c r="L121" s="8" t="n">
        <v>85</v>
      </c>
      <c r="M121" s="8" t="n">
        <v>4</v>
      </c>
      <c r="N121" s="8" t="n">
        <v>23</v>
      </c>
      <c r="O121" s="8" t="n">
        <v>5</v>
      </c>
      <c r="P121" s="9" t="n">
        <v>13.3259641928498</v>
      </c>
      <c r="Q121" s="10" t="n">
        <v>0.0750414743374865</v>
      </c>
      <c r="R121" s="9" t="n">
        <v>15</v>
      </c>
      <c r="S121" s="13" t="n">
        <f aca="false">IF(AND(ISNUMBER(R121),R121&gt;1,P121&gt;0),R121/P121-1,"")</f>
        <v>0.125622115062298</v>
      </c>
      <c r="T121" s="9" t="n">
        <f aca="false">IF(AND(ISNUMBER(P121),P121&gt;0),P121*EXP('Read me'!$B$22),"")</f>
        <v>16.2763694202904</v>
      </c>
    </row>
    <row r="122" customFormat="false" ht="15" hidden="false" customHeight="false" outlineLevel="0" collapsed="false">
      <c r="A122" s="11" t="s">
        <v>130</v>
      </c>
      <c r="B122" s="11" t="s">
        <v>42</v>
      </c>
      <c r="C122" s="11" t="s">
        <v>131</v>
      </c>
      <c r="D122" s="11" t="s">
        <v>184</v>
      </c>
      <c r="E122" s="12" t="n">
        <v>8</v>
      </c>
      <c r="F122" s="11" t="s">
        <v>185</v>
      </c>
      <c r="G122" s="8" t="n">
        <v>9</v>
      </c>
      <c r="H122" s="11" t="s">
        <v>132</v>
      </c>
      <c r="I122" s="11" t="s">
        <v>133</v>
      </c>
      <c r="J122" s="11" t="s">
        <v>134</v>
      </c>
      <c r="K122" s="8" t="n">
        <v>7</v>
      </c>
      <c r="L122" s="8" t="n">
        <v>56</v>
      </c>
      <c r="M122" s="8" t="n">
        <v>4</v>
      </c>
      <c r="N122" s="8" t="n">
        <v>27</v>
      </c>
      <c r="O122" s="8" t="n">
        <v>1</v>
      </c>
      <c r="P122" s="9" t="n">
        <v>4.85541864168532</v>
      </c>
      <c r="Q122" s="10" t="n">
        <v>0.205955464151882</v>
      </c>
      <c r="R122" s="9" t="n">
        <v>5</v>
      </c>
      <c r="S122" s="13" t="n">
        <f aca="false">IF(AND(ISNUMBER(R122),R122&gt;1,P122&gt;0),R122/P122-1,"")</f>
        <v>0.0297773207594096</v>
      </c>
      <c r="T122" s="9" t="n">
        <f aca="false">IF(AND(ISNUMBER(P122),P122&gt;0),P122*EXP('Read me'!$B$22),"")</f>
        <v>5.93042172097676</v>
      </c>
    </row>
    <row r="123" customFormat="false" ht="15" hidden="false" customHeight="false" outlineLevel="0" collapsed="false">
      <c r="A123" s="11" t="s">
        <v>130</v>
      </c>
      <c r="B123" s="11" t="s">
        <v>42</v>
      </c>
      <c r="C123" s="11" t="s">
        <v>131</v>
      </c>
      <c r="D123" s="11" t="s">
        <v>184</v>
      </c>
      <c r="E123" s="12" t="n">
        <v>8</v>
      </c>
      <c r="F123" s="11" t="s">
        <v>185</v>
      </c>
      <c r="G123" s="8" t="n">
        <v>9</v>
      </c>
      <c r="H123" s="11" t="s">
        <v>135</v>
      </c>
      <c r="I123" s="11" t="s">
        <v>149</v>
      </c>
      <c r="J123" s="11" t="s">
        <v>150</v>
      </c>
      <c r="K123" s="8" t="n">
        <v>6</v>
      </c>
      <c r="L123" s="8" t="n">
        <v>58</v>
      </c>
      <c r="M123" s="8" t="n">
        <v>4</v>
      </c>
      <c r="N123" s="8" t="n">
        <v>29</v>
      </c>
      <c r="O123" s="8" t="n">
        <v>2</v>
      </c>
      <c r="P123" s="9" t="n">
        <v>5.41591253754443</v>
      </c>
      <c r="Q123" s="10" t="n">
        <v>0.184641091056725</v>
      </c>
      <c r="R123" s="9" t="n">
        <v>4.5</v>
      </c>
      <c r="S123" s="13" t="n">
        <f aca="false">IF(AND(ISNUMBER(R123),R123&gt;1,P123&gt;0),R123/P123-1,"")</f>
        <v>-0.169115090244737</v>
      </c>
      <c r="T123" s="9" t="n">
        <f aca="false">IF(AND(ISNUMBER(P123),P123&gt;0),P123*EXP('Read me'!$B$22),"")</f>
        <v>6.61501051131101</v>
      </c>
    </row>
    <row r="124" customFormat="false" ht="15" hidden="false" customHeight="false" outlineLevel="0" collapsed="false">
      <c r="A124" s="11" t="s">
        <v>130</v>
      </c>
      <c r="B124" s="11" t="s">
        <v>42</v>
      </c>
      <c r="C124" s="11" t="s">
        <v>131</v>
      </c>
      <c r="D124" s="11" t="s">
        <v>184</v>
      </c>
      <c r="E124" s="12" t="n">
        <v>8</v>
      </c>
      <c r="F124" s="11" t="s">
        <v>185</v>
      </c>
      <c r="G124" s="8" t="n">
        <v>9</v>
      </c>
      <c r="H124" s="11" t="s">
        <v>398</v>
      </c>
      <c r="I124" s="11" t="s">
        <v>399</v>
      </c>
      <c r="J124" s="11" t="s">
        <v>379</v>
      </c>
      <c r="K124" s="8" t="n">
        <v>3</v>
      </c>
      <c r="L124" s="8" t="n">
        <v>55</v>
      </c>
      <c r="M124" s="8" t="n">
        <v>5</v>
      </c>
      <c r="N124" s="8" t="n">
        <v>6</v>
      </c>
      <c r="O124" s="8" t="n">
        <v>3</v>
      </c>
      <c r="P124" s="9" t="n">
        <v>6.15148689783461</v>
      </c>
      <c r="Q124" s="10" t="n">
        <v>0.16256232299739</v>
      </c>
      <c r="R124" s="9" t="n">
        <v>5</v>
      </c>
      <c r="S124" s="13" t="n">
        <f aca="false">IF(AND(ISNUMBER(R124),R124&gt;1,P124&gt;0),R124/P124-1,"")</f>
        <v>-0.187188385013052</v>
      </c>
      <c r="T124" s="9" t="n">
        <f aca="false">IF(AND(ISNUMBER(P124),P124&gt;0),P124*EXP('Read me'!$B$22),"")</f>
        <v>7.51344306380134</v>
      </c>
    </row>
    <row r="125" customFormat="false" ht="15" hidden="false" customHeight="false" outlineLevel="0" collapsed="false">
      <c r="A125" s="11" t="s">
        <v>130</v>
      </c>
      <c r="B125" s="11" t="s">
        <v>42</v>
      </c>
      <c r="C125" s="11" t="s">
        <v>131</v>
      </c>
      <c r="D125" s="11" t="s">
        <v>184</v>
      </c>
      <c r="E125" s="12" t="n">
        <v>8</v>
      </c>
      <c r="F125" s="11" t="s">
        <v>185</v>
      </c>
      <c r="G125" s="8" t="n">
        <v>9</v>
      </c>
      <c r="H125" s="11" t="s">
        <v>400</v>
      </c>
      <c r="I125" s="11" t="s">
        <v>204</v>
      </c>
      <c r="J125" s="11" t="s">
        <v>254</v>
      </c>
      <c r="K125" s="8" t="n">
        <v>4</v>
      </c>
      <c r="L125" s="8" t="n">
        <v>53</v>
      </c>
      <c r="M125" s="8" t="n">
        <v>3</v>
      </c>
      <c r="N125" s="8" t="n">
        <v>32</v>
      </c>
      <c r="O125" s="8" t="n">
        <v>4</v>
      </c>
      <c r="P125" s="9" t="n">
        <v>9.67663450616672</v>
      </c>
      <c r="Q125" s="10" t="n">
        <v>0.103341714452759</v>
      </c>
      <c r="R125" s="9" t="n">
        <v>10</v>
      </c>
      <c r="S125" s="13" t="n">
        <f aca="false">IF(AND(ISNUMBER(R125),R125&gt;1,P125&gt;0),R125/P125-1,"")</f>
        <v>0.0334171445275944</v>
      </c>
      <c r="T125" s="9" t="n">
        <f aca="false">IF(AND(ISNUMBER(P125),P125&gt;0),P125*EXP('Read me'!$B$22),"")</f>
        <v>11.8190680755399</v>
      </c>
    </row>
    <row r="126" customFormat="false" ht="15" hidden="false" customHeight="false" outlineLevel="0" collapsed="false">
      <c r="A126" s="11" t="s">
        <v>130</v>
      </c>
      <c r="B126" s="11" t="s">
        <v>42</v>
      </c>
      <c r="C126" s="11" t="s">
        <v>131</v>
      </c>
      <c r="D126" s="11" t="s">
        <v>184</v>
      </c>
      <c r="E126" s="12" t="n">
        <v>8</v>
      </c>
      <c r="F126" s="11" t="s">
        <v>185</v>
      </c>
      <c r="G126" s="8" t="n">
        <v>9</v>
      </c>
      <c r="H126" s="11" t="s">
        <v>401</v>
      </c>
      <c r="I126" s="11" t="s">
        <v>186</v>
      </c>
      <c r="J126" s="11" t="s">
        <v>187</v>
      </c>
      <c r="K126" s="8" t="n">
        <v>8</v>
      </c>
      <c r="L126" s="8" t="n">
        <v>50</v>
      </c>
      <c r="M126" s="8" t="n">
        <v>4</v>
      </c>
      <c r="N126" s="8" t="n">
        <v>15</v>
      </c>
      <c r="O126" s="8" t="n">
        <v>5</v>
      </c>
      <c r="P126" s="9" t="n">
        <v>11.0485243581157</v>
      </c>
      <c r="Q126" s="10" t="n">
        <v>0.0905098244423431</v>
      </c>
      <c r="R126" s="9" t="n">
        <v>15</v>
      </c>
      <c r="S126" s="13" t="n">
        <f aca="false">IF(AND(ISNUMBER(R126),R126&gt;1,P126&gt;0),R126/P126-1,"")</f>
        <v>0.357647366635148</v>
      </c>
      <c r="T126" s="9" t="n">
        <f aca="false">IF(AND(ISNUMBER(P126),P126&gt;0),P126*EXP('Read me'!$B$22),"")</f>
        <v>13.4946981246023</v>
      </c>
    </row>
    <row r="127" customFormat="false" ht="15" hidden="false" customHeight="false" outlineLevel="0" collapsed="false">
      <c r="A127" s="11" t="s">
        <v>130</v>
      </c>
      <c r="B127" s="11" t="s">
        <v>42</v>
      </c>
      <c r="C127" s="11" t="s">
        <v>131</v>
      </c>
      <c r="D127" s="11" t="s">
        <v>184</v>
      </c>
      <c r="E127" s="12" t="n">
        <v>8</v>
      </c>
      <c r="F127" s="11" t="s">
        <v>185</v>
      </c>
      <c r="G127" s="8" t="n">
        <v>9</v>
      </c>
      <c r="H127" s="11" t="s">
        <v>402</v>
      </c>
      <c r="I127" s="11" t="s">
        <v>45</v>
      </c>
      <c r="J127" s="11" t="s">
        <v>116</v>
      </c>
      <c r="K127" s="8" t="n">
        <v>9</v>
      </c>
      <c r="L127" s="8" t="n">
        <v>58</v>
      </c>
      <c r="M127" s="8" t="n">
        <v>3</v>
      </c>
      <c r="N127" s="8" t="n">
        <v>18</v>
      </c>
      <c r="O127" s="8" t="n">
        <v>6</v>
      </c>
      <c r="P127" s="9" t="n">
        <v>12.4390826998439</v>
      </c>
      <c r="Q127" s="10" t="n">
        <v>0.0803917800154626</v>
      </c>
      <c r="R127" s="9" t="n">
        <v>9.5</v>
      </c>
      <c r="S127" s="13" t="n">
        <f aca="false">IF(AND(ISNUMBER(R127),R127&gt;1,P127&gt;0),R127/P127-1,"")</f>
        <v>-0.236278089853105</v>
      </c>
      <c r="T127" s="9" t="n">
        <f aca="false">IF(AND(ISNUMBER(P127),P127&gt;0),P127*EXP('Read me'!$B$22),"")</f>
        <v>15.1931299185718</v>
      </c>
    </row>
    <row r="128" customFormat="false" ht="15" hidden="false" customHeight="false" outlineLevel="0" collapsed="false">
      <c r="A128" s="11" t="s">
        <v>130</v>
      </c>
      <c r="B128" s="11" t="s">
        <v>42</v>
      </c>
      <c r="C128" s="11" t="s">
        <v>131</v>
      </c>
      <c r="D128" s="11" t="s">
        <v>184</v>
      </c>
      <c r="E128" s="12" t="n">
        <v>8</v>
      </c>
      <c r="F128" s="11" t="s">
        <v>185</v>
      </c>
      <c r="G128" s="8" t="n">
        <v>9</v>
      </c>
      <c r="H128" s="11" t="s">
        <v>403</v>
      </c>
      <c r="I128" s="11" t="s">
        <v>404</v>
      </c>
      <c r="J128" s="11" t="s">
        <v>134</v>
      </c>
      <c r="K128" s="8" t="n">
        <v>1</v>
      </c>
      <c r="L128" s="8" t="n">
        <v>57</v>
      </c>
      <c r="M128" s="8" t="n">
        <v>8</v>
      </c>
      <c r="N128" s="8" t="n">
        <v>27</v>
      </c>
      <c r="O128" s="8" t="n">
        <v>7</v>
      </c>
      <c r="P128" s="9" t="n">
        <v>15.4873088609495</v>
      </c>
      <c r="Q128" s="10" t="n">
        <v>0.064568997039986</v>
      </c>
      <c r="R128" s="9" t="n">
        <v>6.5</v>
      </c>
      <c r="S128" s="13" t="n">
        <f aca="false">IF(AND(ISNUMBER(R128),R128&gt;1,P128&gt;0),R128/P128-1,"")</f>
        <v>-0.580301519240091</v>
      </c>
      <c r="T128" s="9" t="n">
        <f aca="false">IF(AND(ISNUMBER(P128),P128&gt;0),P128*EXP('Read me'!$B$22),"")</f>
        <v>18.9162417592422</v>
      </c>
    </row>
    <row r="129" customFormat="false" ht="15" hidden="false" customHeight="false" outlineLevel="0" collapsed="false">
      <c r="A129" s="11" t="s">
        <v>130</v>
      </c>
      <c r="B129" s="11" t="s">
        <v>42</v>
      </c>
      <c r="C129" s="11" t="s">
        <v>131</v>
      </c>
      <c r="D129" s="11" t="s">
        <v>184</v>
      </c>
      <c r="E129" s="12" t="n">
        <v>8</v>
      </c>
      <c r="F129" s="11" t="s">
        <v>185</v>
      </c>
      <c r="G129" s="8" t="n">
        <v>9</v>
      </c>
      <c r="H129" s="11" t="s">
        <v>405</v>
      </c>
      <c r="I129" s="11" t="s">
        <v>207</v>
      </c>
      <c r="J129" s="11" t="s">
        <v>379</v>
      </c>
      <c r="K129" s="8" t="n">
        <v>2</v>
      </c>
      <c r="L129" s="8" t="n">
        <v>46</v>
      </c>
      <c r="M129" s="8" t="n">
        <v>4</v>
      </c>
      <c r="N129" s="8" t="n">
        <v>6</v>
      </c>
      <c r="O129" s="8" t="n">
        <v>8</v>
      </c>
      <c r="P129" s="9" t="n">
        <v>17.6217701279933</v>
      </c>
      <c r="Q129" s="10" t="n">
        <v>0.0567479880134989</v>
      </c>
      <c r="R129" s="9" t="n">
        <v>13</v>
      </c>
      <c r="S129" s="13" t="n">
        <f aca="false">IF(AND(ISNUMBER(R129),R129&gt;1,P129&gt;0),R129/P129-1,"")</f>
        <v>-0.262276155824513</v>
      </c>
      <c r="T129" s="9" t="n">
        <f aca="false">IF(AND(ISNUMBER(P129),P129&gt;0),P129*EXP('Read me'!$B$22),"")</f>
        <v>21.5232786379955</v>
      </c>
    </row>
    <row r="130" customFormat="false" ht="15" hidden="false" customHeight="false" outlineLevel="0" collapsed="false">
      <c r="A130" s="11" t="s">
        <v>130</v>
      </c>
      <c r="B130" s="11" t="s">
        <v>42</v>
      </c>
      <c r="C130" s="11" t="s">
        <v>131</v>
      </c>
      <c r="D130" s="11" t="s">
        <v>184</v>
      </c>
      <c r="E130" s="12" t="n">
        <v>8</v>
      </c>
      <c r="F130" s="11" t="s">
        <v>185</v>
      </c>
      <c r="G130" s="8" t="n">
        <v>9</v>
      </c>
      <c r="H130" s="11" t="s">
        <v>406</v>
      </c>
      <c r="I130" s="11" t="s">
        <v>191</v>
      </c>
      <c r="J130" s="11" t="s">
        <v>192</v>
      </c>
      <c r="K130" s="8" t="n">
        <v>10</v>
      </c>
      <c r="L130" s="8" t="n">
        <v>60</v>
      </c>
      <c r="M130" s="8" t="n">
        <v>3</v>
      </c>
      <c r="N130" s="8" t="n">
        <v>54</v>
      </c>
      <c r="O130" s="8" t="n">
        <v>9</v>
      </c>
      <c r="P130" s="9" t="n">
        <v>19.5004690314416</v>
      </c>
      <c r="Q130" s="10" t="n">
        <v>0.0512808178299531</v>
      </c>
      <c r="R130" s="9" t="n">
        <v>21</v>
      </c>
      <c r="S130" s="13" t="n">
        <f aca="false">IF(AND(ISNUMBER(R130),R130&gt;1,P130&gt;0),R130/P130-1,"")</f>
        <v>0.0768971744290159</v>
      </c>
      <c r="T130" s="9" t="n">
        <f aca="false">IF(AND(ISNUMBER(P130),P130&gt;0),P130*EXP('Read me'!$B$22),"")</f>
        <v>23.8179266604198</v>
      </c>
    </row>
    <row r="131" customFormat="false" ht="15" hidden="false" customHeight="false" outlineLevel="0" collapsed="false">
      <c r="A131" s="11" t="s">
        <v>136</v>
      </c>
      <c r="B131" s="11" t="s">
        <v>49</v>
      </c>
      <c r="C131" s="11" t="s">
        <v>137</v>
      </c>
      <c r="D131" s="11"/>
      <c r="E131" s="12" t="n">
        <v>17</v>
      </c>
      <c r="F131" s="11" t="s">
        <v>211</v>
      </c>
      <c r="G131" s="8" t="n">
        <v>30</v>
      </c>
      <c r="H131" s="11" t="s">
        <v>138</v>
      </c>
      <c r="I131" s="11" t="s">
        <v>139</v>
      </c>
      <c r="J131" s="11" t="s">
        <v>140</v>
      </c>
      <c r="K131" s="8" t="n">
        <v>2</v>
      </c>
      <c r="L131" s="8" t="n">
        <v>93</v>
      </c>
      <c r="M131" s="8" t="n">
        <v>5</v>
      </c>
      <c r="N131" s="8" t="n">
        <v>14</v>
      </c>
      <c r="O131" s="8" t="n">
        <v>1</v>
      </c>
      <c r="P131" s="9" t="n">
        <v>10.2734026629009</v>
      </c>
      <c r="Q131" s="10" t="n">
        <v>0.0973387331162615</v>
      </c>
      <c r="R131" s="9" t="n">
        <v>6</v>
      </c>
      <c r="S131" s="13" t="n">
        <f aca="false">IF(AND(ISNUMBER(R131),R131&gt;1,P131&gt;0),R131/P131-1,"")</f>
        <v>-0.415967601302431</v>
      </c>
      <c r="T131" s="9" t="n">
        <f aca="false">IF(AND(ISNUMBER(P131),P131&gt;0),P131*EXP('Read me'!$B$22),"")</f>
        <v>12.5479623481572</v>
      </c>
    </row>
    <row r="132" customFormat="false" ht="15" hidden="false" customHeight="false" outlineLevel="0" collapsed="false">
      <c r="A132" s="11" t="s">
        <v>136</v>
      </c>
      <c r="B132" s="11" t="s">
        <v>49</v>
      </c>
      <c r="C132" s="11" t="s">
        <v>137</v>
      </c>
      <c r="D132" s="11"/>
      <c r="E132" s="12" t="n">
        <v>17</v>
      </c>
      <c r="F132" s="11" t="s">
        <v>211</v>
      </c>
      <c r="G132" s="8" t="n">
        <v>30</v>
      </c>
      <c r="H132" s="11" t="s">
        <v>141</v>
      </c>
      <c r="I132" s="11" t="s">
        <v>215</v>
      </c>
      <c r="J132" s="11" t="s">
        <v>407</v>
      </c>
      <c r="K132" s="8" t="n">
        <v>18</v>
      </c>
      <c r="L132" s="8" t="n">
        <v>103</v>
      </c>
      <c r="M132" s="8" t="n">
        <v>5</v>
      </c>
      <c r="N132" s="8" t="n">
        <v>15</v>
      </c>
      <c r="O132" s="8" t="n">
        <v>2</v>
      </c>
      <c r="P132" s="9" t="n">
        <v>12.9447406840604</v>
      </c>
      <c r="Q132" s="10" t="n">
        <v>0.0772514509488285</v>
      </c>
      <c r="R132" s="9" t="n">
        <v>6</v>
      </c>
      <c r="S132" s="13" t="n">
        <f aca="false">IF(AND(ISNUMBER(R132),R132&gt;1,P132&gt;0),R132/P132-1,"")</f>
        <v>-0.536491294307029</v>
      </c>
      <c r="T132" s="9" t="n">
        <f aca="false">IF(AND(ISNUMBER(P132),P132&gt;0),P132*EXP('Read me'!$B$22),"")</f>
        <v>15.8107419751796</v>
      </c>
    </row>
    <row r="133" customFormat="false" ht="15" hidden="false" customHeight="false" outlineLevel="0" collapsed="false">
      <c r="A133" s="11" t="s">
        <v>136</v>
      </c>
      <c r="B133" s="11" t="s">
        <v>49</v>
      </c>
      <c r="C133" s="11" t="s">
        <v>137</v>
      </c>
      <c r="D133" s="11"/>
      <c r="E133" s="12" t="n">
        <v>17</v>
      </c>
      <c r="F133" s="11" t="s">
        <v>211</v>
      </c>
      <c r="G133" s="8" t="n">
        <v>30</v>
      </c>
      <c r="H133" s="11" t="s">
        <v>408</v>
      </c>
      <c r="I133" s="11" t="s">
        <v>52</v>
      </c>
      <c r="J133" s="11" t="s">
        <v>53</v>
      </c>
      <c r="K133" s="8" t="n">
        <v>6</v>
      </c>
      <c r="L133" s="8" t="n">
        <v>101</v>
      </c>
      <c r="M133" s="8" t="n">
        <v>3</v>
      </c>
      <c r="N133" s="8" t="n">
        <v>35</v>
      </c>
      <c r="O133" s="8" t="n">
        <v>3</v>
      </c>
      <c r="P133" s="9" t="n">
        <v>16.1728068455928</v>
      </c>
      <c r="Q133" s="10" t="n">
        <v>0.0618321859370073</v>
      </c>
      <c r="R133" s="9" t="n">
        <v>13</v>
      </c>
      <c r="S133" s="13" t="n">
        <f aca="false">IF(AND(ISNUMBER(R133),R133&gt;1,P133&gt;0),R133/P133-1,"")</f>
        <v>-0.196181582818905</v>
      </c>
      <c r="T133" s="9" t="n">
        <f aca="false">IF(AND(ISNUMBER(P133),P133&gt;0),P133*EXP('Read me'!$B$22),"")</f>
        <v>19.7535108883987</v>
      </c>
    </row>
    <row r="134" customFormat="false" ht="15" hidden="false" customHeight="false" outlineLevel="0" collapsed="false">
      <c r="A134" s="11" t="s">
        <v>136</v>
      </c>
      <c r="B134" s="11" t="s">
        <v>49</v>
      </c>
      <c r="C134" s="11" t="s">
        <v>137</v>
      </c>
      <c r="D134" s="11"/>
      <c r="E134" s="12" t="n">
        <v>17</v>
      </c>
      <c r="F134" s="11" t="s">
        <v>211</v>
      </c>
      <c r="G134" s="8" t="n">
        <v>30</v>
      </c>
      <c r="H134" s="11" t="s">
        <v>409</v>
      </c>
      <c r="I134" s="11" t="s">
        <v>283</v>
      </c>
      <c r="J134" s="11" t="s">
        <v>216</v>
      </c>
      <c r="K134" s="8" t="n">
        <v>12</v>
      </c>
      <c r="L134" s="8" t="n">
        <v>94</v>
      </c>
      <c r="M134" s="8" t="n">
        <v>5</v>
      </c>
      <c r="N134" s="8" t="n">
        <v>103</v>
      </c>
      <c r="O134" s="8" t="n">
        <v>4</v>
      </c>
      <c r="P134" s="9" t="n">
        <v>17.678092672389</v>
      </c>
      <c r="Q134" s="10" t="n">
        <v>0.0565671884706135</v>
      </c>
      <c r="R134" s="9" t="n">
        <v>9</v>
      </c>
      <c r="S134" s="13" t="n">
        <f aca="false">IF(AND(ISNUMBER(R134),R134&gt;1,P134&gt;0),R134/P134-1,"")</f>
        <v>-0.490895303764479</v>
      </c>
      <c r="T134" s="9" t="n">
        <f aca="false">IF(AND(ISNUMBER(P134),P134&gt;0),P134*EXP('Read me'!$B$22),"")</f>
        <v>21.592071149067</v>
      </c>
    </row>
    <row r="135" customFormat="false" ht="15" hidden="false" customHeight="false" outlineLevel="0" collapsed="false">
      <c r="A135" s="11" t="s">
        <v>136</v>
      </c>
      <c r="B135" s="11" t="s">
        <v>49</v>
      </c>
      <c r="C135" s="11" t="s">
        <v>137</v>
      </c>
      <c r="D135" s="11"/>
      <c r="E135" s="12" t="n">
        <v>17</v>
      </c>
      <c r="F135" s="11" t="s">
        <v>211</v>
      </c>
      <c r="G135" s="8" t="n">
        <v>30</v>
      </c>
      <c r="H135" s="11" t="s">
        <v>410</v>
      </c>
      <c r="I135" s="11" t="s">
        <v>272</v>
      </c>
      <c r="J135" s="11" t="s">
        <v>411</v>
      </c>
      <c r="K135" s="8" t="n">
        <v>13</v>
      </c>
      <c r="L135" s="8" t="n">
        <v>94</v>
      </c>
      <c r="M135" s="8" t="n">
        <v>5</v>
      </c>
      <c r="N135" s="8" t="n">
        <v>152</v>
      </c>
      <c r="O135" s="8" t="n">
        <v>5</v>
      </c>
      <c r="P135" s="9" t="n">
        <v>18.2129378265884</v>
      </c>
      <c r="Q135" s="10" t="n">
        <v>0.0549060239221889</v>
      </c>
      <c r="R135" s="9" t="n">
        <v>9</v>
      </c>
      <c r="S135" s="13" t="n">
        <f aca="false">IF(AND(ISNUMBER(R135),R135&gt;1,P135&gt;0),R135/P135-1,"")</f>
        <v>-0.5058457847003</v>
      </c>
      <c r="T135" s="9" t="n">
        <f aca="false">IF(AND(ISNUMBER(P135),P135&gt;0),P135*EXP('Read me'!$B$22),"")</f>
        <v>22.2453324955947</v>
      </c>
    </row>
    <row r="136" customFormat="false" ht="15" hidden="false" customHeight="false" outlineLevel="0" collapsed="false">
      <c r="A136" s="11" t="s">
        <v>136</v>
      </c>
      <c r="B136" s="11" t="s">
        <v>49</v>
      </c>
      <c r="C136" s="11" t="s">
        <v>137</v>
      </c>
      <c r="D136" s="11"/>
      <c r="E136" s="12" t="n">
        <v>17</v>
      </c>
      <c r="F136" s="11" t="s">
        <v>211</v>
      </c>
      <c r="G136" s="8" t="n">
        <v>30</v>
      </c>
      <c r="H136" s="11" t="s">
        <v>412</v>
      </c>
      <c r="I136" s="11" t="s">
        <v>231</v>
      </c>
      <c r="J136" s="11" t="s">
        <v>140</v>
      </c>
      <c r="K136" s="8" t="n">
        <v>27</v>
      </c>
      <c r="L136" s="8" t="n">
        <v>89</v>
      </c>
      <c r="M136" s="8" t="n">
        <v>4</v>
      </c>
      <c r="N136" s="8" t="n">
        <v>36</v>
      </c>
      <c r="O136" s="8" t="n">
        <v>6</v>
      </c>
      <c r="P136" s="9" t="n">
        <v>18.7517877595755</v>
      </c>
      <c r="Q136" s="10" t="n">
        <v>0.0533282486353525</v>
      </c>
      <c r="R136" s="9" t="n">
        <v>19</v>
      </c>
      <c r="S136" s="13" t="n">
        <f aca="false">IF(AND(ISNUMBER(R136),R136&gt;1,P136&gt;0),R136/P136-1,"")</f>
        <v>0.0132367240716984</v>
      </c>
      <c r="T136" s="9" t="n">
        <f aca="false">IF(AND(ISNUMBER(P136),P136&gt;0),P136*EXP('Read me'!$B$22),"")</f>
        <v>22.9034852899796</v>
      </c>
    </row>
    <row r="137" customFormat="false" ht="15" hidden="false" customHeight="false" outlineLevel="0" collapsed="false">
      <c r="A137" s="11" t="s">
        <v>136</v>
      </c>
      <c r="B137" s="11" t="s">
        <v>49</v>
      </c>
      <c r="C137" s="11" t="s">
        <v>137</v>
      </c>
      <c r="D137" s="11"/>
      <c r="E137" s="12" t="n">
        <v>17</v>
      </c>
      <c r="F137" s="11" t="s">
        <v>211</v>
      </c>
      <c r="G137" s="8" t="n">
        <v>30</v>
      </c>
      <c r="H137" s="11" t="s">
        <v>413</v>
      </c>
      <c r="I137" s="11" t="s">
        <v>414</v>
      </c>
      <c r="J137" s="11" t="s">
        <v>128</v>
      </c>
      <c r="K137" s="8" t="n">
        <v>5</v>
      </c>
      <c r="L137" s="8" t="n">
        <v>97</v>
      </c>
      <c r="M137" s="8" t="n">
        <v>4</v>
      </c>
      <c r="N137" s="8" t="n">
        <v>58</v>
      </c>
      <c r="O137" s="8" t="n">
        <v>7</v>
      </c>
      <c r="P137" s="9" t="n">
        <v>18.9558771604496</v>
      </c>
      <c r="Q137" s="10" t="n">
        <v>0.0527540873754154</v>
      </c>
      <c r="R137" s="9" t="n">
        <v>11</v>
      </c>
      <c r="S137" s="13" t="n">
        <f aca="false">IF(AND(ISNUMBER(R137),R137&gt;1,P137&gt;0),R137/P137-1,"")</f>
        <v>-0.41970503887043</v>
      </c>
      <c r="T137" s="9" t="n">
        <f aca="false">IF(AND(ISNUMBER(P137),P137&gt;0),P137*EXP('Read me'!$B$22),"")</f>
        <v>23.1527606471185</v>
      </c>
    </row>
    <row r="138" customFormat="false" ht="15" hidden="false" customHeight="false" outlineLevel="0" collapsed="false">
      <c r="A138" s="11" t="s">
        <v>136</v>
      </c>
      <c r="B138" s="11" t="s">
        <v>49</v>
      </c>
      <c r="C138" s="11" t="s">
        <v>137</v>
      </c>
      <c r="D138" s="11"/>
      <c r="E138" s="12" t="n">
        <v>17</v>
      </c>
      <c r="F138" s="11" t="s">
        <v>211</v>
      </c>
      <c r="G138" s="8" t="n">
        <v>30</v>
      </c>
      <c r="H138" s="11" t="s">
        <v>415</v>
      </c>
      <c r="I138" s="11" t="s">
        <v>327</v>
      </c>
      <c r="J138" s="11" t="s">
        <v>416</v>
      </c>
      <c r="K138" s="8" t="n">
        <v>9</v>
      </c>
      <c r="L138" s="8" t="n">
        <v>92</v>
      </c>
      <c r="M138" s="8" t="n">
        <v>5</v>
      </c>
      <c r="N138" s="8" t="n">
        <v>15</v>
      </c>
      <c r="O138" s="8" t="n">
        <v>8</v>
      </c>
      <c r="P138" s="9" t="n">
        <v>23.6307229721084</v>
      </c>
      <c r="Q138" s="10" t="n">
        <v>0.0423177911729704</v>
      </c>
      <c r="R138" s="9" t="n">
        <v>29</v>
      </c>
      <c r="S138" s="13" t="n">
        <f aca="false">IF(AND(ISNUMBER(R138),R138&gt;1,P138&gt;0),R138/P138-1,"")</f>
        <v>0.227215944016142</v>
      </c>
      <c r="T138" s="9" t="n">
        <f aca="false">IF(AND(ISNUMBER(P138),P138&gt;0),P138*EXP('Read me'!$B$22),"")</f>
        <v>28.8626302154521</v>
      </c>
    </row>
    <row r="139" customFormat="false" ht="15" hidden="false" customHeight="false" outlineLevel="0" collapsed="false">
      <c r="A139" s="11" t="s">
        <v>136</v>
      </c>
      <c r="B139" s="11" t="s">
        <v>49</v>
      </c>
      <c r="C139" s="11" t="s">
        <v>137</v>
      </c>
      <c r="D139" s="11"/>
      <c r="E139" s="12" t="n">
        <v>17</v>
      </c>
      <c r="F139" s="11" t="s">
        <v>211</v>
      </c>
      <c r="G139" s="8" t="n">
        <v>30</v>
      </c>
      <c r="H139" s="11" t="s">
        <v>417</v>
      </c>
      <c r="I139" s="11" t="s">
        <v>418</v>
      </c>
      <c r="J139" s="11" t="s">
        <v>140</v>
      </c>
      <c r="K139" s="8" t="n">
        <v>3</v>
      </c>
      <c r="L139" s="8" t="n">
        <v>88</v>
      </c>
      <c r="M139" s="8" t="n">
        <v>5</v>
      </c>
      <c r="N139" s="8" t="n">
        <v>49</v>
      </c>
      <c r="O139" s="8" t="n">
        <v>9</v>
      </c>
      <c r="P139" s="9" t="n">
        <v>25.173199923967</v>
      </c>
      <c r="Q139" s="10" t="n">
        <v>0.03972478679788</v>
      </c>
      <c r="R139" s="9" t="n">
        <v>34</v>
      </c>
      <c r="S139" s="13" t="n">
        <f aca="false">IF(AND(ISNUMBER(R139),R139&gt;1,P139&gt;0),R139/P139-1,"")</f>
        <v>0.350642751127922</v>
      </c>
      <c r="T139" s="9" t="n">
        <f aca="false">IF(AND(ISNUMBER(P139),P139&gt;0),P139*EXP('Read me'!$B$22),"")</f>
        <v>30.7466158188507</v>
      </c>
    </row>
    <row r="140" customFormat="false" ht="15" hidden="false" customHeight="false" outlineLevel="0" collapsed="false">
      <c r="A140" s="11" t="s">
        <v>136</v>
      </c>
      <c r="B140" s="11" t="s">
        <v>49</v>
      </c>
      <c r="C140" s="11" t="s">
        <v>137</v>
      </c>
      <c r="D140" s="11"/>
      <c r="E140" s="12" t="n">
        <v>17</v>
      </c>
      <c r="F140" s="11" t="s">
        <v>211</v>
      </c>
      <c r="G140" s="8" t="n">
        <v>30</v>
      </c>
      <c r="H140" s="11" t="s">
        <v>419</v>
      </c>
      <c r="I140" s="11" t="s">
        <v>324</v>
      </c>
      <c r="J140" s="11" t="s">
        <v>140</v>
      </c>
      <c r="K140" s="8" t="n">
        <v>20</v>
      </c>
      <c r="L140" s="8" t="n">
        <v>89</v>
      </c>
      <c r="M140" s="8" t="n">
        <v>5</v>
      </c>
      <c r="N140" s="8" t="n">
        <v>37</v>
      </c>
      <c r="O140" s="8" t="n">
        <v>10</v>
      </c>
      <c r="P140" s="9" t="n">
        <v>25.558182824285</v>
      </c>
      <c r="Q140" s="10" t="n">
        <v>0.0391264123461006</v>
      </c>
      <c r="R140" s="9" t="n">
        <v>12</v>
      </c>
      <c r="S140" s="13" t="n">
        <f aca="false">IF(AND(ISNUMBER(R140),R140&gt;1,P140&gt;0),R140/P140-1,"")</f>
        <v>-0.530483051846792</v>
      </c>
      <c r="T140" s="9" t="n">
        <f aca="false">IF(AND(ISNUMBER(P140),P140&gt;0),P140*EXP('Read me'!$B$22),"")</f>
        <v>31.2168349951435</v>
      </c>
    </row>
    <row r="141" customFormat="false" ht="15" hidden="false" customHeight="false" outlineLevel="0" collapsed="false">
      <c r="A141" s="11" t="s">
        <v>136</v>
      </c>
      <c r="B141" s="11" t="s">
        <v>49</v>
      </c>
      <c r="C141" s="11" t="s">
        <v>137</v>
      </c>
      <c r="D141" s="11"/>
      <c r="E141" s="12" t="n">
        <v>17</v>
      </c>
      <c r="F141" s="11" t="s">
        <v>211</v>
      </c>
      <c r="G141" s="8" t="n">
        <v>30</v>
      </c>
      <c r="H141" s="11" t="s">
        <v>420</v>
      </c>
      <c r="I141" s="11" t="s">
        <v>223</v>
      </c>
      <c r="J141" s="11" t="s">
        <v>140</v>
      </c>
      <c r="K141" s="8" t="n">
        <v>29</v>
      </c>
      <c r="L141" s="8" t="n">
        <v>92</v>
      </c>
      <c r="M141" s="8" t="n">
        <v>5</v>
      </c>
      <c r="N141" s="8" t="n">
        <v>19</v>
      </c>
      <c r="O141" s="8" t="n">
        <v>11</v>
      </c>
      <c r="P141" s="9" t="n">
        <v>26.1220669207896</v>
      </c>
      <c r="Q141" s="10" t="n">
        <v>0.0382818098978277</v>
      </c>
      <c r="R141" s="9" t="n">
        <v>26</v>
      </c>
      <c r="S141" s="13" t="n">
        <f aca="false">IF(AND(ISNUMBER(R141),R141&gt;1,P141&gt;0),R141/P141-1,"")</f>
        <v>-0.00467294265647911</v>
      </c>
      <c r="T141" s="9" t="n">
        <f aca="false">IF(AND(ISNUMBER(P141),P141&gt;0),P141*EXP('Read me'!$B$22),"")</f>
        <v>31.9055645858969</v>
      </c>
    </row>
    <row r="142" customFormat="false" ht="15" hidden="false" customHeight="false" outlineLevel="0" collapsed="false">
      <c r="A142" s="11" t="s">
        <v>136</v>
      </c>
      <c r="B142" s="11" t="s">
        <v>49</v>
      </c>
      <c r="C142" s="11" t="s">
        <v>137</v>
      </c>
      <c r="D142" s="11"/>
      <c r="E142" s="12" t="n">
        <v>17</v>
      </c>
      <c r="F142" s="11" t="s">
        <v>211</v>
      </c>
      <c r="G142" s="8" t="n">
        <v>30</v>
      </c>
      <c r="H142" s="11" t="s">
        <v>421</v>
      </c>
      <c r="I142" s="11" t="s">
        <v>155</v>
      </c>
      <c r="J142" s="11" t="s">
        <v>407</v>
      </c>
      <c r="K142" s="8" t="n">
        <v>23</v>
      </c>
      <c r="L142" s="8" t="n">
        <v>90</v>
      </c>
      <c r="M142" s="8" t="n">
        <v>7</v>
      </c>
      <c r="N142" s="8" t="n">
        <v>62</v>
      </c>
      <c r="O142" s="8" t="n">
        <v>12</v>
      </c>
      <c r="P142" s="9" t="n">
        <v>27.2466319008634</v>
      </c>
      <c r="Q142" s="10" t="n">
        <v>0.0367017840457672</v>
      </c>
      <c r="R142" s="9" t="n">
        <v>23</v>
      </c>
      <c r="S142" s="13" t="n">
        <f aca="false">IF(AND(ISNUMBER(R142),R142&gt;1,P142&gt;0),R142/P142-1,"")</f>
        <v>-0.155858966947353</v>
      </c>
      <c r="T142" s="9" t="n">
        <f aca="false">IF(AND(ISNUMBER(P142),P142&gt;0),P142*EXP('Read me'!$B$22),"")</f>
        <v>33.2791113542894</v>
      </c>
    </row>
    <row r="143" customFormat="false" ht="15" hidden="false" customHeight="false" outlineLevel="0" collapsed="false">
      <c r="A143" s="11" t="s">
        <v>136</v>
      </c>
      <c r="B143" s="11" t="s">
        <v>49</v>
      </c>
      <c r="C143" s="11" t="s">
        <v>137</v>
      </c>
      <c r="D143" s="11"/>
      <c r="E143" s="12" t="n">
        <v>17</v>
      </c>
      <c r="F143" s="11" t="s">
        <v>211</v>
      </c>
      <c r="G143" s="8" t="n">
        <v>30</v>
      </c>
      <c r="H143" s="11" t="s">
        <v>422</v>
      </c>
      <c r="I143" s="11" t="s">
        <v>228</v>
      </c>
      <c r="J143" s="11" t="s">
        <v>423</v>
      </c>
      <c r="K143" s="8" t="n">
        <v>31</v>
      </c>
      <c r="L143" s="8" t="n">
        <v>100</v>
      </c>
      <c r="M143" s="8" t="n">
        <v>6</v>
      </c>
      <c r="N143" s="8" t="n">
        <v>15</v>
      </c>
      <c r="O143" s="8" t="n">
        <v>13</v>
      </c>
      <c r="P143" s="9" t="n">
        <v>27.8454016493908</v>
      </c>
      <c r="Q143" s="10" t="n">
        <v>0.0359125723015698</v>
      </c>
      <c r="R143" s="9" t="n">
        <v>51</v>
      </c>
      <c r="S143" s="13" t="n">
        <f aca="false">IF(AND(ISNUMBER(R143),R143&gt;1,P143&gt;0),R143/P143-1,"")</f>
        <v>0.831541187380061</v>
      </c>
      <c r="T143" s="9" t="n">
        <f aca="false">IF(AND(ISNUMBER(P143),P143&gt;0),P143*EXP('Read me'!$B$22),"")</f>
        <v>34.0104503766437</v>
      </c>
    </row>
    <row r="144" customFormat="false" ht="15" hidden="false" customHeight="false" outlineLevel="0" collapsed="false">
      <c r="A144" s="11" t="s">
        <v>136</v>
      </c>
      <c r="B144" s="11" t="s">
        <v>49</v>
      </c>
      <c r="C144" s="11" t="s">
        <v>137</v>
      </c>
      <c r="D144" s="11"/>
      <c r="E144" s="12" t="n">
        <v>17</v>
      </c>
      <c r="F144" s="11" t="s">
        <v>211</v>
      </c>
      <c r="G144" s="8" t="n">
        <v>30</v>
      </c>
      <c r="H144" s="11" t="s">
        <v>424</v>
      </c>
      <c r="I144" s="11" t="s">
        <v>121</v>
      </c>
      <c r="J144" s="11" t="s">
        <v>407</v>
      </c>
      <c r="K144" s="8" t="n">
        <v>24</v>
      </c>
      <c r="L144" s="8" t="n">
        <v>96</v>
      </c>
      <c r="M144" s="8" t="n">
        <v>6</v>
      </c>
      <c r="N144" s="8" t="n">
        <v>34</v>
      </c>
      <c r="O144" s="8" t="n">
        <v>14</v>
      </c>
      <c r="P144" s="9" t="n">
        <v>30.2414697501682</v>
      </c>
      <c r="Q144" s="10" t="n">
        <v>0.0330671759098097</v>
      </c>
      <c r="R144" s="9" t="n">
        <v>23</v>
      </c>
      <c r="S144" s="13" t="n">
        <f aca="false">IF(AND(ISNUMBER(R144),R144&gt;1,P144&gt;0),R144/P144-1,"")</f>
        <v>-0.239454954074377</v>
      </c>
      <c r="T144" s="9" t="n">
        <f aca="false">IF(AND(ISNUMBER(P144),P144&gt;0),P144*EXP('Read me'!$B$22),"")</f>
        <v>36.9370145636728</v>
      </c>
    </row>
    <row r="145" customFormat="false" ht="15" hidden="false" customHeight="false" outlineLevel="0" collapsed="false">
      <c r="A145" s="11" t="s">
        <v>136</v>
      </c>
      <c r="B145" s="11" t="s">
        <v>49</v>
      </c>
      <c r="C145" s="11" t="s">
        <v>137</v>
      </c>
      <c r="D145" s="11"/>
      <c r="E145" s="12" t="n">
        <v>17</v>
      </c>
      <c r="F145" s="11" t="s">
        <v>211</v>
      </c>
      <c r="G145" s="8" t="n">
        <v>30</v>
      </c>
      <c r="H145" s="11" t="s">
        <v>425</v>
      </c>
      <c r="I145" s="11" t="s">
        <v>274</v>
      </c>
      <c r="J145" s="11" t="s">
        <v>140</v>
      </c>
      <c r="K145" s="8" t="n">
        <v>15</v>
      </c>
      <c r="L145" s="8" t="n">
        <v>98</v>
      </c>
      <c r="M145" s="8" t="n">
        <v>3</v>
      </c>
      <c r="N145" s="8" t="n">
        <v>99</v>
      </c>
      <c r="O145" s="8" t="n">
        <v>15</v>
      </c>
      <c r="P145" s="9" t="n">
        <v>30.6142013488794</v>
      </c>
      <c r="Q145" s="10" t="n">
        <v>0.0326645790495725</v>
      </c>
      <c r="R145" s="9" t="n">
        <v>21</v>
      </c>
      <c r="S145" s="13" t="n">
        <f aca="false">IF(AND(ISNUMBER(R145),R145&gt;1,P145&gt;0),R145/P145-1,"")</f>
        <v>-0.314043839958977</v>
      </c>
      <c r="T145" s="9" t="n">
        <f aca="false">IF(AND(ISNUMBER(P145),P145&gt;0),P145*EXP('Read me'!$B$22),"")</f>
        <v>37.3922699663921</v>
      </c>
    </row>
    <row r="146" customFormat="false" ht="15" hidden="false" customHeight="false" outlineLevel="0" collapsed="false">
      <c r="A146" s="11" t="s">
        <v>136</v>
      </c>
      <c r="B146" s="11" t="s">
        <v>49</v>
      </c>
      <c r="C146" s="11" t="s">
        <v>137</v>
      </c>
      <c r="D146" s="11"/>
      <c r="E146" s="12" t="n">
        <v>17</v>
      </c>
      <c r="F146" s="11" t="s">
        <v>211</v>
      </c>
      <c r="G146" s="8" t="n">
        <v>30</v>
      </c>
      <c r="H146" s="11" t="s">
        <v>426</v>
      </c>
      <c r="I146" s="11" t="s">
        <v>427</v>
      </c>
      <c r="J146" s="11" t="s">
        <v>428</v>
      </c>
      <c r="K146" s="8" t="n">
        <v>21</v>
      </c>
      <c r="L146" s="8" t="n">
        <v>109</v>
      </c>
      <c r="M146" s="8" t="n">
        <v>8</v>
      </c>
      <c r="N146" s="8" t="n">
        <v>89</v>
      </c>
      <c r="O146" s="8" t="n">
        <v>16</v>
      </c>
      <c r="P146" s="9" t="n">
        <v>31.6600325152808</v>
      </c>
      <c r="Q146" s="10" t="n">
        <v>0.0315855645289482</v>
      </c>
      <c r="R146" s="9" t="n">
        <v>13</v>
      </c>
      <c r="S146" s="13" t="n">
        <f aca="false">IF(AND(ISNUMBER(R146),R146&gt;1,P146&gt;0),R146/P146-1,"")</f>
        <v>-0.589387661123673</v>
      </c>
      <c r="T146" s="9" t="n">
        <f aca="false">IF(AND(ISNUMBER(P146),P146&gt;0),P146*EXP('Read me'!$B$22),"")</f>
        <v>38.6696510376046</v>
      </c>
    </row>
    <row r="147" customFormat="false" ht="15" hidden="false" customHeight="false" outlineLevel="0" collapsed="false">
      <c r="A147" s="11" t="s">
        <v>136</v>
      </c>
      <c r="B147" s="11" t="s">
        <v>49</v>
      </c>
      <c r="C147" s="11" t="s">
        <v>137</v>
      </c>
      <c r="D147" s="11"/>
      <c r="E147" s="12" t="n">
        <v>17</v>
      </c>
      <c r="F147" s="11" t="s">
        <v>211</v>
      </c>
      <c r="G147" s="8" t="n">
        <v>30</v>
      </c>
      <c r="H147" s="11" t="s">
        <v>429</v>
      </c>
      <c r="I147" s="11" t="s">
        <v>218</v>
      </c>
      <c r="J147" s="11" t="s">
        <v>140</v>
      </c>
      <c r="K147" s="8" t="n">
        <v>1</v>
      </c>
      <c r="L147" s="8" t="n">
        <v>104</v>
      </c>
      <c r="M147" s="8" t="n">
        <v>8</v>
      </c>
      <c r="N147" s="8" t="n">
        <v>99</v>
      </c>
      <c r="O147" s="8" t="n">
        <v>17</v>
      </c>
      <c r="P147" s="9" t="n">
        <v>37.4138682024143</v>
      </c>
      <c r="Q147" s="10" t="n">
        <v>0.0267280569490933</v>
      </c>
      <c r="R147" s="9" t="n">
        <v>41</v>
      </c>
      <c r="S147" s="13" t="n">
        <f aca="false">IF(AND(ISNUMBER(R147),R147&gt;1,P147&gt;0),R147/P147-1,"")</f>
        <v>0.0958503349128255</v>
      </c>
      <c r="T147" s="9" t="n">
        <f aca="false">IF(AND(ISNUMBER(P147),P147&gt;0),P147*EXP('Read me'!$B$22),"")</f>
        <v>45.6974018158699</v>
      </c>
    </row>
    <row r="148" customFormat="false" ht="15" hidden="false" customHeight="false" outlineLevel="0" collapsed="false">
      <c r="A148" s="11" t="s">
        <v>136</v>
      </c>
      <c r="B148" s="11" t="s">
        <v>49</v>
      </c>
      <c r="C148" s="11" t="s">
        <v>137</v>
      </c>
      <c r="D148" s="11"/>
      <c r="E148" s="12" t="n">
        <v>17</v>
      </c>
      <c r="F148" s="11" t="s">
        <v>211</v>
      </c>
      <c r="G148" s="8" t="n">
        <v>30</v>
      </c>
      <c r="H148" s="11" t="s">
        <v>430</v>
      </c>
      <c r="I148" s="11" t="s">
        <v>431</v>
      </c>
      <c r="J148" s="11" t="s">
        <v>432</v>
      </c>
      <c r="K148" s="8" t="n">
        <v>11</v>
      </c>
      <c r="L148" s="8" t="n">
        <v>92</v>
      </c>
      <c r="M148" s="8" t="n">
        <v>6</v>
      </c>
      <c r="N148" s="8" t="n">
        <v>37</v>
      </c>
      <c r="O148" s="8" t="n">
        <v>18</v>
      </c>
      <c r="P148" s="9" t="n">
        <v>41.1120902325008</v>
      </c>
      <c r="Q148" s="10" t="n">
        <v>0.0243237450186723</v>
      </c>
      <c r="R148" s="9" t="n">
        <v>67</v>
      </c>
      <c r="S148" s="13" t="n">
        <f aca="false">IF(AND(ISNUMBER(R148),R148&gt;1,P148&gt;0),R148/P148-1,"")</f>
        <v>0.629690916251047</v>
      </c>
      <c r="T148" s="9" t="n">
        <f aca="false">IF(AND(ISNUMBER(P148),P148&gt;0),P148*EXP('Read me'!$B$22),"")</f>
        <v>50.2144204037063</v>
      </c>
    </row>
    <row r="149" customFormat="false" ht="15" hidden="false" customHeight="false" outlineLevel="0" collapsed="false">
      <c r="A149" s="11" t="s">
        <v>136</v>
      </c>
      <c r="B149" s="11" t="s">
        <v>49</v>
      </c>
      <c r="C149" s="11" t="s">
        <v>137</v>
      </c>
      <c r="D149" s="11"/>
      <c r="E149" s="12" t="n">
        <v>17</v>
      </c>
      <c r="F149" s="11" t="s">
        <v>211</v>
      </c>
      <c r="G149" s="8" t="n">
        <v>30</v>
      </c>
      <c r="H149" s="11" t="s">
        <v>433</v>
      </c>
      <c r="I149" s="11" t="s">
        <v>332</v>
      </c>
      <c r="J149" s="11" t="s">
        <v>407</v>
      </c>
      <c r="K149" s="8" t="n">
        <v>19</v>
      </c>
      <c r="L149" s="8" t="n">
        <v>88</v>
      </c>
      <c r="M149" s="8" t="n">
        <v>5</v>
      </c>
      <c r="N149" s="8" t="n">
        <v>15</v>
      </c>
      <c r="O149" s="8" t="n">
        <v>19</v>
      </c>
      <c r="P149" s="9" t="n">
        <v>41.5272208642201</v>
      </c>
      <c r="Q149" s="10" t="n">
        <v>0.0240805904943569</v>
      </c>
      <c r="R149" s="9" t="n">
        <v>29</v>
      </c>
      <c r="S149" s="13" t="n">
        <f aca="false">IF(AND(ISNUMBER(R149),R149&gt;1,P149&gt;0),R149/P149-1,"")</f>
        <v>-0.301662875663649</v>
      </c>
      <c r="T149" s="9" t="n">
        <f aca="false">IF(AND(ISNUMBER(P149),P149&gt;0),P149*EXP('Read me'!$B$22),"")</f>
        <v>50.721462102285</v>
      </c>
    </row>
    <row r="150" customFormat="false" ht="15" hidden="false" customHeight="false" outlineLevel="0" collapsed="false">
      <c r="A150" s="11" t="s">
        <v>136</v>
      </c>
      <c r="B150" s="11" t="s">
        <v>49</v>
      </c>
      <c r="C150" s="11" t="s">
        <v>137</v>
      </c>
      <c r="D150" s="11"/>
      <c r="E150" s="12" t="n">
        <v>17</v>
      </c>
      <c r="F150" s="11" t="s">
        <v>211</v>
      </c>
      <c r="G150" s="8" t="n">
        <v>30</v>
      </c>
      <c r="H150" s="11" t="s">
        <v>434</v>
      </c>
      <c r="I150" s="11" t="s">
        <v>104</v>
      </c>
      <c r="J150" s="11" t="s">
        <v>140</v>
      </c>
      <c r="K150" s="8" t="n">
        <v>4</v>
      </c>
      <c r="L150" s="8" t="n">
        <v>105</v>
      </c>
      <c r="M150" s="8" t="n">
        <v>5</v>
      </c>
      <c r="N150" s="8" t="n">
        <v>14</v>
      </c>
      <c r="O150" s="8" t="n">
        <v>20</v>
      </c>
      <c r="P150" s="9" t="n">
        <v>50.4314023071799</v>
      </c>
      <c r="Q150" s="10" t="n">
        <v>0.0198289152046369</v>
      </c>
      <c r="R150" s="9" t="n">
        <v>41</v>
      </c>
      <c r="S150" s="13" t="n">
        <f aca="false">IF(AND(ISNUMBER(R150),R150&gt;1,P150&gt;0),R150/P150-1,"")</f>
        <v>-0.187014476609886</v>
      </c>
      <c r="T150" s="9" t="n">
        <f aca="false">IF(AND(ISNUMBER(P150),P150&gt;0),P150*EXP('Read me'!$B$22),"")</f>
        <v>61.5970538758746</v>
      </c>
    </row>
    <row r="151" customFormat="false" ht="15" hidden="false" customHeight="false" outlineLevel="0" collapsed="false">
      <c r="A151" s="11" t="s">
        <v>136</v>
      </c>
      <c r="B151" s="11" t="s">
        <v>49</v>
      </c>
      <c r="C151" s="11" t="s">
        <v>137</v>
      </c>
      <c r="D151" s="11"/>
      <c r="E151" s="12" t="n">
        <v>17</v>
      </c>
      <c r="F151" s="11" t="s">
        <v>211</v>
      </c>
      <c r="G151" s="8" t="n">
        <v>30</v>
      </c>
      <c r="H151" s="11" t="s">
        <v>435</v>
      </c>
      <c r="I151" s="11" t="s">
        <v>341</v>
      </c>
      <c r="J151" s="11" t="s">
        <v>436</v>
      </c>
      <c r="K151" s="8" t="n">
        <v>10</v>
      </c>
      <c r="L151" s="8" t="n">
        <v>89</v>
      </c>
      <c r="M151" s="8" t="n">
        <v>7</v>
      </c>
      <c r="N151" s="8" t="n">
        <v>37</v>
      </c>
      <c r="O151" s="8" t="n">
        <v>21</v>
      </c>
      <c r="P151" s="9" t="n">
        <v>59.8058936657537</v>
      </c>
      <c r="Q151" s="10" t="n">
        <v>0.0167207600907839</v>
      </c>
      <c r="R151" s="9" t="n">
        <v>41</v>
      </c>
      <c r="S151" s="13" t="n">
        <f aca="false">IF(AND(ISNUMBER(R151),R151&gt;1,P151&gt;0),R151/P151-1,"")</f>
        <v>-0.31444883627786</v>
      </c>
      <c r="T151" s="9" t="n">
        <f aca="false">IF(AND(ISNUMBER(P151),P151&gt;0),P151*EXP('Read me'!$B$22),"")</f>
        <v>73.0470834775854</v>
      </c>
    </row>
    <row r="152" customFormat="false" ht="15" hidden="false" customHeight="false" outlineLevel="0" collapsed="false">
      <c r="A152" s="11" t="s">
        <v>136</v>
      </c>
      <c r="B152" s="11" t="s">
        <v>49</v>
      </c>
      <c r="C152" s="11" t="s">
        <v>137</v>
      </c>
      <c r="D152" s="11"/>
      <c r="E152" s="12" t="n">
        <v>17</v>
      </c>
      <c r="F152" s="11" t="s">
        <v>211</v>
      </c>
      <c r="G152" s="8" t="n">
        <v>30</v>
      </c>
      <c r="H152" s="11" t="s">
        <v>437</v>
      </c>
      <c r="I152" s="11" t="s">
        <v>438</v>
      </c>
      <c r="J152" s="11" t="s">
        <v>140</v>
      </c>
      <c r="K152" s="8" t="n">
        <v>32</v>
      </c>
      <c r="L152" s="8" t="n">
        <v>98</v>
      </c>
      <c r="M152" s="8" t="n">
        <v>7</v>
      </c>
      <c r="N152" s="8" t="n">
        <v>15</v>
      </c>
      <c r="O152" s="8" t="n">
        <v>22</v>
      </c>
      <c r="P152" s="9" t="n">
        <v>60.1692366150729</v>
      </c>
      <c r="Q152" s="10" t="n">
        <v>0.0166197887202293</v>
      </c>
      <c r="R152" s="9" t="n">
        <v>41</v>
      </c>
      <c r="S152" s="13" t="n">
        <f aca="false">IF(AND(ISNUMBER(R152),R152&gt;1,P152&gt;0),R152/P152-1,"")</f>
        <v>-0.318588662470596</v>
      </c>
      <c r="T152" s="9" t="n">
        <f aca="false">IF(AND(ISNUMBER(P152),P152&gt;0),P152*EXP('Read me'!$B$22),"")</f>
        <v>73.4908715580419</v>
      </c>
    </row>
    <row r="153" customFormat="false" ht="15" hidden="false" customHeight="false" outlineLevel="0" collapsed="false">
      <c r="A153" s="11" t="s">
        <v>136</v>
      </c>
      <c r="B153" s="11" t="s">
        <v>49</v>
      </c>
      <c r="C153" s="11" t="s">
        <v>137</v>
      </c>
      <c r="D153" s="11"/>
      <c r="E153" s="12" t="n">
        <v>17</v>
      </c>
      <c r="F153" s="11" t="s">
        <v>211</v>
      </c>
      <c r="G153" s="8" t="n">
        <v>30</v>
      </c>
      <c r="H153" s="11" t="s">
        <v>439</v>
      </c>
      <c r="I153" s="11" t="s">
        <v>440</v>
      </c>
      <c r="J153" s="11" t="s">
        <v>407</v>
      </c>
      <c r="K153" s="8" t="n">
        <v>8</v>
      </c>
      <c r="L153" s="8" t="n">
        <v>107</v>
      </c>
      <c r="M153" s="8" t="n">
        <v>8</v>
      </c>
      <c r="N153" s="8" t="n">
        <v>149</v>
      </c>
      <c r="O153" s="8" t="n">
        <v>23</v>
      </c>
      <c r="P153" s="9" t="n">
        <v>61.864283674396</v>
      </c>
      <c r="Q153" s="10" t="n">
        <v>0.0161644157275496</v>
      </c>
      <c r="R153" s="9" t="n">
        <v>51</v>
      </c>
      <c r="S153" s="13" t="n">
        <f aca="false">IF(AND(ISNUMBER(R153),R153&gt;1,P153&gt;0),R153/P153-1,"")</f>
        <v>-0.175614797894968</v>
      </c>
      <c r="T153" s="9" t="n">
        <f aca="false">IF(AND(ISNUMBER(P153),P153&gt;0),P153*EXP('Read me'!$B$22),"")</f>
        <v>75.5612067115104</v>
      </c>
    </row>
    <row r="154" customFormat="false" ht="15" hidden="false" customHeight="false" outlineLevel="0" collapsed="false">
      <c r="A154" s="11" t="s">
        <v>136</v>
      </c>
      <c r="B154" s="11" t="s">
        <v>49</v>
      </c>
      <c r="C154" s="11" t="s">
        <v>137</v>
      </c>
      <c r="D154" s="11"/>
      <c r="E154" s="12" t="n">
        <v>17</v>
      </c>
      <c r="F154" s="11" t="s">
        <v>211</v>
      </c>
      <c r="G154" s="8" t="n">
        <v>30</v>
      </c>
      <c r="H154" s="11" t="s">
        <v>441</v>
      </c>
      <c r="I154" s="11" t="s">
        <v>239</v>
      </c>
      <c r="J154" s="11" t="s">
        <v>140</v>
      </c>
      <c r="K154" s="8" t="n">
        <v>17</v>
      </c>
      <c r="L154" s="8" t="n">
        <v>102</v>
      </c>
      <c r="M154" s="8" t="n">
        <v>7</v>
      </c>
      <c r="N154" s="8" t="n">
        <v>58</v>
      </c>
      <c r="O154" s="8" t="n">
        <v>24</v>
      </c>
      <c r="P154" s="9" t="n">
        <v>77.5070376902099</v>
      </c>
      <c r="Q154" s="10" t="n">
        <v>0.0129020541850267</v>
      </c>
      <c r="R154" s="9" t="n">
        <v>101</v>
      </c>
      <c r="S154" s="13" t="n">
        <f aca="false">IF(AND(ISNUMBER(R154),R154&gt;1,P154&gt;0),R154/P154-1,"")</f>
        <v>0.303107472687704</v>
      </c>
      <c r="T154" s="9" t="n">
        <f aca="false">IF(AND(ISNUMBER(P154),P154&gt;0),P154*EXP('Read me'!$B$22),"")</f>
        <v>94.6673096116466</v>
      </c>
    </row>
    <row r="155" customFormat="false" ht="15" hidden="false" customHeight="false" outlineLevel="0" collapsed="false">
      <c r="A155" s="11" t="s">
        <v>136</v>
      </c>
      <c r="B155" s="11" t="s">
        <v>49</v>
      </c>
      <c r="C155" s="11" t="s">
        <v>137</v>
      </c>
      <c r="D155" s="11"/>
      <c r="E155" s="12" t="n">
        <v>17</v>
      </c>
      <c r="F155" s="11" t="s">
        <v>211</v>
      </c>
      <c r="G155" s="8" t="n">
        <v>30</v>
      </c>
      <c r="H155" s="11" t="s">
        <v>442</v>
      </c>
      <c r="I155" s="11" t="s">
        <v>443</v>
      </c>
      <c r="J155" s="11" t="s">
        <v>140</v>
      </c>
      <c r="K155" s="8" t="n">
        <v>7</v>
      </c>
      <c r="L155" s="8" t="n">
        <v>89</v>
      </c>
      <c r="M155" s="8" t="n">
        <v>5</v>
      </c>
      <c r="N155" s="8" t="n">
        <v>53</v>
      </c>
      <c r="O155" s="8" t="n">
        <v>25</v>
      </c>
      <c r="P155" s="9" t="n">
        <v>78.4663695123352</v>
      </c>
      <c r="Q155" s="10" t="n">
        <v>0.0127443133436012</v>
      </c>
      <c r="R155" s="9" t="n">
        <v>67</v>
      </c>
      <c r="S155" s="13" t="n">
        <f aca="false">IF(AND(ISNUMBER(R155),R155&gt;1,P155&gt;0),R155/P155-1,"")</f>
        <v>-0.146131005978716</v>
      </c>
      <c r="T155" s="9" t="n">
        <f aca="false">IF(AND(ISNUMBER(P155),P155&gt;0),P155*EXP('Read me'!$B$22),"")</f>
        <v>95.8390401451813</v>
      </c>
    </row>
    <row r="156" customFormat="false" ht="15" hidden="false" customHeight="false" outlineLevel="0" collapsed="false">
      <c r="A156" s="11" t="s">
        <v>136</v>
      </c>
      <c r="B156" s="11" t="s">
        <v>49</v>
      </c>
      <c r="C156" s="11" t="s">
        <v>137</v>
      </c>
      <c r="D156" s="11"/>
      <c r="E156" s="12" t="n">
        <v>17</v>
      </c>
      <c r="F156" s="11" t="s">
        <v>211</v>
      </c>
      <c r="G156" s="8" t="n">
        <v>30</v>
      </c>
      <c r="H156" s="11" t="s">
        <v>444</v>
      </c>
      <c r="I156" s="11" t="s">
        <v>445</v>
      </c>
      <c r="J156" s="11" t="s">
        <v>436</v>
      </c>
      <c r="K156" s="8" t="n">
        <v>22</v>
      </c>
      <c r="L156" s="8" t="n">
        <v>87</v>
      </c>
      <c r="M156" s="8" t="n">
        <v>7</v>
      </c>
      <c r="N156" s="8" t="n">
        <v>58</v>
      </c>
      <c r="O156" s="8" t="n">
        <v>26</v>
      </c>
      <c r="P156" s="9" t="n">
        <v>82.9080606288102</v>
      </c>
      <c r="Q156" s="10" t="n">
        <v>0.0120615533931872</v>
      </c>
      <c r="R156" s="9" t="n">
        <v>41</v>
      </c>
      <c r="S156" s="13" t="n">
        <f aca="false">IF(AND(ISNUMBER(R156),R156&gt;1,P156&gt;0),R156/P156-1,"")</f>
        <v>-0.505476310879323</v>
      </c>
      <c r="T156" s="9" t="n">
        <f aca="false">IF(AND(ISNUMBER(P156),P156&gt;0),P156*EXP('Read me'!$B$22),"")</f>
        <v>101.264133925739</v>
      </c>
    </row>
    <row r="157" customFormat="false" ht="15" hidden="false" customHeight="false" outlineLevel="0" collapsed="false">
      <c r="A157" s="11" t="s">
        <v>136</v>
      </c>
      <c r="B157" s="11" t="s">
        <v>49</v>
      </c>
      <c r="C157" s="11" t="s">
        <v>137</v>
      </c>
      <c r="D157" s="11"/>
      <c r="E157" s="12" t="n">
        <v>17</v>
      </c>
      <c r="F157" s="11" t="s">
        <v>211</v>
      </c>
      <c r="G157" s="8" t="n">
        <v>30</v>
      </c>
      <c r="H157" s="11" t="s">
        <v>446</v>
      </c>
      <c r="I157" s="11" t="s">
        <v>386</v>
      </c>
      <c r="J157" s="11" t="s">
        <v>140</v>
      </c>
      <c r="K157" s="8" t="n">
        <v>16</v>
      </c>
      <c r="L157" s="8" t="n">
        <v>92</v>
      </c>
      <c r="M157" s="8" t="n">
        <v>4</v>
      </c>
      <c r="N157" s="8" t="n">
        <v>15</v>
      </c>
      <c r="O157" s="8" t="n">
        <v>27</v>
      </c>
      <c r="P157" s="9" t="n">
        <v>100.267280475708</v>
      </c>
      <c r="Q157" s="10" t="n">
        <v>0.0099733432008487</v>
      </c>
      <c r="R157" s="9" t="n">
        <v>41</v>
      </c>
      <c r="S157" s="13" t="n">
        <f aca="false">IF(AND(ISNUMBER(R157),R157&gt;1,P157&gt;0),R157/P157-1,"")</f>
        <v>-0.591092928765199</v>
      </c>
      <c r="T157" s="9" t="n">
        <f aca="false">IF(AND(ISNUMBER(P157),P157&gt;0),P157*EXP('Read me'!$B$22),"")</f>
        <v>122.466732926249</v>
      </c>
    </row>
    <row r="158" customFormat="false" ht="15" hidden="false" customHeight="false" outlineLevel="0" collapsed="false">
      <c r="A158" s="11" t="s">
        <v>136</v>
      </c>
      <c r="B158" s="11" t="s">
        <v>49</v>
      </c>
      <c r="C158" s="11" t="s">
        <v>137</v>
      </c>
      <c r="D158" s="11"/>
      <c r="E158" s="12" t="n">
        <v>17</v>
      </c>
      <c r="F158" s="11" t="s">
        <v>211</v>
      </c>
      <c r="G158" s="8" t="n">
        <v>30</v>
      </c>
      <c r="H158" s="11" t="s">
        <v>447</v>
      </c>
      <c r="I158" s="11" t="s">
        <v>448</v>
      </c>
      <c r="J158" s="11" t="s">
        <v>432</v>
      </c>
      <c r="K158" s="8" t="n">
        <v>28</v>
      </c>
      <c r="L158" s="8" t="n">
        <v>101</v>
      </c>
      <c r="M158" s="8" t="n">
        <v>5</v>
      </c>
      <c r="N158" s="8" t="n">
        <v>15</v>
      </c>
      <c r="O158" s="8" t="n">
        <v>28</v>
      </c>
      <c r="P158" s="9" t="n">
        <v>107.251412297937</v>
      </c>
      <c r="Q158" s="10" t="n">
        <v>0.0093238865444686</v>
      </c>
      <c r="R158" s="9" t="n">
        <v>101</v>
      </c>
      <c r="S158" s="13" t="n">
        <f aca="false">IF(AND(ISNUMBER(R158),R158&gt;1,P158&gt;0),R158/P158-1,"")</f>
        <v>-0.0582874590086645</v>
      </c>
      <c r="T158" s="9" t="n">
        <f aca="false">IF(AND(ISNUMBER(P158),P158&gt;0),P158*EXP('Read me'!$B$22),"")</f>
        <v>130.997170797274</v>
      </c>
    </row>
    <row r="159" customFormat="false" ht="15" hidden="false" customHeight="false" outlineLevel="0" collapsed="false">
      <c r="A159" s="11" t="s">
        <v>136</v>
      </c>
      <c r="B159" s="11" t="s">
        <v>49</v>
      </c>
      <c r="C159" s="11" t="s">
        <v>137</v>
      </c>
      <c r="D159" s="11"/>
      <c r="E159" s="12" t="n">
        <v>17</v>
      </c>
      <c r="F159" s="11" t="s">
        <v>211</v>
      </c>
      <c r="G159" s="8" t="n">
        <v>30</v>
      </c>
      <c r="H159" s="11" t="s">
        <v>449</v>
      </c>
      <c r="I159" s="11" t="s">
        <v>322</v>
      </c>
      <c r="J159" s="11" t="s">
        <v>411</v>
      </c>
      <c r="K159" s="8" t="n">
        <v>14</v>
      </c>
      <c r="L159" s="8" t="n">
        <v>96</v>
      </c>
      <c r="M159" s="8" t="n">
        <v>3</v>
      </c>
      <c r="N159" s="8" t="n">
        <v>15</v>
      </c>
      <c r="O159" s="8" t="n">
        <v>29</v>
      </c>
      <c r="P159" s="9" t="n">
        <v>125.943151757239</v>
      </c>
      <c r="Q159" s="10" t="n">
        <v>0.0079400903189047</v>
      </c>
      <c r="R159" s="9" t="n">
        <v>51</v>
      </c>
      <c r="S159" s="13" t="n">
        <f aca="false">IF(AND(ISNUMBER(R159),R159&gt;1,P159&gt;0),R159/P159-1,"")</f>
        <v>-0.59505539373586</v>
      </c>
      <c r="T159" s="9" t="n">
        <f aca="false">IF(AND(ISNUMBER(P159),P159&gt;0),P159*EXP('Read me'!$B$22),"")</f>
        <v>153.827312927676</v>
      </c>
    </row>
    <row r="160" customFormat="false" ht="15" hidden="false" customHeight="false" outlineLevel="0" collapsed="false">
      <c r="A160" s="11" t="s">
        <v>136</v>
      </c>
      <c r="B160" s="11" t="s">
        <v>49</v>
      </c>
      <c r="C160" s="11" t="s">
        <v>137</v>
      </c>
      <c r="D160" s="11"/>
      <c r="E160" s="12" t="n">
        <v>17</v>
      </c>
      <c r="F160" s="11" t="s">
        <v>211</v>
      </c>
      <c r="G160" s="8" t="n">
        <v>30</v>
      </c>
      <c r="H160" s="11" t="s">
        <v>450</v>
      </c>
      <c r="I160" s="11" t="s">
        <v>451</v>
      </c>
      <c r="J160" s="11" t="s">
        <v>140</v>
      </c>
      <c r="K160" s="8" t="n">
        <v>33</v>
      </c>
      <c r="L160" s="8" t="n">
        <v>107</v>
      </c>
      <c r="M160" s="8" t="n">
        <v>4</v>
      </c>
      <c r="N160" s="8" t="n">
        <v>14</v>
      </c>
      <c r="O160" s="8" t="n">
        <v>30</v>
      </c>
      <c r="P160" s="9" t="n">
        <v>138.349090081915</v>
      </c>
      <c r="Q160" s="10" t="n">
        <v>0.0072280923525258</v>
      </c>
      <c r="R160" s="9" t="n">
        <v>41</v>
      </c>
      <c r="S160" s="13" t="n">
        <f aca="false">IF(AND(ISNUMBER(R160),R160&gt;1,P160&gt;0),R160/P160-1,"")</f>
        <v>-0.70364821354644</v>
      </c>
      <c r="T160" s="9" t="n">
        <f aca="false">IF(AND(ISNUMBER(P160),P160&gt;0),P160*EXP('Read me'!$B$22),"")</f>
        <v>168.979960215001</v>
      </c>
    </row>
    <row r="161" customFormat="false" ht="15" hidden="false" customHeight="false" outlineLevel="0" collapsed="false">
      <c r="A161" s="11" t="s">
        <v>142</v>
      </c>
      <c r="B161" s="11" t="s">
        <v>56</v>
      </c>
      <c r="C161" s="11" t="s">
        <v>143</v>
      </c>
      <c r="D161" s="11" t="s">
        <v>241</v>
      </c>
      <c r="E161" s="12" t="n">
        <v>8.5</v>
      </c>
      <c r="F161" s="11" t="s">
        <v>242</v>
      </c>
      <c r="G161" s="8" t="n">
        <v>9</v>
      </c>
      <c r="H161" s="11" t="s">
        <v>144</v>
      </c>
      <c r="I161" s="11" t="s">
        <v>127</v>
      </c>
      <c r="J161" s="11" t="s">
        <v>128</v>
      </c>
      <c r="K161" s="8" t="n">
        <v>1</v>
      </c>
      <c r="L161" s="8" t="n">
        <v>82</v>
      </c>
      <c r="M161" s="8" t="n">
        <v>3</v>
      </c>
      <c r="N161" s="8" t="n">
        <v>22</v>
      </c>
      <c r="O161" s="8" t="n">
        <v>1</v>
      </c>
      <c r="P161" s="9" t="n">
        <v>4.08104028830556</v>
      </c>
      <c r="Q161" s="10" t="n">
        <v>0.245035561855528</v>
      </c>
      <c r="R161" s="9" t="n">
        <v>3.75</v>
      </c>
      <c r="S161" s="13" t="n">
        <f aca="false">IF(AND(ISNUMBER(R161),R161&gt;1,P161&gt;0),R161/P161-1,"")</f>
        <v>-0.0811166430417699</v>
      </c>
      <c r="T161" s="9" t="n">
        <f aca="false">IF(AND(ISNUMBER(P161),P161&gt;0),P161*EXP('Read me'!$B$22),"")</f>
        <v>4.98459386429919</v>
      </c>
    </row>
    <row r="162" customFormat="false" ht="15" hidden="false" customHeight="false" outlineLevel="0" collapsed="false">
      <c r="A162" s="11" t="s">
        <v>142</v>
      </c>
      <c r="B162" s="11" t="s">
        <v>56</v>
      </c>
      <c r="C162" s="11" t="s">
        <v>143</v>
      </c>
      <c r="D162" s="11" t="s">
        <v>241</v>
      </c>
      <c r="E162" s="12" t="n">
        <v>8.5</v>
      </c>
      <c r="F162" s="11" t="s">
        <v>242</v>
      </c>
      <c r="G162" s="8" t="n">
        <v>9</v>
      </c>
      <c r="H162" s="11" t="s">
        <v>145</v>
      </c>
      <c r="I162" s="11" t="s">
        <v>243</v>
      </c>
      <c r="J162" s="11" t="s">
        <v>244</v>
      </c>
      <c r="K162" s="8" t="n">
        <v>2</v>
      </c>
      <c r="L162" s="8" t="n">
        <v>82</v>
      </c>
      <c r="M162" s="8" t="n">
        <v>3</v>
      </c>
      <c r="N162" s="8" t="n">
        <v>27</v>
      </c>
      <c r="O162" s="8" t="n">
        <v>2</v>
      </c>
      <c r="P162" s="9" t="n">
        <v>4.1806050499826</v>
      </c>
      <c r="Q162" s="10" t="n">
        <v>0.23919982587309</v>
      </c>
      <c r="R162" s="9" t="n">
        <v>5.5</v>
      </c>
      <c r="S162" s="13" t="n">
        <f aca="false">IF(AND(ISNUMBER(R162),R162&gt;1,P162&gt;0),R162/P162-1,"")</f>
        <v>0.315599042301996</v>
      </c>
      <c r="T162" s="9" t="n">
        <f aca="false">IF(AND(ISNUMBER(P162),P162&gt;0),P162*EXP('Read me'!$B$22),"")</f>
        <v>5.10620253882709</v>
      </c>
    </row>
    <row r="163" customFormat="false" ht="15" hidden="false" customHeight="false" outlineLevel="0" collapsed="false">
      <c r="A163" s="11" t="s">
        <v>142</v>
      </c>
      <c r="B163" s="11" t="s">
        <v>56</v>
      </c>
      <c r="C163" s="11" t="s">
        <v>143</v>
      </c>
      <c r="D163" s="11" t="s">
        <v>241</v>
      </c>
      <c r="E163" s="12" t="n">
        <v>8.5</v>
      </c>
      <c r="F163" s="11" t="s">
        <v>242</v>
      </c>
      <c r="G163" s="8" t="n">
        <v>9</v>
      </c>
      <c r="H163" s="11" t="s">
        <v>452</v>
      </c>
      <c r="I163" s="11" t="s">
        <v>75</v>
      </c>
      <c r="J163" s="11" t="s">
        <v>66</v>
      </c>
      <c r="K163" s="8" t="n">
        <v>7</v>
      </c>
      <c r="L163" s="8" t="n">
        <v>84</v>
      </c>
      <c r="M163" s="8" t="n">
        <v>3</v>
      </c>
      <c r="N163" s="8" t="n">
        <v>43</v>
      </c>
      <c r="O163" s="8" t="n">
        <v>3</v>
      </c>
      <c r="P163" s="9" t="n">
        <v>5.58694472703069</v>
      </c>
      <c r="Q163" s="10" t="n">
        <v>0.178988704714012</v>
      </c>
      <c r="R163" s="9" t="n">
        <v>4.5</v>
      </c>
      <c r="S163" s="13" t="n">
        <f aca="false">IF(AND(ISNUMBER(R163),R163&gt;1,P163&gt;0),R163/P163-1,"")</f>
        <v>-0.194550828786947</v>
      </c>
      <c r="T163" s="9" t="n">
        <f aca="false">IF(AND(ISNUMBER(P163),P163&gt;0),P163*EXP('Read me'!$B$22),"")</f>
        <v>6.8239096992837</v>
      </c>
    </row>
    <row r="164" customFormat="false" ht="15" hidden="false" customHeight="false" outlineLevel="0" collapsed="false">
      <c r="A164" s="11" t="s">
        <v>142</v>
      </c>
      <c r="B164" s="11" t="s">
        <v>56</v>
      </c>
      <c r="C164" s="11" t="s">
        <v>143</v>
      </c>
      <c r="D164" s="11" t="s">
        <v>241</v>
      </c>
      <c r="E164" s="12" t="n">
        <v>8.5</v>
      </c>
      <c r="F164" s="11" t="s">
        <v>242</v>
      </c>
      <c r="G164" s="8" t="n">
        <v>9</v>
      </c>
      <c r="H164" s="11" t="s">
        <v>453</v>
      </c>
      <c r="I164" s="11" t="s">
        <v>454</v>
      </c>
      <c r="J164" s="11" t="s">
        <v>455</v>
      </c>
      <c r="K164" s="8" t="n">
        <v>8</v>
      </c>
      <c r="L164" s="8" t="n">
        <v>84</v>
      </c>
      <c r="M164" s="8" t="n">
        <v>3</v>
      </c>
      <c r="N164" s="8" t="n">
        <v>22</v>
      </c>
      <c r="O164" s="8" t="n">
        <v>4</v>
      </c>
      <c r="P164" s="9" t="n">
        <v>10.7589885522509</v>
      </c>
      <c r="Q164" s="10" t="n">
        <v>0.0929455399216673</v>
      </c>
      <c r="R164" s="9" t="n">
        <v>10</v>
      </c>
      <c r="S164" s="13" t="n">
        <f aca="false">IF(AND(ISNUMBER(R164),R164&gt;1,P164&gt;0),R164/P164-1,"")</f>
        <v>-0.0705446007833264</v>
      </c>
      <c r="T164" s="9" t="n">
        <f aca="false">IF(AND(ISNUMBER(P164),P164&gt;0),P164*EXP('Read me'!$B$22),"")</f>
        <v>13.141058292733</v>
      </c>
    </row>
    <row r="165" customFormat="false" ht="15" hidden="false" customHeight="false" outlineLevel="0" collapsed="false">
      <c r="A165" s="11" t="s">
        <v>142</v>
      </c>
      <c r="B165" s="11" t="s">
        <v>56</v>
      </c>
      <c r="C165" s="11" t="s">
        <v>143</v>
      </c>
      <c r="D165" s="11" t="s">
        <v>241</v>
      </c>
      <c r="E165" s="12" t="n">
        <v>8.5</v>
      </c>
      <c r="F165" s="11" t="s">
        <v>242</v>
      </c>
      <c r="G165" s="8" t="n">
        <v>9</v>
      </c>
      <c r="H165" s="11" t="s">
        <v>456</v>
      </c>
      <c r="I165" s="11" t="s">
        <v>457</v>
      </c>
      <c r="J165" s="11" t="s">
        <v>458</v>
      </c>
      <c r="K165" s="8" t="n">
        <v>5</v>
      </c>
      <c r="L165" s="8" t="n">
        <v>75</v>
      </c>
      <c r="M165" s="8" t="n">
        <v>3</v>
      </c>
      <c r="N165" s="8" t="n">
        <v>17</v>
      </c>
      <c r="O165" s="8" t="n">
        <v>5</v>
      </c>
      <c r="P165" s="9" t="n">
        <v>11.0004150507797</v>
      </c>
      <c r="Q165" s="10" t="n">
        <v>0.0909056608667795</v>
      </c>
      <c r="R165" s="9" t="n">
        <v>7.5</v>
      </c>
      <c r="S165" s="13" t="n">
        <f aca="false">IF(AND(ISNUMBER(R165),R165&gt;1,P165&gt;0),R165/P165-1,"")</f>
        <v>-0.318207543499153</v>
      </c>
      <c r="T165" s="9" t="n">
        <f aca="false">IF(AND(ISNUMBER(P165),P165&gt;0),P165*EXP('Read me'!$B$22),"")</f>
        <v>13.435937283929</v>
      </c>
    </row>
    <row r="166" customFormat="false" ht="15" hidden="false" customHeight="false" outlineLevel="0" collapsed="false">
      <c r="A166" s="11" t="s">
        <v>142</v>
      </c>
      <c r="B166" s="11" t="s">
        <v>56</v>
      </c>
      <c r="C166" s="11" t="s">
        <v>143</v>
      </c>
      <c r="D166" s="11" t="s">
        <v>241</v>
      </c>
      <c r="E166" s="12" t="n">
        <v>8.5</v>
      </c>
      <c r="F166" s="11" t="s">
        <v>242</v>
      </c>
      <c r="G166" s="8" t="n">
        <v>9</v>
      </c>
      <c r="H166" s="11" t="s">
        <v>459</v>
      </c>
      <c r="I166" s="11" t="s">
        <v>59</v>
      </c>
      <c r="J166" s="11" t="s">
        <v>460</v>
      </c>
      <c r="K166" s="8" t="n">
        <v>4</v>
      </c>
      <c r="L166" s="8" t="n">
        <v>84</v>
      </c>
      <c r="M166" s="8" t="n">
        <v>4</v>
      </c>
      <c r="N166" s="8" t="n">
        <v>23</v>
      </c>
      <c r="O166" s="8" t="n">
        <v>6</v>
      </c>
      <c r="P166" s="9" t="n">
        <v>13.8321556586598</v>
      </c>
      <c r="Q166" s="10" t="n">
        <v>0.0722953113511221</v>
      </c>
      <c r="R166" s="9" t="n">
        <v>11</v>
      </c>
      <c r="S166" s="13" t="n">
        <f aca="false">IF(AND(ISNUMBER(R166),R166&gt;1,P166&gt;0),R166/P166-1,"")</f>
        <v>-0.204751575137656</v>
      </c>
      <c r="T166" s="9" t="n">
        <f aca="false">IF(AND(ISNUMBER(P166),P166&gt;0),P166*EXP('Read me'!$B$22),"")</f>
        <v>16.8946330727879</v>
      </c>
    </row>
    <row r="167" customFormat="false" ht="15" hidden="false" customHeight="false" outlineLevel="0" collapsed="false">
      <c r="A167" s="11" t="s">
        <v>142</v>
      </c>
      <c r="B167" s="11" t="s">
        <v>56</v>
      </c>
      <c r="C167" s="11" t="s">
        <v>143</v>
      </c>
      <c r="D167" s="11" t="s">
        <v>241</v>
      </c>
      <c r="E167" s="12" t="n">
        <v>8.5</v>
      </c>
      <c r="F167" s="11" t="s">
        <v>242</v>
      </c>
      <c r="G167" s="8" t="n">
        <v>9</v>
      </c>
      <c r="H167" s="11" t="s">
        <v>461</v>
      </c>
      <c r="I167" s="11" t="s">
        <v>462</v>
      </c>
      <c r="J167" s="11" t="s">
        <v>395</v>
      </c>
      <c r="K167" s="8" t="n">
        <v>6</v>
      </c>
      <c r="L167" s="8" t="n">
        <v>66</v>
      </c>
      <c r="M167" s="8" t="n">
        <v>4</v>
      </c>
      <c r="N167" s="8" t="n">
        <v>17</v>
      </c>
      <c r="O167" s="8" t="n">
        <v>7</v>
      </c>
      <c r="P167" s="9" t="n">
        <v>28.4123141194663</v>
      </c>
      <c r="Q167" s="10" t="n">
        <v>0.0351960067664767</v>
      </c>
      <c r="R167" s="9" t="n">
        <v>17</v>
      </c>
      <c r="S167" s="13" t="n">
        <f aca="false">IF(AND(ISNUMBER(R167),R167&gt;1,P167&gt;0),R167/P167-1,"")</f>
        <v>-0.401667884969895</v>
      </c>
      <c r="T167" s="9" t="n">
        <f aca="false">IF(AND(ISNUMBER(P167),P167&gt;0),P167*EXP('Read me'!$B$22),"")</f>
        <v>34.7028788312293</v>
      </c>
    </row>
    <row r="168" customFormat="false" ht="15" hidden="false" customHeight="false" outlineLevel="0" collapsed="false">
      <c r="A168" s="11" t="s">
        <v>142</v>
      </c>
      <c r="B168" s="11" t="s">
        <v>56</v>
      </c>
      <c r="C168" s="11" t="s">
        <v>143</v>
      </c>
      <c r="D168" s="11" t="s">
        <v>241</v>
      </c>
      <c r="E168" s="12" t="n">
        <v>8.5</v>
      </c>
      <c r="F168" s="11" t="s">
        <v>242</v>
      </c>
      <c r="G168" s="8" t="n">
        <v>9</v>
      </c>
      <c r="H168" s="11" t="s">
        <v>463</v>
      </c>
      <c r="I168" s="11" t="s">
        <v>464</v>
      </c>
      <c r="J168" s="11" t="s">
        <v>465</v>
      </c>
      <c r="K168" s="8" t="n">
        <v>3</v>
      </c>
      <c r="L168" s="8" t="n">
        <v>77</v>
      </c>
      <c r="M168" s="8" t="n">
        <v>5</v>
      </c>
      <c r="N168" s="8" t="n">
        <v>29</v>
      </c>
      <c r="O168" s="8" t="n">
        <v>8</v>
      </c>
      <c r="P168" s="9" t="n">
        <v>29.7032925827513</v>
      </c>
      <c r="Q168" s="10" t="n">
        <v>0.0336663013776695</v>
      </c>
      <c r="R168" s="9" t="n">
        <v>15</v>
      </c>
      <c r="S168" s="13" t="n">
        <f aca="false">IF(AND(ISNUMBER(R168),R168&gt;1,P168&gt;0),R168/P168-1,"")</f>
        <v>-0.495005479334957</v>
      </c>
      <c r="T168" s="9" t="n">
        <f aca="false">IF(AND(ISNUMBER(P168),P168&gt;0),P168*EXP('Read me'!$B$22),"")</f>
        <v>36.2796834870109</v>
      </c>
    </row>
    <row r="169" customFormat="false" ht="15" hidden="false" customHeight="false" outlineLevel="0" collapsed="false">
      <c r="A169" s="11" t="s">
        <v>142</v>
      </c>
      <c r="B169" s="11" t="s">
        <v>56</v>
      </c>
      <c r="C169" s="11" t="s">
        <v>143</v>
      </c>
      <c r="D169" s="11" t="s">
        <v>241</v>
      </c>
      <c r="E169" s="12" t="n">
        <v>8.5</v>
      </c>
      <c r="F169" s="11" t="s">
        <v>242</v>
      </c>
      <c r="G169" s="8" t="n">
        <v>9</v>
      </c>
      <c r="H169" s="11" t="s">
        <v>466</v>
      </c>
      <c r="I169" s="11" t="s">
        <v>258</v>
      </c>
      <c r="J169" s="11" t="s">
        <v>467</v>
      </c>
      <c r="K169" s="8" t="n">
        <v>9</v>
      </c>
      <c r="L169" s="8" t="n">
        <v>74</v>
      </c>
      <c r="M169" s="8" t="n">
        <v>3</v>
      </c>
      <c r="N169" s="8" t="n">
        <v>17</v>
      </c>
      <c r="O169" s="8" t="n">
        <v>9</v>
      </c>
      <c r="P169" s="9" t="n">
        <v>84.9827979298576</v>
      </c>
      <c r="Q169" s="10" t="n">
        <v>0.0117670872736547</v>
      </c>
      <c r="R169" s="9" t="n">
        <v>29</v>
      </c>
      <c r="S169" s="13" t="n">
        <f aca="false">IF(AND(ISNUMBER(R169),R169&gt;1,P169&gt;0),R169/P169-1,"")</f>
        <v>-0.658754469064013</v>
      </c>
      <c r="T169" s="9" t="n">
        <f aca="false">IF(AND(ISNUMBER(P169),P169&gt;0),P169*EXP('Read me'!$B$22),"")</f>
        <v>103.798223787696</v>
      </c>
    </row>
    <row r="170" customFormat="false" ht="15" hidden="false" customHeight="false" outlineLevel="0" collapsed="false">
      <c r="A170" s="11" t="s">
        <v>146</v>
      </c>
      <c r="B170" s="11" t="s">
        <v>42</v>
      </c>
      <c r="C170" s="11" t="s">
        <v>147</v>
      </c>
      <c r="D170" s="11" t="s">
        <v>184</v>
      </c>
      <c r="E170" s="12" t="n">
        <v>8</v>
      </c>
      <c r="F170" s="11" t="s">
        <v>185</v>
      </c>
      <c r="G170" s="8" t="n">
        <v>10</v>
      </c>
      <c r="H170" s="11" t="s">
        <v>148</v>
      </c>
      <c r="I170" s="11" t="s">
        <v>149</v>
      </c>
      <c r="J170" s="11" t="s">
        <v>150</v>
      </c>
      <c r="K170" s="8" t="n">
        <v>5</v>
      </c>
      <c r="L170" s="8" t="n">
        <v>47</v>
      </c>
      <c r="M170" s="8" t="n">
        <v>3</v>
      </c>
      <c r="N170" s="8" t="n">
        <v>6</v>
      </c>
      <c r="O170" s="8" t="n">
        <v>1</v>
      </c>
      <c r="P170" s="9" t="n">
        <v>3.89252337115104</v>
      </c>
      <c r="Q170" s="10" t="n">
        <v>0.256902760664555</v>
      </c>
      <c r="R170" s="9" t="n">
        <v>2.625</v>
      </c>
      <c r="S170" s="13" t="n">
        <f aca="false">IF(AND(ISNUMBER(R170),R170&gt;1,P170&gt;0),R170/P170-1,"")</f>
        <v>-0.325630253255544</v>
      </c>
      <c r="T170" s="9" t="n">
        <f aca="false">IF(AND(ISNUMBER(P170),P170&gt;0),P170*EXP('Read me'!$B$22),"")</f>
        <v>4.7543387817268</v>
      </c>
    </row>
    <row r="171" customFormat="false" ht="15" hidden="false" customHeight="false" outlineLevel="0" collapsed="false">
      <c r="A171" s="11" t="s">
        <v>146</v>
      </c>
      <c r="B171" s="11" t="s">
        <v>42</v>
      </c>
      <c r="C171" s="11" t="s">
        <v>147</v>
      </c>
      <c r="D171" s="11" t="s">
        <v>184</v>
      </c>
      <c r="E171" s="12" t="n">
        <v>8</v>
      </c>
      <c r="F171" s="11" t="s">
        <v>185</v>
      </c>
      <c r="G171" s="8" t="n">
        <v>10</v>
      </c>
      <c r="H171" s="11" t="s">
        <v>151</v>
      </c>
      <c r="I171" s="11" t="s">
        <v>45</v>
      </c>
      <c r="J171" s="11" t="s">
        <v>468</v>
      </c>
      <c r="K171" s="8" t="n">
        <v>7</v>
      </c>
      <c r="L171" s="8" t="n">
        <v>48</v>
      </c>
      <c r="M171" s="8" t="n">
        <v>4</v>
      </c>
      <c r="N171" s="8" t="n">
        <v>15</v>
      </c>
      <c r="O171" s="8" t="n">
        <v>2</v>
      </c>
      <c r="P171" s="9" t="n">
        <v>6.00087328539878</v>
      </c>
      <c r="Q171" s="10" t="n">
        <v>0.166642412269091</v>
      </c>
      <c r="R171" s="9" t="n">
        <v>8.5</v>
      </c>
      <c r="S171" s="13" t="n">
        <f aca="false">IF(AND(ISNUMBER(R171),R171&gt;1,P171&gt;0),R171/P171-1,"")</f>
        <v>0.416460504287276</v>
      </c>
      <c r="T171" s="9" t="n">
        <f aca="false">IF(AND(ISNUMBER(P171),P171&gt;0),P171*EXP('Read me'!$B$22),"")</f>
        <v>7.32948318215575</v>
      </c>
    </row>
    <row r="172" customFormat="false" ht="15" hidden="false" customHeight="false" outlineLevel="0" collapsed="false">
      <c r="A172" s="11" t="s">
        <v>146</v>
      </c>
      <c r="B172" s="11" t="s">
        <v>42</v>
      </c>
      <c r="C172" s="11" t="s">
        <v>147</v>
      </c>
      <c r="D172" s="11" t="s">
        <v>184</v>
      </c>
      <c r="E172" s="12" t="n">
        <v>8</v>
      </c>
      <c r="F172" s="11" t="s">
        <v>185</v>
      </c>
      <c r="G172" s="8" t="n">
        <v>10</v>
      </c>
      <c r="H172" s="11" t="s">
        <v>469</v>
      </c>
      <c r="I172" s="11" t="s">
        <v>194</v>
      </c>
      <c r="J172" s="11" t="s">
        <v>379</v>
      </c>
      <c r="K172" s="8" t="n">
        <v>8</v>
      </c>
      <c r="L172" s="8" t="n">
        <v>54</v>
      </c>
      <c r="M172" s="8" t="n">
        <v>7</v>
      </c>
      <c r="N172" s="8" t="n">
        <v>6</v>
      </c>
      <c r="O172" s="8" t="n">
        <v>3</v>
      </c>
      <c r="P172" s="9" t="n">
        <v>6.95887684834894</v>
      </c>
      <c r="Q172" s="10" t="n">
        <v>0.143701350346106</v>
      </c>
      <c r="R172" s="9" t="n">
        <v>6.5</v>
      </c>
      <c r="S172" s="13" t="n">
        <f aca="false">IF(AND(ISNUMBER(R172),R172&gt;1,P172&gt;0),R172/P172-1,"")</f>
        <v>-0.0659412227503083</v>
      </c>
      <c r="T172" s="9" t="n">
        <f aca="false">IF(AND(ISNUMBER(P172),P172&gt;0),P172*EXP('Read me'!$B$22),"")</f>
        <v>8.49959137627035</v>
      </c>
    </row>
    <row r="173" customFormat="false" ht="15" hidden="false" customHeight="false" outlineLevel="0" collapsed="false">
      <c r="A173" s="11" t="s">
        <v>146</v>
      </c>
      <c r="B173" s="11" t="s">
        <v>42</v>
      </c>
      <c r="C173" s="11" t="s">
        <v>147</v>
      </c>
      <c r="D173" s="11" t="s">
        <v>184</v>
      </c>
      <c r="E173" s="12" t="n">
        <v>8</v>
      </c>
      <c r="F173" s="11" t="s">
        <v>185</v>
      </c>
      <c r="G173" s="8" t="n">
        <v>10</v>
      </c>
      <c r="H173" s="11" t="s">
        <v>470</v>
      </c>
      <c r="I173" s="11" t="s">
        <v>399</v>
      </c>
      <c r="J173" s="11" t="s">
        <v>379</v>
      </c>
      <c r="K173" s="8" t="n">
        <v>9</v>
      </c>
      <c r="L173" s="8" t="n">
        <v>58</v>
      </c>
      <c r="M173" s="8" t="n">
        <v>4</v>
      </c>
      <c r="N173" s="8" t="n">
        <v>29</v>
      </c>
      <c r="O173" s="8" t="n">
        <v>4</v>
      </c>
      <c r="P173" s="9" t="n">
        <v>7.57799340610428</v>
      </c>
      <c r="Q173" s="10" t="n">
        <v>0.131961054386043</v>
      </c>
      <c r="R173" s="9" t="n">
        <v>7</v>
      </c>
      <c r="S173" s="13" t="n">
        <f aca="false">IF(AND(ISNUMBER(R173),R173&gt;1,P173&gt;0),R173/P173-1,"")</f>
        <v>-0.0762726192977004</v>
      </c>
      <c r="T173" s="9" t="n">
        <f aca="false">IF(AND(ISNUMBER(P173),P173&gt;0),P173*EXP('Read me'!$B$22),"")</f>
        <v>9.25578204753534</v>
      </c>
    </row>
    <row r="174" customFormat="false" ht="15" hidden="false" customHeight="false" outlineLevel="0" collapsed="false">
      <c r="A174" s="11" t="s">
        <v>146</v>
      </c>
      <c r="B174" s="11" t="s">
        <v>42</v>
      </c>
      <c r="C174" s="11" t="s">
        <v>147</v>
      </c>
      <c r="D174" s="11" t="s">
        <v>184</v>
      </c>
      <c r="E174" s="12" t="n">
        <v>8</v>
      </c>
      <c r="F174" s="11" t="s">
        <v>185</v>
      </c>
      <c r="G174" s="8" t="n">
        <v>10</v>
      </c>
      <c r="H174" s="11" t="s">
        <v>471</v>
      </c>
      <c r="I174" s="11" t="s">
        <v>133</v>
      </c>
      <c r="J174" s="11" t="s">
        <v>189</v>
      </c>
      <c r="K174" s="8" t="n">
        <v>2</v>
      </c>
      <c r="L174" s="8" t="n">
        <v>56</v>
      </c>
      <c r="M174" s="8" t="n">
        <v>10</v>
      </c>
      <c r="N174" s="8" t="n">
        <v>15</v>
      </c>
      <c r="O174" s="8" t="n">
        <v>5</v>
      </c>
      <c r="P174" s="9" t="n">
        <v>10.207915806762</v>
      </c>
      <c r="Q174" s="10" t="n">
        <v>0.0979631904230222</v>
      </c>
      <c r="R174" s="9" t="n">
        <v>10</v>
      </c>
      <c r="S174" s="13" t="n">
        <f aca="false">IF(AND(ISNUMBER(R174),R174&gt;1,P174&gt;0),R174/P174-1,"")</f>
        <v>-0.0203680957697772</v>
      </c>
      <c r="T174" s="9" t="n">
        <f aca="false">IF(AND(ISNUMBER(P174),P174&gt;0),P174*EXP('Read me'!$B$22),"")</f>
        <v>12.4679765214458</v>
      </c>
    </row>
    <row r="175" customFormat="false" ht="15" hidden="false" customHeight="false" outlineLevel="0" collapsed="false">
      <c r="A175" s="11" t="s">
        <v>146</v>
      </c>
      <c r="B175" s="11" t="s">
        <v>42</v>
      </c>
      <c r="C175" s="11" t="s">
        <v>147</v>
      </c>
      <c r="D175" s="11" t="s">
        <v>184</v>
      </c>
      <c r="E175" s="12" t="n">
        <v>8</v>
      </c>
      <c r="F175" s="11" t="s">
        <v>185</v>
      </c>
      <c r="G175" s="8" t="n">
        <v>10</v>
      </c>
      <c r="H175" s="11" t="s">
        <v>472</v>
      </c>
      <c r="I175" s="11" t="s">
        <v>404</v>
      </c>
      <c r="J175" s="11" t="s">
        <v>134</v>
      </c>
      <c r="K175" s="8" t="n">
        <v>10</v>
      </c>
      <c r="L175" s="8" t="n">
        <v>55</v>
      </c>
      <c r="M175" s="8" t="n">
        <v>6</v>
      </c>
      <c r="N175" s="8" t="n">
        <v>32</v>
      </c>
      <c r="O175" s="8" t="n">
        <v>6</v>
      </c>
      <c r="P175" s="9" t="n">
        <v>10.7801035099649</v>
      </c>
      <c r="Q175" s="10" t="n">
        <v>0.0927634877601703</v>
      </c>
      <c r="R175" s="9" t="n">
        <v>9.5</v>
      </c>
      <c r="S175" s="13" t="n">
        <f aca="false">IF(AND(ISNUMBER(R175),R175&gt;1,P175&gt;0),R175/P175-1,"")</f>
        <v>-0.118746866278382</v>
      </c>
      <c r="T175" s="9" t="n">
        <f aca="false">IF(AND(ISNUMBER(P175),P175&gt;0),P175*EXP('Read me'!$B$22),"")</f>
        <v>13.1668481603233</v>
      </c>
    </row>
    <row r="176" customFormat="false" ht="15" hidden="false" customHeight="false" outlineLevel="0" collapsed="false">
      <c r="A176" s="11" t="s">
        <v>146</v>
      </c>
      <c r="B176" s="11" t="s">
        <v>42</v>
      </c>
      <c r="C176" s="11" t="s">
        <v>147</v>
      </c>
      <c r="D176" s="11" t="s">
        <v>184</v>
      </c>
      <c r="E176" s="12" t="n">
        <v>8</v>
      </c>
      <c r="F176" s="11" t="s">
        <v>185</v>
      </c>
      <c r="G176" s="8" t="n">
        <v>10</v>
      </c>
      <c r="H176" s="11" t="s">
        <v>473</v>
      </c>
      <c r="I176" s="11" t="s">
        <v>293</v>
      </c>
      <c r="J176" s="11" t="s">
        <v>474</v>
      </c>
      <c r="K176" s="8" t="n">
        <v>1</v>
      </c>
      <c r="L176" s="8" t="n">
        <v>56</v>
      </c>
      <c r="M176" s="8" t="n">
        <v>3</v>
      </c>
      <c r="N176" s="8" t="n">
        <v>28</v>
      </c>
      <c r="O176" s="8" t="n">
        <v>7</v>
      </c>
      <c r="P176" s="9" t="n">
        <v>23.1694785614585</v>
      </c>
      <c r="Q176" s="10" t="n">
        <v>0.0431602289774211</v>
      </c>
      <c r="R176" s="9" t="n">
        <v>13</v>
      </c>
      <c r="S176" s="13" t="n">
        <f aca="false">IF(AND(ISNUMBER(R176),R176&gt;1,P176&gt;0),R176/P176-1,"")</f>
        <v>-0.438917023293525</v>
      </c>
      <c r="T176" s="9" t="n">
        <f aca="false">IF(AND(ISNUMBER(P176),P176&gt;0),P176*EXP('Read me'!$B$22),"")</f>
        <v>28.2992650200984</v>
      </c>
    </row>
    <row r="177" customFormat="false" ht="15" hidden="false" customHeight="false" outlineLevel="0" collapsed="false">
      <c r="A177" s="11" t="s">
        <v>146</v>
      </c>
      <c r="B177" s="11" t="s">
        <v>42</v>
      </c>
      <c r="C177" s="11" t="s">
        <v>147</v>
      </c>
      <c r="D177" s="11" t="s">
        <v>184</v>
      </c>
      <c r="E177" s="12" t="n">
        <v>8</v>
      </c>
      <c r="F177" s="11" t="s">
        <v>185</v>
      </c>
      <c r="G177" s="8" t="n">
        <v>10</v>
      </c>
      <c r="H177" s="11" t="s">
        <v>475</v>
      </c>
      <c r="I177" s="11" t="s">
        <v>196</v>
      </c>
      <c r="J177" s="11" t="s">
        <v>197</v>
      </c>
      <c r="K177" s="8" t="n">
        <v>4</v>
      </c>
      <c r="L177" s="8" t="n">
        <v>50</v>
      </c>
      <c r="M177" s="8" t="n">
        <v>6</v>
      </c>
      <c r="N177" s="8" t="n">
        <v>27</v>
      </c>
      <c r="O177" s="8" t="n">
        <v>8</v>
      </c>
      <c r="P177" s="9" t="n">
        <v>24.610934976639</v>
      </c>
      <c r="Q177" s="10" t="n">
        <v>0.0406323449697955</v>
      </c>
      <c r="R177" s="9" t="n">
        <v>13</v>
      </c>
      <c r="S177" s="13" t="n">
        <f aca="false">IF(AND(ISNUMBER(R177),R177&gt;1,P177&gt;0),R177/P177-1,"")</f>
        <v>-0.471779515392658</v>
      </c>
      <c r="T177" s="9" t="n">
        <f aca="false">IF(AND(ISNUMBER(P177),P177&gt;0),P177*EXP('Read me'!$B$22),"")</f>
        <v>30.0598638613674</v>
      </c>
    </row>
    <row r="178" customFormat="false" ht="15" hidden="false" customHeight="false" outlineLevel="0" collapsed="false">
      <c r="A178" s="11" t="s">
        <v>146</v>
      </c>
      <c r="B178" s="11" t="s">
        <v>42</v>
      </c>
      <c r="C178" s="11" t="s">
        <v>147</v>
      </c>
      <c r="D178" s="11" t="s">
        <v>184</v>
      </c>
      <c r="E178" s="12" t="n">
        <v>8</v>
      </c>
      <c r="F178" s="11" t="s">
        <v>185</v>
      </c>
      <c r="G178" s="8" t="n">
        <v>10</v>
      </c>
      <c r="H178" s="11" t="s">
        <v>476</v>
      </c>
      <c r="I178" s="11" t="s">
        <v>477</v>
      </c>
      <c r="J178" s="11" t="s">
        <v>478</v>
      </c>
      <c r="K178" s="8" t="n">
        <v>6</v>
      </c>
      <c r="L178" s="8" t="n">
        <v>56</v>
      </c>
      <c r="M178" s="8" t="n">
        <v>8</v>
      </c>
      <c r="N178" s="8" t="n">
        <v>19</v>
      </c>
      <c r="O178" s="8" t="n">
        <v>9</v>
      </c>
      <c r="P178" s="9" t="n">
        <v>70.9085106883452</v>
      </c>
      <c r="Q178" s="10" t="n">
        <v>0.014102679499153</v>
      </c>
      <c r="R178" s="9" t="n">
        <v>101</v>
      </c>
      <c r="S178" s="13" t="n">
        <f aca="false">IF(AND(ISNUMBER(R178),R178&gt;1,P178&gt;0),R178/P178-1,"")</f>
        <v>0.424370629414457</v>
      </c>
      <c r="T178" s="9" t="n">
        <f aca="false">IF(AND(ISNUMBER(P178),P178&gt;0),P178*EXP('Read me'!$B$22),"")</f>
        <v>86.6078505317747</v>
      </c>
    </row>
    <row r="179" customFormat="false" ht="15" hidden="false" customHeight="false" outlineLevel="0" collapsed="false">
      <c r="A179" s="11" t="s">
        <v>146</v>
      </c>
      <c r="B179" s="11" t="s">
        <v>42</v>
      </c>
      <c r="C179" s="11" t="s">
        <v>147</v>
      </c>
      <c r="D179" s="11" t="s">
        <v>184</v>
      </c>
      <c r="E179" s="12" t="n">
        <v>8</v>
      </c>
      <c r="F179" s="11" t="s">
        <v>185</v>
      </c>
      <c r="G179" s="8" t="n">
        <v>10</v>
      </c>
      <c r="H179" s="11" t="s">
        <v>479</v>
      </c>
      <c r="I179" s="11" t="s">
        <v>186</v>
      </c>
      <c r="J179" s="11" t="s">
        <v>480</v>
      </c>
      <c r="K179" s="8" t="n">
        <v>3</v>
      </c>
      <c r="L179" s="8" t="n">
        <v>57</v>
      </c>
      <c r="M179" s="8" t="n">
        <v>4</v>
      </c>
      <c r="N179" s="8" t="n">
        <v>88</v>
      </c>
      <c r="O179" s="8" t="n">
        <v>10</v>
      </c>
      <c r="P179" s="9" t="n">
        <v>82.1659556930224</v>
      </c>
      <c r="Q179" s="10" t="n">
        <v>0.0121704907046425</v>
      </c>
      <c r="R179" s="9" t="n">
        <v>51</v>
      </c>
      <c r="S179" s="13" t="n">
        <f aca="false">IF(AND(ISNUMBER(R179),R179&gt;1,P179&gt;0),R179/P179-1,"")</f>
        <v>-0.37930497406323</v>
      </c>
      <c r="T179" s="9" t="n">
        <f aca="false">IF(AND(ISNUMBER(P179),P179&gt;0),P179*EXP('Read me'!$B$22),"")</f>
        <v>100.357724910324</v>
      </c>
    </row>
    <row r="180" customFormat="false" ht="15" hidden="false" customHeight="false" outlineLevel="0" collapsed="false">
      <c r="A180" s="11" t="s">
        <v>152</v>
      </c>
      <c r="B180" s="11" t="s">
        <v>49</v>
      </c>
      <c r="C180" s="11" t="s">
        <v>153</v>
      </c>
      <c r="D180" s="11"/>
      <c r="E180" s="12" t="n">
        <v>7</v>
      </c>
      <c r="F180" s="11" t="s">
        <v>211</v>
      </c>
      <c r="G180" s="8" t="n">
        <v>10</v>
      </c>
      <c r="H180" s="11" t="s">
        <v>154</v>
      </c>
      <c r="I180" s="11" t="s">
        <v>155</v>
      </c>
      <c r="J180" s="11" t="s">
        <v>156</v>
      </c>
      <c r="K180" s="8" t="n">
        <v>10</v>
      </c>
      <c r="L180" s="8" t="n">
        <v>76</v>
      </c>
      <c r="M180" s="8" t="n">
        <v>2</v>
      </c>
      <c r="N180" s="8" t="n">
        <v>5</v>
      </c>
      <c r="O180" s="8" t="n">
        <v>1</v>
      </c>
      <c r="P180" s="9" t="n">
        <v>3.83248418140525</v>
      </c>
      <c r="Q180" s="10" t="n">
        <v>0.260927365297913</v>
      </c>
      <c r="R180" s="9" t="n">
        <v>6.5</v>
      </c>
      <c r="S180" s="13" t="n">
        <f aca="false">IF(AND(ISNUMBER(R180),R180&gt;1,P180&gt;0),R180/P180-1,"")</f>
        <v>0.696027874436434</v>
      </c>
      <c r="T180" s="9" t="n">
        <f aca="false">IF(AND(ISNUMBER(P180),P180&gt;0),P180*EXP('Read me'!$B$22),"")</f>
        <v>4.68100674977359</v>
      </c>
    </row>
    <row r="181" customFormat="false" ht="15" hidden="false" customHeight="false" outlineLevel="0" collapsed="false">
      <c r="A181" s="11" t="s">
        <v>152</v>
      </c>
      <c r="B181" s="11" t="s">
        <v>49</v>
      </c>
      <c r="C181" s="11" t="s">
        <v>153</v>
      </c>
      <c r="D181" s="11"/>
      <c r="E181" s="12" t="n">
        <v>7</v>
      </c>
      <c r="F181" s="11" t="s">
        <v>211</v>
      </c>
      <c r="G181" s="8" t="n">
        <v>10</v>
      </c>
      <c r="H181" s="11" t="s">
        <v>157</v>
      </c>
      <c r="I181" s="11" t="s">
        <v>438</v>
      </c>
      <c r="J181" s="11" t="s">
        <v>105</v>
      </c>
      <c r="K181" s="8" t="n">
        <v>11</v>
      </c>
      <c r="L181" s="8" t="n">
        <v>66</v>
      </c>
      <c r="M181" s="8" t="n">
        <v>2</v>
      </c>
      <c r="N181" s="8" t="n">
        <v>29</v>
      </c>
      <c r="O181" s="8" t="n">
        <v>2</v>
      </c>
      <c r="P181" s="9" t="n">
        <v>5.92193422789284</v>
      </c>
      <c r="Q181" s="10" t="n">
        <v>0.168863746458026</v>
      </c>
      <c r="R181" s="9" t="n">
        <v>4.5</v>
      </c>
      <c r="S181" s="13" t="n">
        <f aca="false">IF(AND(ISNUMBER(R181),R181&gt;1,P181&gt;0),R181/P181-1,"")</f>
        <v>-0.240113140938884</v>
      </c>
      <c r="T181" s="9" t="n">
        <f aca="false">IF(AND(ISNUMBER(P181),P181&gt;0),P181*EXP('Read me'!$B$22),"")</f>
        <v>7.23306679959143</v>
      </c>
    </row>
    <row r="182" customFormat="false" ht="15" hidden="false" customHeight="false" outlineLevel="0" collapsed="false">
      <c r="A182" s="11" t="s">
        <v>152</v>
      </c>
      <c r="B182" s="11" t="s">
        <v>49</v>
      </c>
      <c r="C182" s="11" t="s">
        <v>153</v>
      </c>
      <c r="D182" s="11"/>
      <c r="E182" s="12" t="n">
        <v>7</v>
      </c>
      <c r="F182" s="11" t="s">
        <v>211</v>
      </c>
      <c r="G182" s="8" t="n">
        <v>10</v>
      </c>
      <c r="H182" s="11" t="s">
        <v>481</v>
      </c>
      <c r="I182" s="11" t="s">
        <v>272</v>
      </c>
      <c r="J182" s="11" t="s">
        <v>411</v>
      </c>
      <c r="K182" s="8" t="n">
        <v>7</v>
      </c>
      <c r="L182" s="8" t="n">
        <v>70</v>
      </c>
      <c r="M182" s="8" t="n">
        <v>2</v>
      </c>
      <c r="N182" s="8" t="n">
        <v>23</v>
      </c>
      <c r="O182" s="8" t="n">
        <v>3</v>
      </c>
      <c r="P182" s="9" t="n">
        <v>8.64125994434651</v>
      </c>
      <c r="Q182" s="10" t="n">
        <v>0.11572386508917</v>
      </c>
      <c r="R182" s="9" t="n">
        <v>13</v>
      </c>
      <c r="S182" s="13" t="n">
        <f aca="false">IF(AND(ISNUMBER(R182),R182&gt;1,P182&gt;0),R182/P182-1,"")</f>
        <v>0.504410246159203</v>
      </c>
      <c r="T182" s="9" t="n">
        <f aca="false">IF(AND(ISNUMBER(P182),P182&gt;0),P182*EXP('Read me'!$B$22),"")</f>
        <v>10.5544587300038</v>
      </c>
    </row>
    <row r="183" customFormat="false" ht="15" hidden="false" customHeight="false" outlineLevel="0" collapsed="false">
      <c r="A183" s="11" t="s">
        <v>152</v>
      </c>
      <c r="B183" s="11" t="s">
        <v>49</v>
      </c>
      <c r="C183" s="11" t="s">
        <v>153</v>
      </c>
      <c r="D183" s="11"/>
      <c r="E183" s="12" t="n">
        <v>7</v>
      </c>
      <c r="F183" s="11" t="s">
        <v>211</v>
      </c>
      <c r="G183" s="8" t="n">
        <v>10</v>
      </c>
      <c r="H183" s="11" t="s">
        <v>482</v>
      </c>
      <c r="I183" s="11" t="s">
        <v>327</v>
      </c>
      <c r="J183" s="11" t="s">
        <v>328</v>
      </c>
      <c r="K183" s="8" t="n">
        <v>4</v>
      </c>
      <c r="L183" s="8" t="n">
        <v>65</v>
      </c>
      <c r="M183" s="8" t="n">
        <v>2</v>
      </c>
      <c r="N183" s="8" t="n">
        <v>10</v>
      </c>
      <c r="O183" s="8" t="n">
        <v>4</v>
      </c>
      <c r="P183" s="9" t="n">
        <v>10.448613665455</v>
      </c>
      <c r="Q183" s="10" t="n">
        <v>0.0957064766693577</v>
      </c>
      <c r="R183" s="9" t="n">
        <v>11</v>
      </c>
      <c r="S183" s="13" t="n">
        <f aca="false">IF(AND(ISNUMBER(R183),R183&gt;1,P183&gt;0),R183/P183-1,"")</f>
        <v>0.0527712433629346</v>
      </c>
      <c r="T183" s="9" t="n">
        <f aca="false">IF(AND(ISNUMBER(P183),P183&gt;0),P183*EXP('Read me'!$B$22),"")</f>
        <v>12.7619655499368</v>
      </c>
    </row>
    <row r="184" customFormat="false" ht="15" hidden="false" customHeight="false" outlineLevel="0" collapsed="false">
      <c r="A184" s="11" t="s">
        <v>152</v>
      </c>
      <c r="B184" s="11" t="s">
        <v>49</v>
      </c>
      <c r="C184" s="11" t="s">
        <v>153</v>
      </c>
      <c r="D184" s="11"/>
      <c r="E184" s="12" t="n">
        <v>7</v>
      </c>
      <c r="F184" s="11" t="s">
        <v>211</v>
      </c>
      <c r="G184" s="8" t="n">
        <v>10</v>
      </c>
      <c r="H184" s="11" t="s">
        <v>483</v>
      </c>
      <c r="I184" s="11" t="s">
        <v>139</v>
      </c>
      <c r="J184" s="11" t="s">
        <v>140</v>
      </c>
      <c r="K184" s="8" t="n">
        <v>3</v>
      </c>
      <c r="L184" s="8" t="n">
        <v>77</v>
      </c>
      <c r="M184" s="8" t="n">
        <v>2</v>
      </c>
      <c r="N184" s="8" t="n">
        <v>10</v>
      </c>
      <c r="O184" s="8" t="n">
        <v>5</v>
      </c>
      <c r="P184" s="9" t="n">
        <v>12.4400154743564</v>
      </c>
      <c r="Q184" s="10" t="n">
        <v>0.0803857520966415</v>
      </c>
      <c r="R184" s="9" t="n">
        <v>2.625</v>
      </c>
      <c r="S184" s="13" t="n">
        <f aca="false">IF(AND(ISNUMBER(R184),R184&gt;1,P184&gt;0),R184/P184-1,"")</f>
        <v>-0.788987400746316</v>
      </c>
      <c r="T184" s="9" t="n">
        <f aca="false">IF(AND(ISNUMBER(P184),P184&gt;0),P184*EXP('Read me'!$B$22),"")</f>
        <v>15.1942692119341</v>
      </c>
    </row>
    <row r="185" customFormat="false" ht="15" hidden="false" customHeight="false" outlineLevel="0" collapsed="false">
      <c r="A185" s="11" t="s">
        <v>152</v>
      </c>
      <c r="B185" s="11" t="s">
        <v>49</v>
      </c>
      <c r="C185" s="11" t="s">
        <v>153</v>
      </c>
      <c r="D185" s="11"/>
      <c r="E185" s="12" t="n">
        <v>7</v>
      </c>
      <c r="F185" s="11" t="s">
        <v>211</v>
      </c>
      <c r="G185" s="8" t="n">
        <v>10</v>
      </c>
      <c r="H185" s="11" t="s">
        <v>484</v>
      </c>
      <c r="I185" s="11" t="s">
        <v>223</v>
      </c>
      <c r="J185" s="11" t="s">
        <v>224</v>
      </c>
      <c r="K185" s="8" t="n">
        <v>12</v>
      </c>
      <c r="L185" s="8" t="n">
        <v>67</v>
      </c>
      <c r="M185" s="8" t="n">
        <v>2</v>
      </c>
      <c r="N185" s="8" t="n">
        <v>40</v>
      </c>
      <c r="O185" s="8" t="n">
        <v>6</v>
      </c>
      <c r="P185" s="9" t="n">
        <v>13.3718164815799</v>
      </c>
      <c r="Q185" s="10" t="n">
        <v>0.0747841552699691</v>
      </c>
      <c r="R185" s="9" t="n">
        <v>19</v>
      </c>
      <c r="S185" s="13" t="n">
        <f aca="false">IF(AND(ISNUMBER(R185),R185&gt;1,P185&gt;0),R185/P185-1,"")</f>
        <v>0.420898950129414</v>
      </c>
      <c r="T185" s="9" t="n">
        <f aca="false">IF(AND(ISNUMBER(P185),P185&gt;0),P185*EXP('Read me'!$B$22),"")</f>
        <v>16.3323735322132</v>
      </c>
    </row>
    <row r="186" customFormat="false" ht="15" hidden="false" customHeight="false" outlineLevel="0" collapsed="false">
      <c r="A186" s="11" t="s">
        <v>152</v>
      </c>
      <c r="B186" s="11" t="s">
        <v>49</v>
      </c>
      <c r="C186" s="11" t="s">
        <v>153</v>
      </c>
      <c r="D186" s="11"/>
      <c r="E186" s="12" t="n">
        <v>7</v>
      </c>
      <c r="F186" s="11" t="s">
        <v>211</v>
      </c>
      <c r="G186" s="8" t="n">
        <v>10</v>
      </c>
      <c r="H186" s="11" t="s">
        <v>485</v>
      </c>
      <c r="I186" s="11" t="s">
        <v>386</v>
      </c>
      <c r="J186" s="11" t="s">
        <v>232</v>
      </c>
      <c r="K186" s="8" t="n">
        <v>2</v>
      </c>
      <c r="L186" s="8" t="n">
        <v>80</v>
      </c>
      <c r="M186" s="8" t="n">
        <v>2</v>
      </c>
      <c r="N186" s="8" t="n">
        <v>10</v>
      </c>
      <c r="O186" s="8" t="n">
        <v>7</v>
      </c>
      <c r="P186" s="9" t="n">
        <v>14.3031431836255</v>
      </c>
      <c r="Q186" s="10" t="n">
        <v>0.0699147024651766</v>
      </c>
      <c r="R186" s="9" t="n">
        <v>10</v>
      </c>
      <c r="S186" s="13" t="n">
        <f aca="false">IF(AND(ISNUMBER(R186),R186&gt;1,P186&gt;0),R186/P186-1,"")</f>
        <v>-0.300852975348233</v>
      </c>
      <c r="T186" s="9" t="n">
        <f aca="false">IF(AND(ISNUMBER(P186),P186&gt;0),P186*EXP('Read me'!$B$22),"")</f>
        <v>17.4698985348401</v>
      </c>
    </row>
    <row r="187" customFormat="false" ht="15" hidden="false" customHeight="false" outlineLevel="0" collapsed="false">
      <c r="A187" s="11" t="s">
        <v>152</v>
      </c>
      <c r="B187" s="11" t="s">
        <v>49</v>
      </c>
      <c r="C187" s="11" t="s">
        <v>153</v>
      </c>
      <c r="D187" s="11"/>
      <c r="E187" s="12" t="n">
        <v>7</v>
      </c>
      <c r="F187" s="11" t="s">
        <v>211</v>
      </c>
      <c r="G187" s="8" t="n">
        <v>10</v>
      </c>
      <c r="H187" s="11" t="s">
        <v>486</v>
      </c>
      <c r="I187" s="11" t="s">
        <v>121</v>
      </c>
      <c r="J187" s="11" t="s">
        <v>280</v>
      </c>
      <c r="K187" s="8" t="n">
        <v>8</v>
      </c>
      <c r="L187" s="8" t="n">
        <v>69</v>
      </c>
      <c r="M187" s="8" t="n">
        <v>2</v>
      </c>
      <c r="N187" s="8" t="n">
        <v>26</v>
      </c>
      <c r="O187" s="8" t="n">
        <v>8</v>
      </c>
      <c r="P187" s="9" t="n">
        <v>14.5186792368983</v>
      </c>
      <c r="Q187" s="10" t="n">
        <v>0.0688767885620453</v>
      </c>
      <c r="R187" s="9" t="n">
        <v>12</v>
      </c>
      <c r="S187" s="13" t="n">
        <f aca="false">IF(AND(ISNUMBER(R187),R187&gt;1,P187&gt;0),R187/P187-1,"")</f>
        <v>-0.173478537255455</v>
      </c>
      <c r="T187" s="9" t="n">
        <f aca="false">IF(AND(ISNUMBER(P187),P187&gt;0),P187*EXP('Read me'!$B$22),"")</f>
        <v>17.7331548647903</v>
      </c>
    </row>
    <row r="188" customFormat="false" ht="15" hidden="false" customHeight="false" outlineLevel="0" collapsed="false">
      <c r="A188" s="11" t="s">
        <v>152</v>
      </c>
      <c r="B188" s="11" t="s">
        <v>49</v>
      </c>
      <c r="C188" s="11" t="s">
        <v>153</v>
      </c>
      <c r="D188" s="11"/>
      <c r="E188" s="12" t="n">
        <v>7</v>
      </c>
      <c r="F188" s="11" t="s">
        <v>211</v>
      </c>
      <c r="G188" s="8" t="n">
        <v>10</v>
      </c>
      <c r="H188" s="11" t="s">
        <v>487</v>
      </c>
      <c r="I188" s="11" t="s">
        <v>488</v>
      </c>
      <c r="J188" s="11" t="s">
        <v>174</v>
      </c>
      <c r="K188" s="8" t="n">
        <v>5</v>
      </c>
      <c r="L188" s="8" t="n">
        <v>62</v>
      </c>
      <c r="M188" s="8" t="n">
        <v>2</v>
      </c>
      <c r="N188" s="8" t="n">
        <v>10</v>
      </c>
      <c r="O188" s="8" t="n">
        <v>9</v>
      </c>
      <c r="P188" s="9" t="n">
        <v>21.4152546226405</v>
      </c>
      <c r="Q188" s="10" t="n">
        <v>0.0466956857446274</v>
      </c>
      <c r="R188" s="9" t="n">
        <v>26</v>
      </c>
      <c r="S188" s="13" t="n">
        <f aca="false">IF(AND(ISNUMBER(R188),R188&gt;1,P188&gt;0),R188/P188-1,"")</f>
        <v>0.214087829360315</v>
      </c>
      <c r="T188" s="9" t="n">
        <f aca="false">IF(AND(ISNUMBER(P188),P188&gt;0),P188*EXP('Read me'!$B$22),"")</f>
        <v>26.1566510627954</v>
      </c>
    </row>
    <row r="189" customFormat="false" ht="15" hidden="false" customHeight="false" outlineLevel="0" collapsed="false">
      <c r="A189" s="11" t="s">
        <v>152</v>
      </c>
      <c r="B189" s="11" t="s">
        <v>49</v>
      </c>
      <c r="C189" s="11" t="s">
        <v>153</v>
      </c>
      <c r="D189" s="11"/>
      <c r="E189" s="12" t="n">
        <v>7</v>
      </c>
      <c r="F189" s="11" t="s">
        <v>211</v>
      </c>
      <c r="G189" s="8" t="n">
        <v>10</v>
      </c>
      <c r="H189" s="11" t="s">
        <v>489</v>
      </c>
      <c r="I189" s="11" t="s">
        <v>445</v>
      </c>
      <c r="J189" s="11" t="s">
        <v>490</v>
      </c>
      <c r="K189" s="8" t="n">
        <v>6</v>
      </c>
      <c r="L189" s="8" t="n">
        <v>53</v>
      </c>
      <c r="M189" s="8" t="n">
        <v>2</v>
      </c>
      <c r="N189" s="8" t="n">
        <v>6</v>
      </c>
      <c r="O189" s="8" t="n">
        <v>10</v>
      </c>
      <c r="P189" s="9" t="n">
        <v>55.1831844940191</v>
      </c>
      <c r="Q189" s="10" t="n">
        <v>0.0181214623470738</v>
      </c>
      <c r="R189" s="9" t="n">
        <v>81</v>
      </c>
      <c r="S189" s="13" t="n">
        <f aca="false">IF(AND(ISNUMBER(R189),R189&gt;1,P189&gt;0),R189/P189-1,"")</f>
        <v>0.467838450112986</v>
      </c>
      <c r="T189" s="9" t="n">
        <f aca="false">IF(AND(ISNUMBER(P189),P189&gt;0),P189*EXP('Read me'!$B$22),"")</f>
        <v>67.4008937450565</v>
      </c>
    </row>
    <row r="190" customFormat="false" ht="15" hidden="false" customHeight="false" outlineLevel="0" collapsed="false">
      <c r="A190" s="11" t="s">
        <v>158</v>
      </c>
      <c r="B190" s="11" t="s">
        <v>56</v>
      </c>
      <c r="C190" s="11" t="s">
        <v>159</v>
      </c>
      <c r="D190" s="11" t="s">
        <v>241</v>
      </c>
      <c r="E190" s="12" t="n">
        <v>7</v>
      </c>
      <c r="F190" s="11" t="s">
        <v>242</v>
      </c>
      <c r="G190" s="8" t="n">
        <v>10</v>
      </c>
      <c r="H190" s="11" t="s">
        <v>160</v>
      </c>
      <c r="I190" s="11" t="s">
        <v>161</v>
      </c>
      <c r="J190" s="11" t="s">
        <v>162</v>
      </c>
      <c r="K190" s="8" t="n">
        <v>1</v>
      </c>
      <c r="L190" s="8" t="n">
        <v>79</v>
      </c>
      <c r="M190" s="8" t="n">
        <v>4</v>
      </c>
      <c r="N190" s="8" t="n">
        <v>17</v>
      </c>
      <c r="O190" s="8" t="n">
        <v>1</v>
      </c>
      <c r="P190" s="9" t="n">
        <v>4.33854368130244</v>
      </c>
      <c r="Q190" s="10" t="n">
        <v>0.230492089847946</v>
      </c>
      <c r="R190" s="9" t="n">
        <v>3.5</v>
      </c>
      <c r="S190" s="13" t="n">
        <f aca="false">IF(AND(ISNUMBER(R190),R190&gt;1,P190&gt;0),R190/P190-1,"")</f>
        <v>-0.19327768553219</v>
      </c>
      <c r="T190" s="9" t="n">
        <f aca="false">IF(AND(ISNUMBER(P190),P190&gt;0),P190*EXP('Read me'!$B$22),"")</f>
        <v>5.29910921874118</v>
      </c>
    </row>
    <row r="191" customFormat="false" ht="15" hidden="false" customHeight="false" outlineLevel="0" collapsed="false">
      <c r="A191" s="11" t="s">
        <v>158</v>
      </c>
      <c r="B191" s="11" t="s">
        <v>56</v>
      </c>
      <c r="C191" s="11" t="s">
        <v>159</v>
      </c>
      <c r="D191" s="11" t="s">
        <v>241</v>
      </c>
      <c r="E191" s="12" t="n">
        <v>7</v>
      </c>
      <c r="F191" s="11" t="s">
        <v>242</v>
      </c>
      <c r="G191" s="8" t="n">
        <v>10</v>
      </c>
      <c r="H191" s="11" t="s">
        <v>163</v>
      </c>
      <c r="I191" s="11" t="s">
        <v>390</v>
      </c>
      <c r="J191" s="11" t="s">
        <v>391</v>
      </c>
      <c r="K191" s="8" t="n">
        <v>5</v>
      </c>
      <c r="L191" s="8" t="n">
        <v>75</v>
      </c>
      <c r="M191" s="8" t="n">
        <v>5</v>
      </c>
      <c r="N191" s="8" t="n">
        <v>17</v>
      </c>
      <c r="O191" s="8" t="n">
        <v>2</v>
      </c>
      <c r="P191" s="9" t="n">
        <v>6.7629404279676</v>
      </c>
      <c r="Q191" s="10" t="n">
        <v>0.147864676711417</v>
      </c>
      <c r="R191" s="9" t="n">
        <v>5</v>
      </c>
      <c r="S191" s="13" t="n">
        <f aca="false">IF(AND(ISNUMBER(R191),R191&gt;1,P191&gt;0),R191/P191-1,"")</f>
        <v>-0.260676616442916</v>
      </c>
      <c r="T191" s="9" t="n">
        <f aca="false">IF(AND(ISNUMBER(P191),P191&gt;0),P191*EXP('Read me'!$B$22),"")</f>
        <v>8.26027409199255</v>
      </c>
    </row>
    <row r="192" customFormat="false" ht="15" hidden="false" customHeight="false" outlineLevel="0" collapsed="false">
      <c r="A192" s="11" t="s">
        <v>158</v>
      </c>
      <c r="B192" s="11" t="s">
        <v>56</v>
      </c>
      <c r="C192" s="11" t="s">
        <v>159</v>
      </c>
      <c r="D192" s="11" t="s">
        <v>241</v>
      </c>
      <c r="E192" s="12" t="n">
        <v>7</v>
      </c>
      <c r="F192" s="11" t="s">
        <v>242</v>
      </c>
      <c r="G192" s="8" t="n">
        <v>10</v>
      </c>
      <c r="H192" s="11" t="s">
        <v>491</v>
      </c>
      <c r="I192" s="11" t="s">
        <v>311</v>
      </c>
      <c r="J192" s="11" t="s">
        <v>312</v>
      </c>
      <c r="K192" s="8" t="n">
        <v>6</v>
      </c>
      <c r="L192" s="8" t="n">
        <v>70</v>
      </c>
      <c r="M192" s="8" t="n">
        <v>4</v>
      </c>
      <c r="N192" s="8" t="n">
        <v>23</v>
      </c>
      <c r="O192" s="8" t="n">
        <v>3</v>
      </c>
      <c r="P192" s="9" t="n">
        <v>7.69252573007377</v>
      </c>
      <c r="Q192" s="10" t="n">
        <v>0.129996315266197</v>
      </c>
      <c r="R192" s="9" t="n">
        <v>6</v>
      </c>
      <c r="S192" s="13" t="n">
        <f aca="false">IF(AND(ISNUMBER(R192),R192&gt;1,P192&gt;0),R192/P192-1,"")</f>
        <v>-0.220022108402819</v>
      </c>
      <c r="T192" s="9" t="n">
        <f aca="false">IF(AND(ISNUMBER(P192),P192&gt;0),P192*EXP('Read me'!$B$22),"")</f>
        <v>9.39567214393017</v>
      </c>
    </row>
    <row r="193" customFormat="false" ht="15" hidden="false" customHeight="false" outlineLevel="0" collapsed="false">
      <c r="A193" s="11" t="s">
        <v>158</v>
      </c>
      <c r="B193" s="11" t="s">
        <v>56</v>
      </c>
      <c r="C193" s="11" t="s">
        <v>159</v>
      </c>
      <c r="D193" s="11" t="s">
        <v>241</v>
      </c>
      <c r="E193" s="12" t="n">
        <v>7</v>
      </c>
      <c r="F193" s="11" t="s">
        <v>242</v>
      </c>
      <c r="G193" s="8" t="n">
        <v>10</v>
      </c>
      <c r="H193" s="11" t="s">
        <v>492</v>
      </c>
      <c r="I193" s="11" t="s">
        <v>289</v>
      </c>
      <c r="J193" s="11" t="s">
        <v>249</v>
      </c>
      <c r="K193" s="8" t="n">
        <v>10</v>
      </c>
      <c r="L193" s="8" t="n">
        <v>75</v>
      </c>
      <c r="M193" s="8" t="n">
        <v>3</v>
      </c>
      <c r="N193" s="8" t="n">
        <v>9</v>
      </c>
      <c r="O193" s="8" t="n">
        <v>4</v>
      </c>
      <c r="P193" s="9" t="n">
        <v>7.91218429755934</v>
      </c>
      <c r="Q193" s="10" t="n">
        <v>0.126387349231548</v>
      </c>
      <c r="R193" s="9" t="n">
        <v>6</v>
      </c>
      <c r="S193" s="13" t="n">
        <f aca="false">IF(AND(ISNUMBER(R193),R193&gt;1,P193&gt;0),R193/P193-1,"")</f>
        <v>-0.241675904610714</v>
      </c>
      <c r="T193" s="9" t="n">
        <f aca="false">IF(AND(ISNUMBER(P193),P193&gt;0),P193*EXP('Read me'!$B$22),"")</f>
        <v>9.66396372411056</v>
      </c>
    </row>
    <row r="194" customFormat="false" ht="15" hidden="false" customHeight="false" outlineLevel="0" collapsed="false">
      <c r="A194" s="11" t="s">
        <v>158</v>
      </c>
      <c r="B194" s="11" t="s">
        <v>56</v>
      </c>
      <c r="C194" s="11" t="s">
        <v>159</v>
      </c>
      <c r="D194" s="11" t="s">
        <v>241</v>
      </c>
      <c r="E194" s="12" t="n">
        <v>7</v>
      </c>
      <c r="F194" s="11" t="s">
        <v>242</v>
      </c>
      <c r="G194" s="8" t="n">
        <v>10</v>
      </c>
      <c r="H194" s="11" t="s">
        <v>493</v>
      </c>
      <c r="I194" s="11" t="s">
        <v>75</v>
      </c>
      <c r="J194" s="11" t="s">
        <v>377</v>
      </c>
      <c r="K194" s="8" t="n">
        <v>3</v>
      </c>
      <c r="L194" s="8" t="n">
        <v>78</v>
      </c>
      <c r="M194" s="8" t="n">
        <v>4</v>
      </c>
      <c r="N194" s="8" t="n">
        <v>32</v>
      </c>
      <c r="O194" s="8" t="n">
        <v>5</v>
      </c>
      <c r="P194" s="9" t="n">
        <v>7.96485017360906</v>
      </c>
      <c r="Q194" s="10" t="n">
        <v>0.125551639792727</v>
      </c>
      <c r="R194" s="9" t="n">
        <v>11</v>
      </c>
      <c r="S194" s="13" t="n">
        <f aca="false">IF(AND(ISNUMBER(R194),R194&gt;1,P194&gt;0),R194/P194-1,"")</f>
        <v>0.381068037719993</v>
      </c>
      <c r="T194" s="9" t="n">
        <f aca="false">IF(AND(ISNUMBER(P194),P194&gt;0),P194*EXP('Read me'!$B$22),"")</f>
        <v>9.72828997037861</v>
      </c>
    </row>
    <row r="195" customFormat="false" ht="15" hidden="false" customHeight="false" outlineLevel="0" collapsed="false">
      <c r="A195" s="11" t="s">
        <v>158</v>
      </c>
      <c r="B195" s="11" t="s">
        <v>56</v>
      </c>
      <c r="C195" s="11" t="s">
        <v>159</v>
      </c>
      <c r="D195" s="11" t="s">
        <v>241</v>
      </c>
      <c r="E195" s="12" t="n">
        <v>7</v>
      </c>
      <c r="F195" s="11" t="s">
        <v>242</v>
      </c>
      <c r="G195" s="8" t="n">
        <v>10</v>
      </c>
      <c r="H195" s="11" t="s">
        <v>494</v>
      </c>
      <c r="I195" s="11" t="s">
        <v>495</v>
      </c>
      <c r="J195" s="11" t="s">
        <v>309</v>
      </c>
      <c r="K195" s="8" t="n">
        <v>8</v>
      </c>
      <c r="L195" s="8" t="n">
        <v>74</v>
      </c>
      <c r="M195" s="8" t="n">
        <v>3</v>
      </c>
      <c r="N195" s="8" t="n">
        <v>16</v>
      </c>
      <c r="O195" s="8" t="n">
        <v>6</v>
      </c>
      <c r="P195" s="9" t="n">
        <v>10.8227521648488</v>
      </c>
      <c r="Q195" s="10" t="n">
        <v>0.0923979395229892</v>
      </c>
      <c r="R195" s="9" t="n">
        <v>11</v>
      </c>
      <c r="S195" s="13" t="n">
        <f aca="false">IF(AND(ISNUMBER(R195),R195&gt;1,P195&gt;0),R195/P195-1,"")</f>
        <v>0.0163773347528813</v>
      </c>
      <c r="T195" s="9" t="n">
        <f aca="false">IF(AND(ISNUMBER(P195),P195&gt;0),P195*EXP('Read me'!$B$22),"")</f>
        <v>13.2189393450303</v>
      </c>
    </row>
    <row r="196" customFormat="false" ht="15" hidden="false" customHeight="false" outlineLevel="0" collapsed="false">
      <c r="A196" s="11" t="s">
        <v>158</v>
      </c>
      <c r="B196" s="11" t="s">
        <v>56</v>
      </c>
      <c r="C196" s="11" t="s">
        <v>159</v>
      </c>
      <c r="D196" s="11" t="s">
        <v>241</v>
      </c>
      <c r="E196" s="12" t="n">
        <v>7</v>
      </c>
      <c r="F196" s="11" t="s">
        <v>242</v>
      </c>
      <c r="G196" s="8" t="n">
        <v>10</v>
      </c>
      <c r="H196" s="11" t="s">
        <v>496</v>
      </c>
      <c r="I196" s="11" t="s">
        <v>253</v>
      </c>
      <c r="J196" s="11" t="s">
        <v>497</v>
      </c>
      <c r="K196" s="8" t="n">
        <v>9</v>
      </c>
      <c r="L196" s="8" t="n">
        <v>75</v>
      </c>
      <c r="M196" s="8" t="n">
        <v>6</v>
      </c>
      <c r="N196" s="8" t="n">
        <v>22</v>
      </c>
      <c r="O196" s="8" t="n">
        <v>7</v>
      </c>
      <c r="P196" s="9" t="n">
        <v>14.5089139281041</v>
      </c>
      <c r="Q196" s="10" t="n">
        <v>0.0689231464846569</v>
      </c>
      <c r="R196" s="9" t="n">
        <v>10</v>
      </c>
      <c r="S196" s="13" t="n">
        <f aca="false">IF(AND(ISNUMBER(R196),R196&gt;1,P196&gt;0),R196/P196-1,"")</f>
        <v>-0.31076853515343</v>
      </c>
      <c r="T196" s="9" t="n">
        <f aca="false">IF(AND(ISNUMBER(P196),P196&gt;0),P196*EXP('Read me'!$B$22),"")</f>
        <v>17.7212274896949</v>
      </c>
    </row>
    <row r="197" customFormat="false" ht="15" hidden="false" customHeight="false" outlineLevel="0" collapsed="false">
      <c r="A197" s="11" t="s">
        <v>158</v>
      </c>
      <c r="B197" s="11" t="s">
        <v>56</v>
      </c>
      <c r="C197" s="11" t="s">
        <v>159</v>
      </c>
      <c r="D197" s="11" t="s">
        <v>241</v>
      </c>
      <c r="E197" s="12" t="n">
        <v>7</v>
      </c>
      <c r="F197" s="11" t="s">
        <v>242</v>
      </c>
      <c r="G197" s="8" t="n">
        <v>10</v>
      </c>
      <c r="H197" s="11" t="s">
        <v>498</v>
      </c>
      <c r="I197" s="11" t="s">
        <v>464</v>
      </c>
      <c r="J197" s="11" t="s">
        <v>499</v>
      </c>
      <c r="K197" s="8" t="n">
        <v>7</v>
      </c>
      <c r="L197" s="8" t="n">
        <v>70</v>
      </c>
      <c r="M197" s="8" t="n">
        <v>3</v>
      </c>
      <c r="N197" s="8" t="n">
        <v>27</v>
      </c>
      <c r="O197" s="8" t="n">
        <v>8</v>
      </c>
      <c r="P197" s="9" t="n">
        <v>31.0243168877554</v>
      </c>
      <c r="Q197" s="10" t="n">
        <v>0.0322327806158619</v>
      </c>
      <c r="R197" s="9" t="n">
        <v>26</v>
      </c>
      <c r="S197" s="13" t="n">
        <f aca="false">IF(AND(ISNUMBER(R197),R197&gt;1,P197&gt;0),R197/P197-1,"")</f>
        <v>-0.161947703987591</v>
      </c>
      <c r="T197" s="9" t="n">
        <f aca="false">IF(AND(ISNUMBER(P197),P197&gt;0),P197*EXP('Read me'!$B$22),"")</f>
        <v>37.8931862167396</v>
      </c>
    </row>
    <row r="198" customFormat="false" ht="15" hidden="false" customHeight="false" outlineLevel="0" collapsed="false">
      <c r="A198" s="11" t="s">
        <v>158</v>
      </c>
      <c r="B198" s="11" t="s">
        <v>56</v>
      </c>
      <c r="C198" s="11" t="s">
        <v>159</v>
      </c>
      <c r="D198" s="11" t="s">
        <v>241</v>
      </c>
      <c r="E198" s="12" t="n">
        <v>7</v>
      </c>
      <c r="F198" s="11" t="s">
        <v>242</v>
      </c>
      <c r="G198" s="8" t="n">
        <v>10</v>
      </c>
      <c r="H198" s="11" t="s">
        <v>500</v>
      </c>
      <c r="I198" s="11" t="s">
        <v>258</v>
      </c>
      <c r="J198" s="11" t="s">
        <v>377</v>
      </c>
      <c r="K198" s="8" t="n">
        <v>2</v>
      </c>
      <c r="L198" s="8" t="n">
        <v>62</v>
      </c>
      <c r="M198" s="8" t="n">
        <v>4</v>
      </c>
      <c r="N198" s="8" t="n">
        <v>10</v>
      </c>
      <c r="O198" s="8" t="n">
        <v>9</v>
      </c>
      <c r="P198" s="9" t="n">
        <v>36.5946902668167</v>
      </c>
      <c r="Q198" s="10" t="n">
        <v>0.0273263687357064</v>
      </c>
      <c r="R198" s="9" t="n">
        <v>34</v>
      </c>
      <c r="S198" s="13" t="n">
        <f aca="false">IF(AND(ISNUMBER(R198),R198&gt;1,P198&gt;0),R198/P198-1,"")</f>
        <v>-0.0709034629859814</v>
      </c>
      <c r="T198" s="9" t="n">
        <f aca="false">IF(AND(ISNUMBER(P198),P198&gt;0),P198*EXP('Read me'!$B$22),"")</f>
        <v>44.696855625907</v>
      </c>
    </row>
    <row r="199" customFormat="false" ht="15" hidden="false" customHeight="false" outlineLevel="0" collapsed="false">
      <c r="A199" s="11" t="s">
        <v>158</v>
      </c>
      <c r="B199" s="11" t="s">
        <v>56</v>
      </c>
      <c r="C199" s="11" t="s">
        <v>159</v>
      </c>
      <c r="D199" s="11" t="s">
        <v>241</v>
      </c>
      <c r="E199" s="12" t="n">
        <v>7</v>
      </c>
      <c r="F199" s="11" t="s">
        <v>242</v>
      </c>
      <c r="G199" s="8" t="n">
        <v>10</v>
      </c>
      <c r="H199" s="11" t="s">
        <v>501</v>
      </c>
      <c r="I199" s="11" t="s">
        <v>457</v>
      </c>
      <c r="J199" s="11" t="s">
        <v>502</v>
      </c>
      <c r="K199" s="8" t="n">
        <v>4</v>
      </c>
      <c r="L199" s="8" t="n">
        <v>67</v>
      </c>
      <c r="M199" s="8" t="n">
        <v>3</v>
      </c>
      <c r="N199" s="8" t="n">
        <v>87</v>
      </c>
      <c r="O199" s="8" t="n">
        <v>10</v>
      </c>
      <c r="P199" s="9" t="n">
        <v>53.1132496153393</v>
      </c>
      <c r="Q199" s="10" t="n">
        <v>0.0188276937909518</v>
      </c>
      <c r="R199" s="9" t="n">
        <v>51</v>
      </c>
      <c r="S199" s="13" t="n">
        <f aca="false">IF(AND(ISNUMBER(R199),R199&gt;1,P199&gt;0),R199/P199-1,"")</f>
        <v>-0.0397876166614551</v>
      </c>
      <c r="T199" s="9" t="n">
        <f aca="false">IF(AND(ISNUMBER(P199),P199&gt;0),P199*EXP('Read me'!$B$22),"")</f>
        <v>64.872669575025</v>
      </c>
    </row>
    <row r="200" customFormat="false" ht="15" hidden="false" customHeight="false" outlineLevel="0" collapsed="false">
      <c r="A200" s="11" t="s">
        <v>164</v>
      </c>
      <c r="B200" s="11" t="s">
        <v>42</v>
      </c>
      <c r="C200" s="11" t="s">
        <v>165</v>
      </c>
      <c r="D200" s="11" t="s">
        <v>184</v>
      </c>
      <c r="E200" s="12" t="n">
        <v>10</v>
      </c>
      <c r="F200" s="11" t="s">
        <v>185</v>
      </c>
      <c r="G200" s="8" t="n">
        <v>5</v>
      </c>
      <c r="H200" s="11" t="s">
        <v>166</v>
      </c>
      <c r="I200" s="11" t="s">
        <v>167</v>
      </c>
      <c r="J200" s="11" t="s">
        <v>168</v>
      </c>
      <c r="K200" s="8" t="n">
        <v>5</v>
      </c>
      <c r="L200" s="8" t="n">
        <v>51</v>
      </c>
      <c r="M200" s="8" t="n">
        <v>4</v>
      </c>
      <c r="N200" s="8" t="n">
        <v>6</v>
      </c>
      <c r="O200" s="8" t="n">
        <v>1</v>
      </c>
      <c r="P200" s="9" t="n">
        <v>2.94648463127077</v>
      </c>
      <c r="Q200" s="10" t="n">
        <v>0.339387482081899</v>
      </c>
      <c r="R200" s="9" t="n">
        <v>2.875</v>
      </c>
      <c r="S200" s="13" t="n">
        <f aca="false">IF(AND(ISNUMBER(R200),R200&gt;1,P200&gt;0),R200/P200-1,"")</f>
        <v>-0.0242609890145397</v>
      </c>
      <c r="T200" s="9" t="n">
        <f aca="false">IF(AND(ISNUMBER(P200),P200&gt;0),P200*EXP('Read me'!$B$22),"")</f>
        <v>3.59884445551067</v>
      </c>
    </row>
    <row r="201" customFormat="false" ht="15" hidden="false" customHeight="false" outlineLevel="0" collapsed="false">
      <c r="A201" s="11" t="s">
        <v>164</v>
      </c>
      <c r="B201" s="11" t="s">
        <v>42</v>
      </c>
      <c r="C201" s="11" t="s">
        <v>165</v>
      </c>
      <c r="D201" s="11" t="s">
        <v>184</v>
      </c>
      <c r="E201" s="12" t="n">
        <v>10</v>
      </c>
      <c r="F201" s="11" t="s">
        <v>185</v>
      </c>
      <c r="G201" s="8" t="n">
        <v>5</v>
      </c>
      <c r="H201" s="11" t="s">
        <v>169</v>
      </c>
      <c r="I201" s="11" t="s">
        <v>503</v>
      </c>
      <c r="J201" s="11" t="s">
        <v>504</v>
      </c>
      <c r="K201" s="8" t="n">
        <v>3</v>
      </c>
      <c r="L201" s="8" t="n">
        <v>47</v>
      </c>
      <c r="M201" s="8" t="n">
        <v>4</v>
      </c>
      <c r="N201" s="8" t="n">
        <v>8</v>
      </c>
      <c r="O201" s="8" t="n">
        <v>2</v>
      </c>
      <c r="P201" s="9" t="n">
        <v>3.91977788021374</v>
      </c>
      <c r="Q201" s="10" t="n">
        <v>0.255116496536144</v>
      </c>
      <c r="R201" s="9" t="n">
        <v>4.33333333333333</v>
      </c>
      <c r="S201" s="13" t="n">
        <f aca="false">IF(AND(ISNUMBER(R201),R201&gt;1,P201&gt;0),R201/P201-1,"")</f>
        <v>0.105504818323289</v>
      </c>
      <c r="T201" s="9" t="n">
        <f aca="false">IF(AND(ISNUMBER(P201),P201&gt;0),P201*EXP('Read me'!$B$22),"")</f>
        <v>4.78762751426828</v>
      </c>
    </row>
    <row r="202" customFormat="false" ht="15" hidden="false" customHeight="false" outlineLevel="0" collapsed="false">
      <c r="A202" s="11" t="s">
        <v>164</v>
      </c>
      <c r="B202" s="11" t="s">
        <v>42</v>
      </c>
      <c r="C202" s="11" t="s">
        <v>165</v>
      </c>
      <c r="D202" s="11" t="s">
        <v>184</v>
      </c>
      <c r="E202" s="12" t="n">
        <v>10</v>
      </c>
      <c r="F202" s="11" t="s">
        <v>185</v>
      </c>
      <c r="G202" s="8" t="n">
        <v>5</v>
      </c>
      <c r="H202" s="11" t="s">
        <v>505</v>
      </c>
      <c r="I202" s="11" t="s">
        <v>506</v>
      </c>
      <c r="J202" s="11" t="s">
        <v>379</v>
      </c>
      <c r="K202" s="8" t="n">
        <v>1</v>
      </c>
      <c r="L202" s="8" t="n">
        <v>49</v>
      </c>
      <c r="M202" s="8" t="n">
        <v>4</v>
      </c>
      <c r="N202" s="8" t="n">
        <v>6</v>
      </c>
      <c r="O202" s="8" t="n">
        <v>3</v>
      </c>
      <c r="P202" s="9" t="n">
        <v>4.69165670558997</v>
      </c>
      <c r="Q202" s="10" t="n">
        <v>0.213144324649442</v>
      </c>
      <c r="R202" s="9" t="n">
        <v>5</v>
      </c>
      <c r="S202" s="13" t="n">
        <f aca="false">IF(AND(ISNUMBER(R202),R202&gt;1,P202&gt;0),R202/P202-1,"")</f>
        <v>0.0657216232472102</v>
      </c>
      <c r="T202" s="9" t="n">
        <f aca="false">IF(AND(ISNUMBER(P202),P202&gt;0),P202*EXP('Read me'!$B$22),"")</f>
        <v>5.73040244054824</v>
      </c>
    </row>
    <row r="203" customFormat="false" ht="15" hidden="false" customHeight="false" outlineLevel="0" collapsed="false">
      <c r="A203" s="11" t="s">
        <v>164</v>
      </c>
      <c r="B203" s="11" t="s">
        <v>42</v>
      </c>
      <c r="C203" s="11" t="s">
        <v>165</v>
      </c>
      <c r="D203" s="11" t="s">
        <v>184</v>
      </c>
      <c r="E203" s="12" t="n">
        <v>10</v>
      </c>
      <c r="F203" s="11" t="s">
        <v>185</v>
      </c>
      <c r="G203" s="8" t="n">
        <v>5</v>
      </c>
      <c r="H203" s="11" t="s">
        <v>507</v>
      </c>
      <c r="I203" s="11" t="s">
        <v>508</v>
      </c>
      <c r="J203" s="11" t="s">
        <v>509</v>
      </c>
      <c r="K203" s="8" t="n">
        <v>6</v>
      </c>
      <c r="L203" s="8" t="n">
        <v>49</v>
      </c>
      <c r="M203" s="8" t="n">
        <v>6</v>
      </c>
      <c r="N203" s="8" t="n">
        <v>32</v>
      </c>
      <c r="O203" s="8" t="n">
        <v>4</v>
      </c>
      <c r="P203" s="9" t="n">
        <v>8.35404596333592</v>
      </c>
      <c r="Q203" s="10" t="n">
        <v>0.119702477624469</v>
      </c>
      <c r="R203" s="9" t="n">
        <v>9</v>
      </c>
      <c r="S203" s="13" t="n">
        <f aca="false">IF(AND(ISNUMBER(R203),R203&gt;1,P203&gt;0),R203/P203-1,"")</f>
        <v>0.0773222986202167</v>
      </c>
      <c r="T203" s="9" t="n">
        <f aca="false">IF(AND(ISNUMBER(P203),P203&gt;0),P203*EXP('Read me'!$B$22),"")</f>
        <v>10.2036547814153</v>
      </c>
    </row>
    <row r="204" customFormat="false" ht="15" hidden="false" customHeight="false" outlineLevel="0" collapsed="false">
      <c r="A204" s="11" t="s">
        <v>164</v>
      </c>
      <c r="B204" s="11" t="s">
        <v>42</v>
      </c>
      <c r="C204" s="11" t="s">
        <v>165</v>
      </c>
      <c r="D204" s="11" t="s">
        <v>184</v>
      </c>
      <c r="E204" s="12" t="n">
        <v>10</v>
      </c>
      <c r="F204" s="11" t="s">
        <v>185</v>
      </c>
      <c r="G204" s="8" t="n">
        <v>5</v>
      </c>
      <c r="H204" s="11" t="s">
        <v>510</v>
      </c>
      <c r="I204" s="11" t="s">
        <v>511</v>
      </c>
      <c r="J204" s="11" t="s">
        <v>512</v>
      </c>
      <c r="K204" s="8" t="n">
        <v>2</v>
      </c>
      <c r="L204" s="8" t="n">
        <v>47</v>
      </c>
      <c r="M204" s="8" t="n">
        <v>7</v>
      </c>
      <c r="N204" s="8" t="n">
        <v>15</v>
      </c>
      <c r="O204" s="8" t="n">
        <v>5</v>
      </c>
      <c r="P204" s="9" t="n">
        <v>13.7647728671765</v>
      </c>
      <c r="Q204" s="10" t="n">
        <v>0.0726492191080465</v>
      </c>
      <c r="R204" s="9" t="n">
        <v>4.5</v>
      </c>
      <c r="S204" s="13" t="n">
        <f aca="false">IF(AND(ISNUMBER(R204),R204&gt;1,P204&gt;0),R204/P204-1,"")</f>
        <v>-0.673078514013791</v>
      </c>
      <c r="T204" s="9" t="n">
        <f aca="false">IF(AND(ISNUMBER(P204),P204&gt;0),P204*EXP('Read me'!$B$22),"")</f>
        <v>16.8123315454176</v>
      </c>
    </row>
    <row r="205" customFormat="false" ht="15" hidden="false" customHeight="false" outlineLevel="0" collapsed="false">
      <c r="A205" s="11" t="s">
        <v>170</v>
      </c>
      <c r="B205" s="11" t="s">
        <v>49</v>
      </c>
      <c r="C205" s="11" t="s">
        <v>171</v>
      </c>
      <c r="D205" s="11"/>
      <c r="E205" s="12" t="n">
        <v>10</v>
      </c>
      <c r="F205" s="11" t="s">
        <v>211</v>
      </c>
      <c r="G205" s="8" t="n">
        <v>18</v>
      </c>
      <c r="H205" s="11" t="s">
        <v>172</v>
      </c>
      <c r="I205" s="11" t="s">
        <v>173</v>
      </c>
      <c r="J205" s="11" t="s">
        <v>174</v>
      </c>
      <c r="K205" s="8" t="n">
        <v>21</v>
      </c>
      <c r="L205" s="8" t="n">
        <v>66</v>
      </c>
      <c r="M205" s="8" t="n">
        <v>4</v>
      </c>
      <c r="N205" s="8" t="n">
        <v>8</v>
      </c>
      <c r="O205" s="8" t="n">
        <v>1</v>
      </c>
      <c r="P205" s="9" t="n">
        <v>4.45846306482169</v>
      </c>
      <c r="Q205" s="10" t="n">
        <v>0.224292538810119</v>
      </c>
      <c r="R205" s="9" t="n">
        <v>4.33333333333333</v>
      </c>
      <c r="S205" s="13" t="n">
        <f aca="false">IF(AND(ISNUMBER(R205),R205&gt;1,P205&gt;0),R205/P205-1,"")</f>
        <v>-0.0280656651561527</v>
      </c>
      <c r="T205" s="9" t="n">
        <f aca="false">IF(AND(ISNUMBER(P205),P205&gt;0),P205*EXP('Read me'!$B$22),"")</f>
        <v>5.44557908452846</v>
      </c>
    </row>
    <row r="206" customFormat="false" ht="15" hidden="false" customHeight="false" outlineLevel="0" collapsed="false">
      <c r="A206" s="11" t="s">
        <v>170</v>
      </c>
      <c r="B206" s="11" t="s">
        <v>49</v>
      </c>
      <c r="C206" s="11" t="s">
        <v>171</v>
      </c>
      <c r="D206" s="11"/>
      <c r="E206" s="12" t="n">
        <v>10</v>
      </c>
      <c r="F206" s="11" t="s">
        <v>211</v>
      </c>
      <c r="G206" s="8" t="n">
        <v>18</v>
      </c>
      <c r="H206" s="11" t="s">
        <v>175</v>
      </c>
      <c r="I206" s="11" t="s">
        <v>513</v>
      </c>
      <c r="J206" s="11" t="s">
        <v>514</v>
      </c>
      <c r="K206" s="8" t="n">
        <v>3</v>
      </c>
      <c r="L206" s="8" t="n">
        <v>62</v>
      </c>
      <c r="M206" s="8" t="n">
        <v>4</v>
      </c>
      <c r="N206" s="8" t="n">
        <v>53</v>
      </c>
      <c r="O206" s="8" t="n">
        <v>2</v>
      </c>
      <c r="P206" s="9" t="n">
        <v>6.29542586967907</v>
      </c>
      <c r="Q206" s="10" t="n">
        <v>0.158845488883658</v>
      </c>
      <c r="R206" s="9" t="n">
        <v>7.5</v>
      </c>
      <c r="S206" s="13" t="n">
        <f aca="false">IF(AND(ISNUMBER(R206),R206&gt;1,P206&gt;0),R206/P206-1,"")</f>
        <v>0.191341166627435</v>
      </c>
      <c r="T206" s="9" t="n">
        <f aca="false">IF(AND(ISNUMBER(P206),P206&gt;0),P206*EXP('Read me'!$B$22),"")</f>
        <v>7.6892505210189</v>
      </c>
    </row>
    <row r="207" customFormat="false" ht="15" hidden="false" customHeight="false" outlineLevel="0" collapsed="false">
      <c r="A207" s="11" t="s">
        <v>170</v>
      </c>
      <c r="B207" s="11" t="s">
        <v>49</v>
      </c>
      <c r="C207" s="11" t="s">
        <v>171</v>
      </c>
      <c r="D207" s="11"/>
      <c r="E207" s="12" t="n">
        <v>10</v>
      </c>
      <c r="F207" s="11" t="s">
        <v>211</v>
      </c>
      <c r="G207" s="8" t="n">
        <v>18</v>
      </c>
      <c r="H207" s="11" t="s">
        <v>515</v>
      </c>
      <c r="I207" s="11" t="s">
        <v>516</v>
      </c>
      <c r="J207" s="11" t="s">
        <v>320</v>
      </c>
      <c r="K207" s="8" t="n">
        <v>19</v>
      </c>
      <c r="L207" s="8" t="n">
        <v>49</v>
      </c>
      <c r="M207" s="8" t="n">
        <v>5</v>
      </c>
      <c r="N207" s="8" t="n">
        <v>2</v>
      </c>
      <c r="O207" s="8" t="n">
        <v>3</v>
      </c>
      <c r="P207" s="9" t="n">
        <v>10.0487433728049</v>
      </c>
      <c r="Q207" s="10" t="n">
        <v>0.0995149306635016</v>
      </c>
      <c r="R207" s="9" t="n">
        <v>5.5</v>
      </c>
      <c r="S207" s="13" t="n">
        <f aca="false">IF(AND(ISNUMBER(R207),R207&gt;1,P207&gt;0),R207/P207-1,"")</f>
        <v>-0.452667881350741</v>
      </c>
      <c r="T207" s="9" t="n">
        <f aca="false">IF(AND(ISNUMBER(P207),P207&gt;0),P207*EXP('Read me'!$B$22),"")</f>
        <v>12.2735628715876</v>
      </c>
    </row>
    <row r="208" customFormat="false" ht="15" hidden="false" customHeight="false" outlineLevel="0" collapsed="false">
      <c r="A208" s="11" t="s">
        <v>170</v>
      </c>
      <c r="B208" s="11" t="s">
        <v>49</v>
      </c>
      <c r="C208" s="11" t="s">
        <v>171</v>
      </c>
      <c r="D208" s="11"/>
      <c r="E208" s="12" t="n">
        <v>10</v>
      </c>
      <c r="F208" s="11" t="s">
        <v>211</v>
      </c>
      <c r="G208" s="8" t="n">
        <v>18</v>
      </c>
      <c r="H208" s="11" t="s">
        <v>517</v>
      </c>
      <c r="I208" s="11" t="s">
        <v>518</v>
      </c>
      <c r="J208" s="11" t="s">
        <v>389</v>
      </c>
      <c r="K208" s="8" t="n">
        <v>7</v>
      </c>
      <c r="L208" s="8" t="n">
        <v>71</v>
      </c>
      <c r="M208" s="8" t="n">
        <v>4</v>
      </c>
      <c r="N208" s="8" t="n">
        <v>28</v>
      </c>
      <c r="O208" s="8" t="n">
        <v>4</v>
      </c>
      <c r="P208" s="9" t="n">
        <v>10.5695170705165</v>
      </c>
      <c r="Q208" s="10" t="n">
        <v>0.0946117020605877</v>
      </c>
      <c r="R208" s="9" t="n">
        <v>6</v>
      </c>
      <c r="S208" s="13" t="n">
        <f aca="false">IF(AND(ISNUMBER(R208),R208&gt;1,P208&gt;0),R208/P208-1,"")</f>
        <v>-0.432329787636474</v>
      </c>
      <c r="T208" s="9" t="n">
        <f aca="false">IF(AND(ISNUMBER(P208),P208&gt;0),P208*EXP('Read me'!$B$22),"")</f>
        <v>12.9096373023498</v>
      </c>
    </row>
    <row r="209" customFormat="false" ht="15" hidden="false" customHeight="false" outlineLevel="0" collapsed="false">
      <c r="A209" s="11" t="s">
        <v>170</v>
      </c>
      <c r="B209" s="11" t="s">
        <v>49</v>
      </c>
      <c r="C209" s="11" t="s">
        <v>171</v>
      </c>
      <c r="D209" s="11"/>
      <c r="E209" s="12" t="n">
        <v>10</v>
      </c>
      <c r="F209" s="11" t="s">
        <v>211</v>
      </c>
      <c r="G209" s="8" t="n">
        <v>18</v>
      </c>
      <c r="H209" s="11" t="s">
        <v>519</v>
      </c>
      <c r="I209" s="11" t="s">
        <v>520</v>
      </c>
      <c r="J209" s="11" t="s">
        <v>320</v>
      </c>
      <c r="K209" s="8" t="n">
        <v>17</v>
      </c>
      <c r="L209" s="8" t="n">
        <v>62</v>
      </c>
      <c r="M209" s="8" t="n">
        <v>5</v>
      </c>
      <c r="N209" s="8" t="n">
        <v>40</v>
      </c>
      <c r="O209" s="8" t="n">
        <v>5</v>
      </c>
      <c r="P209" s="9" t="n">
        <v>11.2567192088087</v>
      </c>
      <c r="Q209" s="10" t="n">
        <v>0.088835830533773</v>
      </c>
      <c r="R209" s="9" t="n">
        <v>7</v>
      </c>
      <c r="S209" s="13" t="n">
        <f aca="false">IF(AND(ISNUMBER(R209),R209&gt;1,P209&gt;0),R209/P209-1,"")</f>
        <v>-0.378149186263589</v>
      </c>
      <c r="T209" s="9" t="n">
        <f aca="false">IF(AND(ISNUMBER(P209),P209&gt;0),P209*EXP('Read me'!$B$22),"")</f>
        <v>13.7489878894735</v>
      </c>
    </row>
    <row r="210" customFormat="false" ht="15" hidden="false" customHeight="false" outlineLevel="0" collapsed="false">
      <c r="A210" s="11" t="s">
        <v>170</v>
      </c>
      <c r="B210" s="11" t="s">
        <v>49</v>
      </c>
      <c r="C210" s="11" t="s">
        <v>171</v>
      </c>
      <c r="D210" s="11"/>
      <c r="E210" s="12" t="n">
        <v>10</v>
      </c>
      <c r="F210" s="11" t="s">
        <v>211</v>
      </c>
      <c r="G210" s="8" t="n">
        <v>18</v>
      </c>
      <c r="H210" s="11" t="s">
        <v>521</v>
      </c>
      <c r="I210" s="11" t="s">
        <v>522</v>
      </c>
      <c r="J210" s="11" t="s">
        <v>523</v>
      </c>
      <c r="K210" s="8" t="n">
        <v>23</v>
      </c>
      <c r="L210" s="8" t="n">
        <v>70</v>
      </c>
      <c r="M210" s="8" t="n">
        <v>8</v>
      </c>
      <c r="N210" s="8" t="n">
        <v>12</v>
      </c>
      <c r="O210" s="8" t="n">
        <v>6</v>
      </c>
      <c r="P210" s="9" t="n">
        <v>16.8623451202688</v>
      </c>
      <c r="Q210" s="10" t="n">
        <v>0.0593037322429124</v>
      </c>
      <c r="R210" s="9" t="n">
        <v>15</v>
      </c>
      <c r="S210" s="13" t="n">
        <f aca="false">IF(AND(ISNUMBER(R210),R210&gt;1,P210&gt;0),R210/P210-1,"")</f>
        <v>-0.110444016356314</v>
      </c>
      <c r="T210" s="9" t="n">
        <f aca="false">IF(AND(ISNUMBER(P210),P210&gt;0),P210*EXP('Read me'!$B$22),"")</f>
        <v>20.595714838945</v>
      </c>
    </row>
    <row r="211" customFormat="false" ht="15" hidden="false" customHeight="false" outlineLevel="0" collapsed="false">
      <c r="A211" s="11" t="s">
        <v>170</v>
      </c>
      <c r="B211" s="11" t="s">
        <v>49</v>
      </c>
      <c r="C211" s="11" t="s">
        <v>171</v>
      </c>
      <c r="D211" s="11"/>
      <c r="E211" s="12" t="n">
        <v>10</v>
      </c>
      <c r="F211" s="11" t="s">
        <v>211</v>
      </c>
      <c r="G211" s="8" t="n">
        <v>18</v>
      </c>
      <c r="H211" s="11" t="s">
        <v>524</v>
      </c>
      <c r="I211" s="11" t="s">
        <v>525</v>
      </c>
      <c r="J211" s="11" t="s">
        <v>526</v>
      </c>
      <c r="K211" s="8" t="n">
        <v>15</v>
      </c>
      <c r="L211" s="8" t="n">
        <v>61</v>
      </c>
      <c r="M211" s="8" t="n">
        <v>4</v>
      </c>
      <c r="N211" s="8" t="n">
        <v>53</v>
      </c>
      <c r="O211" s="8" t="n">
        <v>7</v>
      </c>
      <c r="P211" s="9" t="n">
        <v>17.2247689103517</v>
      </c>
      <c r="Q211" s="10" t="n">
        <v>0.0580559312699412</v>
      </c>
      <c r="R211" s="9" t="n">
        <v>21</v>
      </c>
      <c r="S211" s="13" t="n">
        <f aca="false">IF(AND(ISNUMBER(R211),R211&gt;1,P211&gt;0),R211/P211-1,"")</f>
        <v>0.219174556668765</v>
      </c>
      <c r="T211" s="9" t="n">
        <f aca="false">IF(AND(ISNUMBER(P211),P211&gt;0),P211*EXP('Read me'!$B$22),"")</f>
        <v>21.0383802557752</v>
      </c>
    </row>
    <row r="212" customFormat="false" ht="15" hidden="false" customHeight="false" outlineLevel="0" collapsed="false">
      <c r="A212" s="11" t="s">
        <v>170</v>
      </c>
      <c r="B212" s="11" t="s">
        <v>49</v>
      </c>
      <c r="C212" s="11" t="s">
        <v>171</v>
      </c>
      <c r="D212" s="11"/>
      <c r="E212" s="12" t="n">
        <v>10</v>
      </c>
      <c r="F212" s="11" t="s">
        <v>211</v>
      </c>
      <c r="G212" s="8" t="n">
        <v>18</v>
      </c>
      <c r="H212" s="11" t="s">
        <v>527</v>
      </c>
      <c r="I212" s="11" t="s">
        <v>528</v>
      </c>
      <c r="J212" s="11" t="s">
        <v>226</v>
      </c>
      <c r="K212" s="8" t="n">
        <v>18</v>
      </c>
      <c r="L212" s="8" t="n">
        <v>58</v>
      </c>
      <c r="M212" s="8" t="n">
        <v>4</v>
      </c>
      <c r="N212" s="8" t="n">
        <v>8</v>
      </c>
      <c r="O212" s="8" t="n">
        <v>8</v>
      </c>
      <c r="P212" s="9" t="n">
        <v>25.4488434094895</v>
      </c>
      <c r="Q212" s="10" t="n">
        <v>0.039294516607663</v>
      </c>
      <c r="R212" s="9" t="n">
        <v>12</v>
      </c>
      <c r="S212" s="13" t="n">
        <f aca="false">IF(AND(ISNUMBER(R212),R212&gt;1,P212&gt;0),R212/P212-1,"")</f>
        <v>-0.528465800708044</v>
      </c>
      <c r="T212" s="9" t="n">
        <f aca="false">IF(AND(ISNUMBER(P212),P212&gt;0),P212*EXP('Read me'!$B$22),"")</f>
        <v>31.0832875323367</v>
      </c>
    </row>
    <row r="213" customFormat="false" ht="15" hidden="false" customHeight="false" outlineLevel="0" collapsed="false">
      <c r="A213" s="11" t="s">
        <v>170</v>
      </c>
      <c r="B213" s="11" t="s">
        <v>49</v>
      </c>
      <c r="C213" s="11" t="s">
        <v>171</v>
      </c>
      <c r="D213" s="11"/>
      <c r="E213" s="12" t="n">
        <v>10</v>
      </c>
      <c r="F213" s="11" t="s">
        <v>211</v>
      </c>
      <c r="G213" s="8" t="n">
        <v>18</v>
      </c>
      <c r="H213" s="11" t="s">
        <v>529</v>
      </c>
      <c r="I213" s="11" t="s">
        <v>530</v>
      </c>
      <c r="J213" s="11" t="s">
        <v>224</v>
      </c>
      <c r="K213" s="8" t="n">
        <v>4</v>
      </c>
      <c r="L213" s="8" t="n">
        <v>62</v>
      </c>
      <c r="M213" s="8" t="n">
        <v>3</v>
      </c>
      <c r="N213" s="8" t="n">
        <v>25</v>
      </c>
      <c r="O213" s="8" t="n">
        <v>9</v>
      </c>
      <c r="P213" s="9" t="n">
        <v>29.4113538940938</v>
      </c>
      <c r="Q213" s="10" t="n">
        <v>0.0340004749050609</v>
      </c>
      <c r="R213" s="9" t="n">
        <v>26</v>
      </c>
      <c r="S213" s="13" t="n">
        <f aca="false">IF(AND(ISNUMBER(R213),R213&gt;1,P213&gt;0),R213/P213-1,"")</f>
        <v>-0.115987652468416</v>
      </c>
      <c r="T213" s="9" t="n">
        <f aca="false">IF(AND(ISNUMBER(P213),P213&gt;0),P213*EXP('Read me'!$B$22),"")</f>
        <v>35.923108767471</v>
      </c>
    </row>
    <row r="214" customFormat="false" ht="15" hidden="false" customHeight="false" outlineLevel="0" collapsed="false">
      <c r="A214" s="11" t="s">
        <v>170</v>
      </c>
      <c r="B214" s="11" t="s">
        <v>49</v>
      </c>
      <c r="C214" s="11" t="s">
        <v>171</v>
      </c>
      <c r="D214" s="11"/>
      <c r="E214" s="12" t="n">
        <v>10</v>
      </c>
      <c r="F214" s="11" t="s">
        <v>211</v>
      </c>
      <c r="G214" s="8" t="n">
        <v>18</v>
      </c>
      <c r="H214" s="11" t="s">
        <v>531</v>
      </c>
      <c r="I214" s="11" t="s">
        <v>532</v>
      </c>
      <c r="J214" s="11" t="s">
        <v>533</v>
      </c>
      <c r="K214" s="8" t="n">
        <v>20</v>
      </c>
      <c r="L214" s="8" t="n">
        <v>60</v>
      </c>
      <c r="M214" s="8" t="n">
        <v>4</v>
      </c>
      <c r="N214" s="8" t="n">
        <v>50</v>
      </c>
      <c r="O214" s="8" t="n">
        <v>10</v>
      </c>
      <c r="P214" s="9" t="n">
        <v>35.8469599022574</v>
      </c>
      <c r="Q214" s="10" t="n">
        <v>0.0278963684152481</v>
      </c>
      <c r="R214" s="9" t="n">
        <v>10</v>
      </c>
      <c r="S214" s="13" t="n">
        <f aca="false">IF(AND(ISNUMBER(R214),R214&gt;1,P214&gt;0),R214/P214-1,"")</f>
        <v>-0.721036315847519</v>
      </c>
      <c r="T214" s="9" t="n">
        <f aca="false">IF(AND(ISNUMBER(P214),P214&gt;0),P214*EXP('Read me'!$B$22),"")</f>
        <v>43.7835756962742</v>
      </c>
    </row>
    <row r="215" customFormat="false" ht="15" hidden="false" customHeight="false" outlineLevel="0" collapsed="false">
      <c r="A215" s="11" t="s">
        <v>170</v>
      </c>
      <c r="B215" s="11" t="s">
        <v>49</v>
      </c>
      <c r="C215" s="11" t="s">
        <v>171</v>
      </c>
      <c r="D215" s="11"/>
      <c r="E215" s="12" t="n">
        <v>10</v>
      </c>
      <c r="F215" s="11" t="s">
        <v>211</v>
      </c>
      <c r="G215" s="8" t="n">
        <v>18</v>
      </c>
      <c r="H215" s="11" t="s">
        <v>534</v>
      </c>
      <c r="I215" s="11" t="s">
        <v>535</v>
      </c>
      <c r="J215" s="11" t="s">
        <v>536</v>
      </c>
      <c r="K215" s="8" t="n">
        <v>13</v>
      </c>
      <c r="L215" s="8" t="n">
        <v>61</v>
      </c>
      <c r="M215" s="8" t="n">
        <v>3</v>
      </c>
      <c r="N215" s="8" t="n">
        <v>19</v>
      </c>
      <c r="O215" s="8" t="n">
        <v>11</v>
      </c>
      <c r="P215" s="9" t="n">
        <v>42.4441961608176</v>
      </c>
      <c r="Q215" s="10" t="n">
        <v>0.0235603472430266</v>
      </c>
      <c r="R215" s="9" t="n">
        <v>21</v>
      </c>
      <c r="S215" s="13" t="n">
        <f aca="false">IF(AND(ISNUMBER(R215),R215&gt;1,P215&gt;0),R215/P215-1,"")</f>
        <v>-0.505232707896441</v>
      </c>
      <c r="T215" s="9" t="n">
        <f aca="false">IF(AND(ISNUMBER(P215),P215&gt;0),P215*EXP('Read me'!$B$22),"")</f>
        <v>51.8414582587139</v>
      </c>
    </row>
    <row r="216" customFormat="false" ht="15" hidden="false" customHeight="false" outlineLevel="0" collapsed="false">
      <c r="A216" s="11" t="s">
        <v>170</v>
      </c>
      <c r="B216" s="11" t="s">
        <v>49</v>
      </c>
      <c r="C216" s="11" t="s">
        <v>171</v>
      </c>
      <c r="D216" s="11"/>
      <c r="E216" s="12" t="n">
        <v>10</v>
      </c>
      <c r="F216" s="11" t="s">
        <v>211</v>
      </c>
      <c r="G216" s="8" t="n">
        <v>18</v>
      </c>
      <c r="H216" s="11" t="s">
        <v>537</v>
      </c>
      <c r="I216" s="11" t="s">
        <v>538</v>
      </c>
      <c r="J216" s="11" t="s">
        <v>539</v>
      </c>
      <c r="K216" s="8" t="n">
        <v>10</v>
      </c>
      <c r="L216" s="8" t="n">
        <v>66</v>
      </c>
      <c r="M216" s="8" t="n">
        <v>8</v>
      </c>
      <c r="N216" s="8" t="n">
        <v>341</v>
      </c>
      <c r="O216" s="8" t="n">
        <v>12</v>
      </c>
      <c r="P216" s="9" t="n">
        <v>52.9395380907805</v>
      </c>
      <c r="Q216" s="10" t="n">
        <v>0.0188894734647137</v>
      </c>
      <c r="R216" s="9" t="n">
        <v>23</v>
      </c>
      <c r="S216" s="13" t="n">
        <f aca="false">IF(AND(ISNUMBER(R216),R216&gt;1,P216&gt;0),R216/P216-1,"")</f>
        <v>-0.565542110311584</v>
      </c>
      <c r="T216" s="9" t="n">
        <f aca="false">IF(AND(ISNUMBER(P216),P216&gt;0),P216*EXP('Read me'!$B$22),"")</f>
        <v>64.6604978398047</v>
      </c>
    </row>
    <row r="217" customFormat="false" ht="15" hidden="false" customHeight="false" outlineLevel="0" collapsed="false">
      <c r="A217" s="11" t="s">
        <v>170</v>
      </c>
      <c r="B217" s="11" t="s">
        <v>49</v>
      </c>
      <c r="C217" s="11" t="s">
        <v>171</v>
      </c>
      <c r="D217" s="11"/>
      <c r="E217" s="12" t="n">
        <v>10</v>
      </c>
      <c r="F217" s="11" t="s">
        <v>211</v>
      </c>
      <c r="G217" s="8" t="n">
        <v>18</v>
      </c>
      <c r="H217" s="11" t="s">
        <v>540</v>
      </c>
      <c r="I217" s="11"/>
      <c r="J217" s="11" t="s">
        <v>541</v>
      </c>
      <c r="K217" s="8" t="n">
        <v>12</v>
      </c>
      <c r="L217" s="8" t="n">
        <v>60</v>
      </c>
      <c r="M217" s="8" t="n">
        <v>10</v>
      </c>
      <c r="N217" s="8" t="n">
        <v>28</v>
      </c>
      <c r="O217" s="8" t="n">
        <v>13</v>
      </c>
      <c r="P217" s="9" t="n">
        <v>59.2473644274317</v>
      </c>
      <c r="Q217" s="10" t="n">
        <v>0.0168783879192607</v>
      </c>
      <c r="R217" s="9" t="n">
        <v>67</v>
      </c>
      <c r="S217" s="13" t="n">
        <f aca="false">IF(AND(ISNUMBER(R217),R217&gt;1,P217&gt;0),R217/P217-1,"")</f>
        <v>0.130851990590467</v>
      </c>
      <c r="T217" s="9" t="n">
        <f aca="false">IF(AND(ISNUMBER(P217),P217&gt;0),P217*EXP('Read me'!$B$22),"")</f>
        <v>72.3648943253858</v>
      </c>
    </row>
    <row r="218" customFormat="false" ht="15" hidden="false" customHeight="false" outlineLevel="0" collapsed="false">
      <c r="A218" s="11" t="s">
        <v>170</v>
      </c>
      <c r="B218" s="11" t="s">
        <v>49</v>
      </c>
      <c r="C218" s="11" t="s">
        <v>171</v>
      </c>
      <c r="D218" s="11"/>
      <c r="E218" s="12" t="n">
        <v>10</v>
      </c>
      <c r="F218" s="11" t="s">
        <v>211</v>
      </c>
      <c r="G218" s="8" t="n">
        <v>18</v>
      </c>
      <c r="H218" s="11" t="s">
        <v>542</v>
      </c>
      <c r="I218" s="11" t="s">
        <v>543</v>
      </c>
      <c r="J218" s="11" t="s">
        <v>544</v>
      </c>
      <c r="K218" s="8" t="n">
        <v>22</v>
      </c>
      <c r="L218" s="8" t="n">
        <v>57</v>
      </c>
      <c r="M218" s="8" t="n">
        <v>3</v>
      </c>
      <c r="N218" s="8" t="n">
        <v>181</v>
      </c>
      <c r="O218" s="8" t="n">
        <v>14</v>
      </c>
      <c r="P218" s="9" t="n">
        <v>73.4188999449473</v>
      </c>
      <c r="Q218" s="10" t="n">
        <v>0.0136204710333421</v>
      </c>
      <c r="R218" s="9" t="n">
        <v>34</v>
      </c>
      <c r="S218" s="13" t="n">
        <f aca="false">IF(AND(ISNUMBER(R218),R218&gt;1,P218&gt;0),R218/P218-1,"")</f>
        <v>-0.536903984866367</v>
      </c>
      <c r="T218" s="9" t="n">
        <f aca="false">IF(AND(ISNUMBER(P218),P218&gt;0),P218*EXP('Read me'!$B$22),"")</f>
        <v>89.6740468938441</v>
      </c>
    </row>
    <row r="219" customFormat="false" ht="15" hidden="false" customHeight="false" outlineLevel="0" collapsed="false">
      <c r="A219" s="11" t="s">
        <v>170</v>
      </c>
      <c r="B219" s="11" t="s">
        <v>49</v>
      </c>
      <c r="C219" s="11" t="s">
        <v>171</v>
      </c>
      <c r="D219" s="11"/>
      <c r="E219" s="12" t="n">
        <v>10</v>
      </c>
      <c r="F219" s="11" t="s">
        <v>211</v>
      </c>
      <c r="G219" s="8" t="n">
        <v>18</v>
      </c>
      <c r="H219" s="11" t="s">
        <v>545</v>
      </c>
      <c r="I219" s="11" t="s">
        <v>546</v>
      </c>
      <c r="J219" s="11" t="s">
        <v>547</v>
      </c>
      <c r="K219" s="8" t="n">
        <v>16</v>
      </c>
      <c r="L219" s="8" t="n">
        <v>64</v>
      </c>
      <c r="M219" s="8" t="n">
        <v>5</v>
      </c>
      <c r="N219" s="8" t="n">
        <v>22</v>
      </c>
      <c r="O219" s="8" t="n">
        <v>15</v>
      </c>
      <c r="P219" s="9" t="n">
        <v>82.6501752932484</v>
      </c>
      <c r="Q219" s="10" t="n">
        <v>0.0120991878898251</v>
      </c>
      <c r="R219" s="9" t="n">
        <v>19</v>
      </c>
      <c r="S219" s="13" t="n">
        <f aca="false">IF(AND(ISNUMBER(R219),R219&gt;1,P219&gt;0),R219/P219-1,"")</f>
        <v>-0.770115430093322</v>
      </c>
      <c r="T219" s="9" t="n">
        <f aca="false">IF(AND(ISNUMBER(P219),P219&gt;0),P219*EXP('Read me'!$B$22),"")</f>
        <v>100.949152065595</v>
      </c>
    </row>
    <row r="220" customFormat="false" ht="15" hidden="false" customHeight="false" outlineLevel="0" collapsed="false">
      <c r="A220" s="11" t="s">
        <v>170</v>
      </c>
      <c r="B220" s="11" t="s">
        <v>49</v>
      </c>
      <c r="C220" s="11" t="s">
        <v>171</v>
      </c>
      <c r="D220" s="11"/>
      <c r="E220" s="12" t="n">
        <v>10</v>
      </c>
      <c r="F220" s="11" t="s">
        <v>211</v>
      </c>
      <c r="G220" s="8" t="n">
        <v>18</v>
      </c>
      <c r="H220" s="11" t="s">
        <v>548</v>
      </c>
      <c r="I220" s="11" t="s">
        <v>549</v>
      </c>
      <c r="J220" s="11" t="s">
        <v>219</v>
      </c>
      <c r="K220" s="8" t="n">
        <v>5</v>
      </c>
      <c r="L220" s="8" t="n">
        <v>64</v>
      </c>
      <c r="M220" s="8" t="n">
        <v>3</v>
      </c>
      <c r="N220" s="8" t="n">
        <v>42</v>
      </c>
      <c r="O220" s="8" t="n">
        <v>16</v>
      </c>
      <c r="P220" s="9" t="n">
        <v>88.9608411213698</v>
      </c>
      <c r="Q220" s="10" t="n">
        <v>0.011240900910949</v>
      </c>
      <c r="R220" s="9" t="n">
        <v>41</v>
      </c>
      <c r="S220" s="13" t="n">
        <f aca="false">IF(AND(ISNUMBER(R220),R220&gt;1,P220&gt;0),R220/P220-1,"")</f>
        <v>-0.539123062651089</v>
      </c>
      <c r="T220" s="9" t="n">
        <f aca="false">IF(AND(ISNUMBER(P220),P220&gt;0),P220*EXP('Read me'!$B$22),"")</f>
        <v>108.65701671389</v>
      </c>
    </row>
    <row r="221" customFormat="false" ht="15" hidden="false" customHeight="false" outlineLevel="0" collapsed="false">
      <c r="A221" s="11" t="s">
        <v>170</v>
      </c>
      <c r="B221" s="11" t="s">
        <v>49</v>
      </c>
      <c r="C221" s="11" t="s">
        <v>171</v>
      </c>
      <c r="D221" s="11"/>
      <c r="E221" s="12" t="n">
        <v>10</v>
      </c>
      <c r="F221" s="11" t="s">
        <v>211</v>
      </c>
      <c r="G221" s="8" t="n">
        <v>18</v>
      </c>
      <c r="H221" s="11" t="s">
        <v>550</v>
      </c>
      <c r="I221" s="11" t="s">
        <v>551</v>
      </c>
      <c r="J221" s="11" t="s">
        <v>240</v>
      </c>
      <c r="K221" s="8" t="n">
        <v>9</v>
      </c>
      <c r="L221" s="8" t="n">
        <v>72</v>
      </c>
      <c r="M221" s="8" t="n">
        <v>6</v>
      </c>
      <c r="N221" s="8" t="n">
        <v>45</v>
      </c>
      <c r="O221" s="8" t="n">
        <v>17</v>
      </c>
      <c r="P221" s="9" t="n">
        <v>93.0438759961226</v>
      </c>
      <c r="Q221" s="10" t="n">
        <v>0.0107476176082956</v>
      </c>
      <c r="R221" s="9" t="n">
        <v>51</v>
      </c>
      <c r="S221" s="13" t="n">
        <f aca="false">IF(AND(ISNUMBER(R221),R221&gt;1,P221&gt;0),R221/P221-1,"")</f>
        <v>-0.451871501976924</v>
      </c>
      <c r="T221" s="9" t="n">
        <f aca="false">IF(AND(ISNUMBER(P221),P221&gt;0),P221*EXP('Read me'!$B$22),"")</f>
        <v>113.644046771577</v>
      </c>
    </row>
    <row r="222" customFormat="false" ht="15" hidden="false" customHeight="false" outlineLevel="0" collapsed="false">
      <c r="A222" s="11" t="s">
        <v>170</v>
      </c>
      <c r="B222" s="11" t="s">
        <v>49</v>
      </c>
      <c r="C222" s="11" t="s">
        <v>171</v>
      </c>
      <c r="D222" s="11"/>
      <c r="E222" s="12" t="n">
        <v>10</v>
      </c>
      <c r="F222" s="11" t="s">
        <v>211</v>
      </c>
      <c r="G222" s="8" t="n">
        <v>18</v>
      </c>
      <c r="H222" s="11" t="s">
        <v>552</v>
      </c>
      <c r="I222" s="11" t="s">
        <v>553</v>
      </c>
      <c r="J222" s="11" t="s">
        <v>554</v>
      </c>
      <c r="K222" s="8" t="n">
        <v>1</v>
      </c>
      <c r="L222" s="8" t="n">
        <v>56</v>
      </c>
      <c r="M222" s="8" t="n">
        <v>4</v>
      </c>
      <c r="N222" s="8" t="n">
        <v>22</v>
      </c>
      <c r="O222" s="8" t="n">
        <v>18</v>
      </c>
      <c r="P222" s="9" t="n">
        <v>120.306547751701</v>
      </c>
      <c r="Q222" s="10" t="n">
        <v>0.0083120995381222</v>
      </c>
      <c r="R222" s="9" t="n">
        <v>34</v>
      </c>
      <c r="S222" s="13" t="n">
        <f aca="false">IF(AND(ISNUMBER(R222),R222&gt;1,P222&gt;0),R222/P222-1,"")</f>
        <v>-0.717388615703843</v>
      </c>
      <c r="T222" s="9" t="n">
        <f aca="false">IF(AND(ISNUMBER(P222),P222&gt;0),P222*EXP('Read me'!$B$22),"")</f>
        <v>146.942749248656</v>
      </c>
    </row>
  </sheetData>
  <autoFilter ref="A1:T222"/>
  <conditionalFormatting sqref="A2:T222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176</v>
      </c>
      <c r="E1" s="6" t="s">
        <v>177</v>
      </c>
      <c r="F1" s="6" t="s">
        <v>178</v>
      </c>
      <c r="G1" s="6" t="s">
        <v>1</v>
      </c>
      <c r="H1" s="6" t="s">
        <v>179</v>
      </c>
      <c r="I1" s="6" t="s">
        <v>35</v>
      </c>
      <c r="J1" s="6" t="s">
        <v>36</v>
      </c>
      <c r="K1" s="6" t="s">
        <v>180</v>
      </c>
      <c r="L1" s="6" t="s">
        <v>181</v>
      </c>
      <c r="M1" s="6" t="s">
        <v>182</v>
      </c>
      <c r="N1" s="6" t="s">
        <v>183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41</v>
      </c>
      <c r="B2" s="11" t="s">
        <v>42</v>
      </c>
      <c r="C2" s="11" t="s">
        <v>43</v>
      </c>
      <c r="D2" s="11" t="s">
        <v>184</v>
      </c>
      <c r="E2" s="12" t="n">
        <v>6</v>
      </c>
      <c r="F2" s="11" t="s">
        <v>185</v>
      </c>
      <c r="G2" s="8" t="n">
        <v>11</v>
      </c>
      <c r="H2" s="11" t="s">
        <v>44</v>
      </c>
      <c r="I2" s="11" t="s">
        <v>45</v>
      </c>
      <c r="J2" s="11" t="s">
        <v>46</v>
      </c>
      <c r="K2" s="8" t="n">
        <v>9</v>
      </c>
      <c r="L2" s="8" t="n">
        <v>53</v>
      </c>
      <c r="M2" s="8" t="n">
        <v>5</v>
      </c>
      <c r="N2" s="8" t="n">
        <v>14</v>
      </c>
      <c r="O2" s="8" t="n">
        <v>1</v>
      </c>
      <c r="P2" s="9" t="n">
        <v>3.02445834961768</v>
      </c>
      <c r="Q2" s="10" t="n">
        <v>0.330637715717398</v>
      </c>
      <c r="R2" s="9" t="n">
        <v>3.25</v>
      </c>
      <c r="S2" s="13" t="n">
        <f aca="false">IF(AND(ISNUMBER(R2),R2&gt;1,P2&gt;0),R2/P2-1,"")</f>
        <v>0.074572576081543</v>
      </c>
      <c r="T2" s="9" t="n">
        <f aca="false">IF(AND(ISNUMBER(P2),P2&gt;0),P2*EXP('Read me'!$B$22),"")</f>
        <v>3.69408177016359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 t="s">
        <v>184</v>
      </c>
      <c r="E3" s="12" t="n">
        <v>6</v>
      </c>
      <c r="F3" s="11" t="s">
        <v>185</v>
      </c>
      <c r="G3" s="8" t="n">
        <v>11</v>
      </c>
      <c r="H3" s="11" t="s">
        <v>47</v>
      </c>
      <c r="I3" s="11" t="s">
        <v>186</v>
      </c>
      <c r="J3" s="11" t="s">
        <v>187</v>
      </c>
      <c r="K3" s="8" t="n">
        <v>8</v>
      </c>
      <c r="L3" s="8" t="n">
        <v>52</v>
      </c>
      <c r="M3" s="8" t="n">
        <v>5</v>
      </c>
      <c r="N3" s="8" t="n">
        <v>15</v>
      </c>
      <c r="O3" s="8" t="n">
        <v>2</v>
      </c>
      <c r="P3" s="9" t="n">
        <v>4.33122516101043</v>
      </c>
      <c r="Q3" s="10" t="n">
        <v>0.230881554947079</v>
      </c>
      <c r="R3" s="9" t="n">
        <v>4</v>
      </c>
      <c r="S3" s="13" t="n">
        <f aca="false">IF(AND(ISNUMBER(R3),R3&gt;1,P3&gt;0),R3/P3-1,"")</f>
        <v>-0.0764737802116855</v>
      </c>
      <c r="T3" s="9" t="n">
        <f aca="false">IF(AND(ISNUMBER(P3),P3&gt;0),P3*EXP('Read me'!$B$22),"")</f>
        <v>5.29017035787087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184</v>
      </c>
      <c r="E4" s="12" t="n">
        <v>6</v>
      </c>
      <c r="F4" s="11" t="s">
        <v>185</v>
      </c>
      <c r="G4" s="8" t="n">
        <v>11</v>
      </c>
      <c r="H4" s="11" t="s">
        <v>188</v>
      </c>
      <c r="I4" s="11" t="s">
        <v>133</v>
      </c>
      <c r="J4" s="11" t="s">
        <v>189</v>
      </c>
      <c r="K4" s="8" t="n">
        <v>7</v>
      </c>
      <c r="L4" s="8" t="n">
        <v>45</v>
      </c>
      <c r="M4" s="8" t="n">
        <v>4</v>
      </c>
      <c r="N4" s="8" t="n">
        <v>27</v>
      </c>
      <c r="O4" s="8" t="n">
        <v>3</v>
      </c>
      <c r="P4" s="9" t="n">
        <v>7.18764504689552</v>
      </c>
      <c r="Q4" s="10" t="n">
        <v>0.139127627126206</v>
      </c>
      <c r="R4" s="9" t="n">
        <v>6</v>
      </c>
      <c r="S4" s="13" t="n">
        <f aca="false">IF(AND(ISNUMBER(R4),R4&gt;1,P4&gt;0),R4/P4-1,"")</f>
        <v>-0.165234237242765</v>
      </c>
      <c r="T4" s="9" t="n">
        <f aca="false">IF(AND(ISNUMBER(P4),P4&gt;0),P4*EXP('Read me'!$B$22),"")</f>
        <v>8.77900948495446</v>
      </c>
    </row>
    <row r="5" customFormat="false" ht="15" hidden="false" customHeight="false" outlineLevel="0" collapsed="false">
      <c r="A5" s="11" t="s">
        <v>41</v>
      </c>
      <c r="B5" s="11" t="s">
        <v>42</v>
      </c>
      <c r="C5" s="11" t="s">
        <v>43</v>
      </c>
      <c r="D5" s="11" t="s">
        <v>184</v>
      </c>
      <c r="E5" s="12" t="n">
        <v>6</v>
      </c>
      <c r="F5" s="11" t="s">
        <v>185</v>
      </c>
      <c r="G5" s="8" t="n">
        <v>11</v>
      </c>
      <c r="H5" s="11" t="s">
        <v>190</v>
      </c>
      <c r="I5" s="11" t="s">
        <v>191</v>
      </c>
      <c r="J5" s="11" t="s">
        <v>192</v>
      </c>
      <c r="K5" s="8" t="n">
        <v>6</v>
      </c>
      <c r="L5" s="8" t="n">
        <v>53</v>
      </c>
      <c r="M5" s="8" t="n">
        <v>4</v>
      </c>
      <c r="N5" s="8" t="n">
        <v>25</v>
      </c>
      <c r="O5" s="8" t="n">
        <v>4</v>
      </c>
      <c r="P5" s="9" t="n">
        <v>10.0559585077232</v>
      </c>
      <c r="Q5" s="10" t="n">
        <v>0.0994435288522699</v>
      </c>
      <c r="R5" s="9" t="n">
        <v>8</v>
      </c>
      <c r="S5" s="13" t="n">
        <f aca="false">IF(AND(ISNUMBER(R5),R5&gt;1,P5&gt;0),R5/P5-1,"")</f>
        <v>-0.20445176918184</v>
      </c>
      <c r="T5" s="9" t="n">
        <f aca="false">IF(AND(ISNUMBER(P5),P5&gt;0),P5*EXP('Read me'!$B$22),"")</f>
        <v>12.2823754572773</v>
      </c>
    </row>
    <row r="6" customFormat="false" ht="15" hidden="false" customHeight="false" outlineLevel="0" collapsed="false">
      <c r="A6" s="11" t="s">
        <v>41</v>
      </c>
      <c r="B6" s="11" t="s">
        <v>42</v>
      </c>
      <c r="C6" s="11" t="s">
        <v>43</v>
      </c>
      <c r="D6" s="11" t="s">
        <v>184</v>
      </c>
      <c r="E6" s="12" t="n">
        <v>6</v>
      </c>
      <c r="F6" s="11" t="s">
        <v>185</v>
      </c>
      <c r="G6" s="8" t="n">
        <v>11</v>
      </c>
      <c r="H6" s="11" t="s">
        <v>193</v>
      </c>
      <c r="I6" s="11" t="s">
        <v>194</v>
      </c>
      <c r="J6" s="11" t="s">
        <v>168</v>
      </c>
      <c r="K6" s="8" t="n">
        <v>5</v>
      </c>
      <c r="L6" s="8" t="n">
        <v>45</v>
      </c>
      <c r="M6" s="8" t="n">
        <v>3</v>
      </c>
      <c r="N6" s="8" t="n">
        <v>5</v>
      </c>
      <c r="O6" s="8" t="n">
        <v>5</v>
      </c>
      <c r="P6" s="9" t="n">
        <v>15.6398804932828</v>
      </c>
      <c r="Q6" s="10" t="n">
        <v>0.0639391074905905</v>
      </c>
      <c r="R6" s="9" t="n">
        <v>10</v>
      </c>
      <c r="S6" s="13" t="n">
        <f aca="false">IF(AND(ISNUMBER(R6),R6&gt;1,P6&gt;0),R6/P6-1,"")</f>
        <v>-0.360608925094095</v>
      </c>
      <c r="T6" s="9" t="n">
        <f aca="false">IF(AND(ISNUMBER(P6),P6&gt;0),P6*EXP('Read me'!$B$22),"")</f>
        <v>19.1025931717911</v>
      </c>
    </row>
    <row r="7" customFormat="false" ht="15" hidden="false" customHeight="false" outlineLevel="0" collapsed="false">
      <c r="A7" s="11" t="s">
        <v>41</v>
      </c>
      <c r="B7" s="11" t="s">
        <v>42</v>
      </c>
      <c r="C7" s="11" t="s">
        <v>43</v>
      </c>
      <c r="D7" s="11" t="s">
        <v>184</v>
      </c>
      <c r="E7" s="12" t="n">
        <v>6</v>
      </c>
      <c r="F7" s="11" t="s">
        <v>185</v>
      </c>
      <c r="G7" s="8" t="n">
        <v>11</v>
      </c>
      <c r="H7" s="11" t="s">
        <v>195</v>
      </c>
      <c r="I7" s="11" t="s">
        <v>196</v>
      </c>
      <c r="J7" s="11" t="s">
        <v>197</v>
      </c>
      <c r="K7" s="8" t="n">
        <v>4</v>
      </c>
      <c r="L7" s="8" t="n">
        <v>54</v>
      </c>
      <c r="M7" s="8" t="n">
        <v>4</v>
      </c>
      <c r="N7" s="8" t="n">
        <v>34</v>
      </c>
      <c r="O7" s="8" t="n">
        <v>6</v>
      </c>
      <c r="P7" s="9" t="n">
        <v>16.5430667194945</v>
      </c>
      <c r="Q7" s="10" t="n">
        <v>0.060448284284654</v>
      </c>
      <c r="R7" s="9" t="n">
        <v>15</v>
      </c>
      <c r="S7" s="13" t="n">
        <f aca="false">IF(AND(ISNUMBER(R7),R7&gt;1,P7&gt;0),R7/P7-1,"")</f>
        <v>-0.0932757357301891</v>
      </c>
      <c r="T7" s="9" t="n">
        <f aca="false">IF(AND(ISNUMBER(P7),P7&gt;0),P7*EXP('Read me'!$B$22),"")</f>
        <v>20.2057473196182</v>
      </c>
    </row>
    <row r="8" customFormat="false" ht="15" hidden="false" customHeight="false" outlineLevel="0" collapsed="false">
      <c r="A8" s="11" t="s">
        <v>41</v>
      </c>
      <c r="B8" s="11" t="s">
        <v>42</v>
      </c>
      <c r="C8" s="11" t="s">
        <v>43</v>
      </c>
      <c r="D8" s="11" t="s">
        <v>184</v>
      </c>
      <c r="E8" s="12" t="n">
        <v>6</v>
      </c>
      <c r="F8" s="11" t="s">
        <v>185</v>
      </c>
      <c r="G8" s="8" t="n">
        <v>11</v>
      </c>
      <c r="H8" s="11" t="s">
        <v>198</v>
      </c>
      <c r="I8" s="11" t="s">
        <v>199</v>
      </c>
      <c r="J8" s="11" t="s">
        <v>200</v>
      </c>
      <c r="K8" s="8" t="n">
        <v>11</v>
      </c>
      <c r="L8" s="8" t="n">
        <v>45</v>
      </c>
      <c r="M8" s="8" t="n">
        <v>5</v>
      </c>
      <c r="N8" s="8" t="n">
        <v>20</v>
      </c>
      <c r="O8" s="8" t="n">
        <v>7</v>
      </c>
      <c r="P8" s="9" t="n">
        <v>44.3297738624397</v>
      </c>
      <c r="Q8" s="10" t="n">
        <v>0.0225582021488111</v>
      </c>
      <c r="R8" s="9" t="n">
        <v>41</v>
      </c>
      <c r="S8" s="13" t="n">
        <f aca="false">IF(AND(ISNUMBER(R8),R8&gt;1,P8&gt;0),R8/P8-1,"")</f>
        <v>-0.0751137118987421</v>
      </c>
      <c r="T8" s="9" t="n">
        <f aca="false">IF(AND(ISNUMBER(P8),P8&gt;0),P8*EXP('Read me'!$B$22),"")</f>
        <v>54.1445080642004</v>
      </c>
    </row>
    <row r="9" customFormat="false" ht="15" hidden="false" customHeight="false" outlineLevel="0" collapsed="false">
      <c r="A9" s="11" t="s">
        <v>41</v>
      </c>
      <c r="B9" s="11" t="s">
        <v>42</v>
      </c>
      <c r="C9" s="11" t="s">
        <v>43</v>
      </c>
      <c r="D9" s="11" t="s">
        <v>184</v>
      </c>
      <c r="E9" s="12" t="n">
        <v>6</v>
      </c>
      <c r="F9" s="11" t="s">
        <v>185</v>
      </c>
      <c r="G9" s="8" t="n">
        <v>11</v>
      </c>
      <c r="H9" s="11" t="s">
        <v>201</v>
      </c>
      <c r="I9" s="11" t="s">
        <v>202</v>
      </c>
      <c r="J9" s="11" t="s">
        <v>150</v>
      </c>
      <c r="K9" s="8" t="n">
        <v>12</v>
      </c>
      <c r="L9" s="8" t="n">
        <v>45</v>
      </c>
      <c r="M9" s="8" t="n">
        <v>3</v>
      </c>
      <c r="N9" s="8" t="n">
        <v>15</v>
      </c>
      <c r="O9" s="8" t="n">
        <v>8</v>
      </c>
      <c r="P9" s="9" t="n">
        <v>59.5294933328239</v>
      </c>
      <c r="Q9" s="10" t="n">
        <v>0.0167983959549108</v>
      </c>
      <c r="R9" s="9" t="n">
        <v>34</v>
      </c>
      <c r="S9" s="13" t="n">
        <f aca="false">IF(AND(ISNUMBER(R9),R9&gt;1,P9&gt;0),R9/P9-1,"")</f>
        <v>-0.428854537533031</v>
      </c>
      <c r="T9" s="9" t="n">
        <f aca="false">IF(AND(ISNUMBER(P9),P9&gt;0),P9*EXP('Read me'!$B$22),"")</f>
        <v>72.7094873485885</v>
      </c>
    </row>
    <row r="10" customFormat="false" ht="15" hidden="false" customHeight="false" outlineLevel="0" collapsed="false">
      <c r="A10" s="11" t="s">
        <v>41</v>
      </c>
      <c r="B10" s="11" t="s">
        <v>42</v>
      </c>
      <c r="C10" s="11" t="s">
        <v>43</v>
      </c>
      <c r="D10" s="11" t="s">
        <v>184</v>
      </c>
      <c r="E10" s="12" t="n">
        <v>6</v>
      </c>
      <c r="F10" s="11" t="s">
        <v>185</v>
      </c>
      <c r="G10" s="8" t="n">
        <v>11</v>
      </c>
      <c r="H10" s="11" t="s">
        <v>203</v>
      </c>
      <c r="I10" s="11" t="s">
        <v>204</v>
      </c>
      <c r="J10" s="11" t="s">
        <v>205</v>
      </c>
      <c r="K10" s="8" t="n">
        <v>1</v>
      </c>
      <c r="L10" s="8" t="n">
        <v>50</v>
      </c>
      <c r="M10" s="8" t="n">
        <v>3</v>
      </c>
      <c r="N10" s="8" t="n">
        <v>306</v>
      </c>
      <c r="O10" s="8" t="n">
        <v>9</v>
      </c>
      <c r="P10" s="9" t="n">
        <v>62.4764684904002</v>
      </c>
      <c r="Q10" s="10" t="n">
        <v>0.0160060263353978</v>
      </c>
      <c r="R10" s="9" t="n">
        <v>7</v>
      </c>
      <c r="S10" s="13" t="n">
        <f aca="false">IF(AND(ISNUMBER(R10),R10&gt;1,P10&gt;0),R10/P10-1,"")</f>
        <v>-0.887957815652215</v>
      </c>
      <c r="T10" s="9" t="n">
        <f aca="false">IF(AND(ISNUMBER(P10),P10&gt;0),P10*EXP('Read me'!$B$22),"")</f>
        <v>76.3089309342817</v>
      </c>
    </row>
    <row r="11" customFormat="false" ht="15" hidden="false" customHeight="false" outlineLevel="0" collapsed="false">
      <c r="A11" s="11" t="s">
        <v>41</v>
      </c>
      <c r="B11" s="11" t="s">
        <v>42</v>
      </c>
      <c r="C11" s="11" t="s">
        <v>43</v>
      </c>
      <c r="D11" s="11" t="s">
        <v>184</v>
      </c>
      <c r="E11" s="12" t="n">
        <v>6</v>
      </c>
      <c r="F11" s="11" t="s">
        <v>185</v>
      </c>
      <c r="G11" s="8" t="n">
        <v>11</v>
      </c>
      <c r="H11" s="11" t="s">
        <v>206</v>
      </c>
      <c r="I11" s="11" t="s">
        <v>207</v>
      </c>
      <c r="J11" s="11" t="s">
        <v>208</v>
      </c>
      <c r="K11" s="8" t="n">
        <v>10</v>
      </c>
      <c r="L11" s="8" t="n">
        <v>45</v>
      </c>
      <c r="M11" s="8" t="n">
        <v>5</v>
      </c>
      <c r="N11" s="8" t="n">
        <v>14</v>
      </c>
      <c r="O11" s="8" t="n">
        <v>10</v>
      </c>
      <c r="P11" s="9" t="n">
        <v>63.9120162572239</v>
      </c>
      <c r="Q11" s="10" t="n">
        <v>0.0156465099767052</v>
      </c>
      <c r="R11" s="9" t="n">
        <v>51</v>
      </c>
      <c r="S11" s="13" t="n">
        <f aca="false">IF(AND(ISNUMBER(R11),R11&gt;1,P11&gt;0),R11/P11-1,"")</f>
        <v>-0.202027991188033</v>
      </c>
      <c r="T11" s="9" t="n">
        <f aca="false">IF(AND(ISNUMBER(P11),P11&gt;0),P11*EXP('Read me'!$B$22),"")</f>
        <v>78.0623129361508</v>
      </c>
    </row>
    <row r="12" customFormat="false" ht="15" hidden="false" customHeight="false" outlineLevel="0" collapsed="false">
      <c r="A12" s="11" t="s">
        <v>41</v>
      </c>
      <c r="B12" s="11" t="s">
        <v>42</v>
      </c>
      <c r="C12" s="11" t="s">
        <v>43</v>
      </c>
      <c r="D12" s="11" t="s">
        <v>184</v>
      </c>
      <c r="E12" s="12" t="n">
        <v>6</v>
      </c>
      <c r="F12" s="11" t="s">
        <v>185</v>
      </c>
      <c r="G12" s="8" t="n">
        <v>11</v>
      </c>
      <c r="H12" s="11" t="s">
        <v>209</v>
      </c>
      <c r="I12" s="11" t="s">
        <v>210</v>
      </c>
      <c r="J12" s="11" t="s">
        <v>168</v>
      </c>
      <c r="K12" s="8" t="n">
        <v>2</v>
      </c>
      <c r="L12" s="8" t="n">
        <v>45</v>
      </c>
      <c r="M12" s="8" t="n">
        <v>3</v>
      </c>
      <c r="N12" s="8" t="n">
        <v>46</v>
      </c>
      <c r="O12" s="8" t="n">
        <v>11</v>
      </c>
      <c r="P12" s="9" t="n">
        <v>221.57978040615</v>
      </c>
      <c r="Q12" s="10" t="n">
        <v>0.0045130471659779</v>
      </c>
      <c r="R12" s="9" t="n">
        <v>81</v>
      </c>
      <c r="S12" s="13" t="n">
        <f aca="false">IF(AND(ISNUMBER(R12),R12&gt;1,P12&gt;0),R12/P12-1,"")</f>
        <v>-0.634443179555783</v>
      </c>
      <c r="T12" s="9" t="n">
        <f aca="false">IF(AND(ISNUMBER(P12),P12&gt;0),P12*EXP('Read me'!$B$22),"")</f>
        <v>270.638154940596</v>
      </c>
    </row>
    <row r="13" customFormat="false" ht="15" hidden="false" customHeight="false" outlineLevel="0" collapsed="false">
      <c r="A13" s="11" t="s">
        <v>62</v>
      </c>
      <c r="B13" s="11" t="s">
        <v>42</v>
      </c>
      <c r="C13" s="11" t="s">
        <v>63</v>
      </c>
      <c r="D13" s="11" t="s">
        <v>260</v>
      </c>
      <c r="E13" s="12" t="n">
        <v>5</v>
      </c>
      <c r="F13" s="11" t="s">
        <v>185</v>
      </c>
      <c r="G13" s="8" t="n">
        <v>8</v>
      </c>
      <c r="H13" s="11" t="s">
        <v>64</v>
      </c>
      <c r="I13" s="11" t="s">
        <v>65</v>
      </c>
      <c r="J13" s="11" t="s">
        <v>66</v>
      </c>
      <c r="K13" s="8" t="n">
        <v>4</v>
      </c>
      <c r="L13" s="8" t="n">
        <v>75</v>
      </c>
      <c r="M13" s="8" t="n">
        <v>2</v>
      </c>
      <c r="N13" s="8" t="n">
        <v>8</v>
      </c>
      <c r="O13" s="8" t="n">
        <v>1</v>
      </c>
      <c r="P13" s="9" t="n">
        <v>4.96132225227591</v>
      </c>
      <c r="Q13" s="10" t="n">
        <v>0.20155917095312</v>
      </c>
      <c r="R13" s="9" t="n">
        <v>3.75</v>
      </c>
      <c r="S13" s="13" t="n">
        <f aca="false">IF(AND(ISNUMBER(R13),R13&gt;1,P13&gt;0),R13/P13-1,"")</f>
        <v>-0.244153108925799</v>
      </c>
      <c r="T13" s="9" t="n">
        <f aca="false">IF(AND(ISNUMBER(P13),P13&gt;0),P13*EXP('Read me'!$B$22),"")</f>
        <v>6.05977268305123</v>
      </c>
    </row>
    <row r="14" customFormat="false" ht="15" hidden="false" customHeight="false" outlineLevel="0" collapsed="false">
      <c r="A14" s="11" t="s">
        <v>62</v>
      </c>
      <c r="B14" s="11" t="s">
        <v>42</v>
      </c>
      <c r="C14" s="11" t="s">
        <v>63</v>
      </c>
      <c r="D14" s="11" t="s">
        <v>260</v>
      </c>
      <c r="E14" s="12" t="n">
        <v>5</v>
      </c>
      <c r="F14" s="11" t="s">
        <v>185</v>
      </c>
      <c r="G14" s="8" t="n">
        <v>8</v>
      </c>
      <c r="H14" s="11" t="s">
        <v>67</v>
      </c>
      <c r="I14" s="11" t="s">
        <v>210</v>
      </c>
      <c r="J14" s="11" t="s">
        <v>261</v>
      </c>
      <c r="K14" s="8" t="n">
        <v>8</v>
      </c>
      <c r="L14" s="8" t="n">
        <v>71</v>
      </c>
      <c r="M14" s="8" t="n">
        <v>2</v>
      </c>
      <c r="N14" s="8" t="n">
        <v>15</v>
      </c>
      <c r="O14" s="8" t="n">
        <v>2</v>
      </c>
      <c r="P14" s="9" t="n">
        <v>5.56430366359588</v>
      </c>
      <c r="Q14" s="10" t="n">
        <v>0.179717006917225</v>
      </c>
      <c r="R14" s="9" t="n">
        <v>4.5</v>
      </c>
      <c r="S14" s="13" t="n">
        <f aca="false">IF(AND(ISNUMBER(R14),R14&gt;1,P14&gt;0),R14/P14-1,"")</f>
        <v>-0.191273468872488</v>
      </c>
      <c r="T14" s="9" t="n">
        <f aca="false">IF(AND(ISNUMBER(P14),P14&gt;0),P14*EXP('Read me'!$B$22),"")</f>
        <v>6.79625584195674</v>
      </c>
    </row>
    <row r="15" customFormat="false" ht="15" hidden="false" customHeight="false" outlineLevel="0" collapsed="false">
      <c r="A15" s="11" t="s">
        <v>62</v>
      </c>
      <c r="B15" s="11" t="s">
        <v>42</v>
      </c>
      <c r="C15" s="11" t="s">
        <v>63</v>
      </c>
      <c r="D15" s="11" t="s">
        <v>260</v>
      </c>
      <c r="E15" s="12" t="n">
        <v>5</v>
      </c>
      <c r="F15" s="11" t="s">
        <v>185</v>
      </c>
      <c r="G15" s="8" t="n">
        <v>8</v>
      </c>
      <c r="H15" s="11" t="s">
        <v>262</v>
      </c>
      <c r="I15" s="11" t="s">
        <v>45</v>
      </c>
      <c r="J15" s="11" t="s">
        <v>116</v>
      </c>
      <c r="K15" s="8" t="n">
        <v>2</v>
      </c>
      <c r="L15" s="8" t="n">
        <v>65</v>
      </c>
      <c r="M15" s="8" t="n">
        <v>2</v>
      </c>
      <c r="N15" s="8" t="n">
        <v>15</v>
      </c>
      <c r="O15" s="8" t="n">
        <v>3</v>
      </c>
      <c r="P15" s="9" t="n">
        <v>6.32484324577074</v>
      </c>
      <c r="Q15" s="10" t="n">
        <v>0.15810668520025</v>
      </c>
      <c r="R15" s="9" t="n">
        <v>4.5</v>
      </c>
      <c r="S15" s="13" t="n">
        <f aca="false">IF(AND(ISNUMBER(R15),R15&gt;1,P15&gt;0),R15/P15-1,"")</f>
        <v>-0.288519916598877</v>
      </c>
      <c r="T15" s="9" t="n">
        <f aca="false">IF(AND(ISNUMBER(P15),P15&gt;0),P15*EXP('Read me'!$B$22),"")</f>
        <v>7.72518098531511</v>
      </c>
    </row>
    <row r="16" customFormat="false" ht="15" hidden="false" customHeight="false" outlineLevel="0" collapsed="false">
      <c r="A16" s="11" t="s">
        <v>62</v>
      </c>
      <c r="B16" s="11" t="s">
        <v>42</v>
      </c>
      <c r="C16" s="11" t="s">
        <v>63</v>
      </c>
      <c r="D16" s="11" t="s">
        <v>260</v>
      </c>
      <c r="E16" s="12" t="n">
        <v>5</v>
      </c>
      <c r="F16" s="11" t="s">
        <v>185</v>
      </c>
      <c r="G16" s="8" t="n">
        <v>8</v>
      </c>
      <c r="H16" s="11" t="s">
        <v>263</v>
      </c>
      <c r="I16" s="11" t="s">
        <v>264</v>
      </c>
      <c r="J16" s="11" t="s">
        <v>265</v>
      </c>
      <c r="K16" s="8" t="n">
        <v>5</v>
      </c>
      <c r="L16" s="8" t="n">
        <v>73</v>
      </c>
      <c r="M16" s="8" t="n">
        <v>2</v>
      </c>
      <c r="N16" s="8" t="n">
        <v>73</v>
      </c>
      <c r="O16" s="8" t="n">
        <v>4</v>
      </c>
      <c r="P16" s="9" t="n">
        <v>6.814806208773</v>
      </c>
      <c r="Q16" s="10" t="n">
        <v>0.146739315743514</v>
      </c>
      <c r="R16" s="9" t="n">
        <v>9</v>
      </c>
      <c r="S16" s="13" t="n">
        <f aca="false">IF(AND(ISNUMBER(R16),R16&gt;1,P16&gt;0),R16/P16-1,"")</f>
        <v>0.320653841691625</v>
      </c>
      <c r="T16" s="9" t="n">
        <f aca="false">IF(AND(ISNUMBER(P16),P16&gt;0),P16*EXP('Read me'!$B$22),"")</f>
        <v>8.32362309972239</v>
      </c>
    </row>
    <row r="17" customFormat="false" ht="15" hidden="false" customHeight="false" outlineLevel="0" collapsed="false">
      <c r="A17" s="11" t="s">
        <v>62</v>
      </c>
      <c r="B17" s="11" t="s">
        <v>42</v>
      </c>
      <c r="C17" s="11" t="s">
        <v>63</v>
      </c>
      <c r="D17" s="11" t="s">
        <v>260</v>
      </c>
      <c r="E17" s="12" t="n">
        <v>5</v>
      </c>
      <c r="F17" s="11" t="s">
        <v>185</v>
      </c>
      <c r="G17" s="8" t="n">
        <v>8</v>
      </c>
      <c r="H17" s="11" t="s">
        <v>266</v>
      </c>
      <c r="I17" s="11" t="s">
        <v>149</v>
      </c>
      <c r="J17" s="11" t="s">
        <v>265</v>
      </c>
      <c r="K17" s="8" t="n">
        <v>7</v>
      </c>
      <c r="L17" s="8" t="n">
        <v>73</v>
      </c>
      <c r="M17" s="8" t="n">
        <v>2</v>
      </c>
      <c r="N17" s="8" t="n">
        <v>15</v>
      </c>
      <c r="O17" s="8" t="n">
        <v>5</v>
      </c>
      <c r="P17" s="9" t="n">
        <v>8.47818616131087</v>
      </c>
      <c r="Q17" s="10" t="n">
        <v>0.117949757291645</v>
      </c>
      <c r="R17" s="9" t="n">
        <v>5</v>
      </c>
      <c r="S17" s="13" t="n">
        <f aca="false">IF(AND(ISNUMBER(R17),R17&gt;1,P17&gt;0),R17/P17-1,"")</f>
        <v>-0.410251213541775</v>
      </c>
      <c r="T17" s="9" t="n">
        <f aca="false">IF(AND(ISNUMBER(P17),P17&gt;0),P17*EXP('Read me'!$B$22),"")</f>
        <v>10.3552799616205</v>
      </c>
    </row>
    <row r="18" customFormat="false" ht="15" hidden="false" customHeight="false" outlineLevel="0" collapsed="false">
      <c r="A18" s="11" t="s">
        <v>62</v>
      </c>
      <c r="B18" s="11" t="s">
        <v>42</v>
      </c>
      <c r="C18" s="11" t="s">
        <v>63</v>
      </c>
      <c r="D18" s="11" t="s">
        <v>260</v>
      </c>
      <c r="E18" s="12" t="n">
        <v>5</v>
      </c>
      <c r="F18" s="11" t="s">
        <v>185</v>
      </c>
      <c r="G18" s="8" t="n">
        <v>8</v>
      </c>
      <c r="H18" s="11" t="s">
        <v>267</v>
      </c>
      <c r="I18" s="11" t="s">
        <v>268</v>
      </c>
      <c r="J18" s="11" t="s">
        <v>251</v>
      </c>
      <c r="K18" s="8" t="n">
        <v>6</v>
      </c>
      <c r="L18" s="8" t="n">
        <v>73</v>
      </c>
      <c r="M18" s="8" t="n">
        <v>2</v>
      </c>
      <c r="N18" s="8" t="n">
        <v>12</v>
      </c>
      <c r="O18" s="8" t="n">
        <v>6</v>
      </c>
      <c r="P18" s="9" t="n">
        <v>10.7828380636121</v>
      </c>
      <c r="Q18" s="10" t="n">
        <v>0.0927399627167374</v>
      </c>
      <c r="R18" s="9" t="n">
        <v>23</v>
      </c>
      <c r="S18" s="13" t="n">
        <f aca="false">IF(AND(ISNUMBER(R18),R18&gt;1,P18&gt;0),R18/P18-1,"")</f>
        <v>1.13301914248496</v>
      </c>
      <c r="T18" s="9" t="n">
        <f aca="false">IF(AND(ISNUMBER(P18),P18&gt;0),P18*EXP('Read me'!$B$22),"")</f>
        <v>13.1701881516902</v>
      </c>
    </row>
    <row r="19" customFormat="false" ht="15" hidden="false" customHeight="false" outlineLevel="0" collapsed="false">
      <c r="A19" s="11" t="s">
        <v>62</v>
      </c>
      <c r="B19" s="11" t="s">
        <v>42</v>
      </c>
      <c r="C19" s="11" t="s">
        <v>63</v>
      </c>
      <c r="D19" s="11" t="s">
        <v>260</v>
      </c>
      <c r="E19" s="12" t="n">
        <v>5</v>
      </c>
      <c r="F19" s="11" t="s">
        <v>185</v>
      </c>
      <c r="G19" s="8" t="n">
        <v>8</v>
      </c>
      <c r="H19" s="11" t="s">
        <v>269</v>
      </c>
      <c r="I19" s="11" t="s">
        <v>207</v>
      </c>
      <c r="J19" s="11" t="s">
        <v>270</v>
      </c>
      <c r="K19" s="8" t="n">
        <v>1</v>
      </c>
      <c r="L19" s="8" t="n">
        <v>68</v>
      </c>
      <c r="M19" s="8" t="n">
        <v>2</v>
      </c>
      <c r="N19" s="8" t="n">
        <v>45</v>
      </c>
      <c r="O19" s="8" t="n">
        <v>7</v>
      </c>
      <c r="P19" s="9" t="n">
        <v>12.0295540473983</v>
      </c>
      <c r="Q19" s="10" t="n">
        <v>0.083128601115207</v>
      </c>
      <c r="R19" s="9" t="n">
        <v>11</v>
      </c>
      <c r="S19" s="13" t="n">
        <f aca="false">IF(AND(ISNUMBER(R19),R19&gt;1,P19&gt;0),R19/P19-1,"")</f>
        <v>-0.0855853877327227</v>
      </c>
      <c r="T19" s="9" t="n">
        <f aca="false">IF(AND(ISNUMBER(P19),P19&gt;0),P19*EXP('Read me'!$B$22),"")</f>
        <v>14.6929304929292</v>
      </c>
    </row>
    <row r="20" customFormat="false" ht="15" hidden="false" customHeight="false" outlineLevel="0" collapsed="false">
      <c r="A20" s="11" t="s">
        <v>62</v>
      </c>
      <c r="B20" s="11" t="s">
        <v>42</v>
      </c>
      <c r="C20" s="11" t="s">
        <v>63</v>
      </c>
      <c r="D20" s="11" t="s">
        <v>260</v>
      </c>
      <c r="E20" s="12" t="n">
        <v>5</v>
      </c>
      <c r="F20" s="11" t="s">
        <v>185</v>
      </c>
      <c r="G20" s="8" t="n">
        <v>8</v>
      </c>
      <c r="H20" s="11" t="s">
        <v>271</v>
      </c>
      <c r="I20" s="11" t="s">
        <v>202</v>
      </c>
      <c r="J20" s="11" t="s">
        <v>111</v>
      </c>
      <c r="K20" s="8" t="n">
        <v>3</v>
      </c>
      <c r="L20" s="8" t="n">
        <v>54</v>
      </c>
      <c r="M20" s="8" t="n">
        <v>2</v>
      </c>
      <c r="N20" s="8" t="n">
        <v>10</v>
      </c>
      <c r="O20" s="8" t="n">
        <v>8</v>
      </c>
      <c r="P20" s="9" t="n">
        <v>49.8516910637923</v>
      </c>
      <c r="Q20" s="10" t="n">
        <v>0.0200595000623019</v>
      </c>
      <c r="R20" s="9" t="n">
        <v>29</v>
      </c>
      <c r="S20" s="13" t="n">
        <f aca="false">IF(AND(ISNUMBER(R20),R20&gt;1,P20&gt;0),R20/P20-1,"")</f>
        <v>-0.418274498193243</v>
      </c>
      <c r="T20" s="9" t="n">
        <f aca="false">IF(AND(ISNUMBER(P20),P20&gt;0),P20*EXP('Read me'!$B$22),"")</f>
        <v>60.8889929642646</v>
      </c>
    </row>
    <row r="21" customFormat="false" ht="15" hidden="false" customHeight="false" outlineLevel="0" collapsed="false">
      <c r="A21" s="11" t="s">
        <v>77</v>
      </c>
      <c r="B21" s="11" t="s">
        <v>42</v>
      </c>
      <c r="C21" s="11" t="s">
        <v>78</v>
      </c>
      <c r="D21" s="11" t="s">
        <v>184</v>
      </c>
      <c r="E21" s="12" t="n">
        <v>5</v>
      </c>
      <c r="F21" s="11" t="s">
        <v>185</v>
      </c>
      <c r="G21" s="8" t="n">
        <v>4</v>
      </c>
      <c r="H21" s="11" t="s">
        <v>79</v>
      </c>
      <c r="I21" s="11" t="s">
        <v>80</v>
      </c>
      <c r="J21" s="11" t="s">
        <v>81</v>
      </c>
      <c r="K21" s="8" t="n">
        <v>5</v>
      </c>
      <c r="L21" s="8" t="n">
        <v>55</v>
      </c>
      <c r="M21" s="8" t="n">
        <v>5</v>
      </c>
      <c r="N21" s="8" t="n">
        <v>6</v>
      </c>
      <c r="O21" s="8" t="n">
        <v>1</v>
      </c>
      <c r="P21" s="9" t="n">
        <v>1.88168126072494</v>
      </c>
      <c r="Q21" s="10" t="n">
        <v>0.531439633731983</v>
      </c>
      <c r="R21" s="9" t="n">
        <v>1.61538461538462</v>
      </c>
      <c r="S21" s="13" t="n">
        <f aca="false">IF(AND(ISNUMBER(R21),R21&gt;1,P21&gt;0),R21/P21-1,"")</f>
        <v>-0.14152059166372</v>
      </c>
      <c r="T21" s="9" t="n">
        <f aca="false">IF(AND(ISNUMBER(P21),P21&gt;0),P21*EXP('Read me'!$B$22),"")</f>
        <v>2.29829068182775</v>
      </c>
    </row>
    <row r="22" customFormat="false" ht="15" hidden="false" customHeight="false" outlineLevel="0" collapsed="false">
      <c r="A22" s="11" t="s">
        <v>77</v>
      </c>
      <c r="B22" s="11" t="s">
        <v>42</v>
      </c>
      <c r="C22" s="11" t="s">
        <v>78</v>
      </c>
      <c r="D22" s="11" t="s">
        <v>184</v>
      </c>
      <c r="E22" s="12" t="n">
        <v>5</v>
      </c>
      <c r="F22" s="11" t="s">
        <v>185</v>
      </c>
      <c r="G22" s="8" t="n">
        <v>4</v>
      </c>
      <c r="H22" s="11" t="s">
        <v>82</v>
      </c>
      <c r="I22" s="11" t="s">
        <v>196</v>
      </c>
      <c r="J22" s="11" t="s">
        <v>197</v>
      </c>
      <c r="K22" s="8" t="n">
        <v>1</v>
      </c>
      <c r="L22" s="8" t="n">
        <v>49</v>
      </c>
      <c r="M22" s="8" t="n">
        <v>9</v>
      </c>
      <c r="N22" s="8" t="n">
        <v>15</v>
      </c>
      <c r="O22" s="8" t="n">
        <v>2</v>
      </c>
      <c r="P22" s="9" t="n">
        <v>3.78837847683098</v>
      </c>
      <c r="Q22" s="10" t="n">
        <v>0.263965178272397</v>
      </c>
      <c r="R22" s="9" t="n">
        <v>3.75</v>
      </c>
      <c r="S22" s="13" t="n">
        <f aca="false">IF(AND(ISNUMBER(R22),R22&gt;1,P22&gt;0),R22/P22-1,"")</f>
        <v>-0.0101305814785113</v>
      </c>
      <c r="T22" s="9" t="n">
        <f aca="false">IF(AND(ISNUMBER(P22),P22&gt;0),P22*EXP('Read me'!$B$22),"")</f>
        <v>4.62713592055598</v>
      </c>
    </row>
    <row r="23" customFormat="false" ht="15" hidden="false" customHeight="false" outlineLevel="0" collapsed="false">
      <c r="A23" s="11" t="s">
        <v>77</v>
      </c>
      <c r="B23" s="11" t="s">
        <v>42</v>
      </c>
      <c r="C23" s="11" t="s">
        <v>78</v>
      </c>
      <c r="D23" s="11" t="s">
        <v>184</v>
      </c>
      <c r="E23" s="12" t="n">
        <v>5</v>
      </c>
      <c r="F23" s="11" t="s">
        <v>185</v>
      </c>
      <c r="G23" s="8" t="n">
        <v>4</v>
      </c>
      <c r="H23" s="11" t="s">
        <v>291</v>
      </c>
      <c r="I23" s="11" t="s">
        <v>149</v>
      </c>
      <c r="J23" s="11" t="s">
        <v>150</v>
      </c>
      <c r="K23" s="8" t="n">
        <v>4</v>
      </c>
      <c r="L23" s="8" t="n">
        <v>45</v>
      </c>
      <c r="M23" s="8" t="n">
        <v>8</v>
      </c>
      <c r="N23" s="8" t="n">
        <v>6</v>
      </c>
      <c r="O23" s="8" t="n">
        <v>3</v>
      </c>
      <c r="P23" s="9" t="n">
        <v>5.67075534942856</v>
      </c>
      <c r="Q23" s="10" t="n">
        <v>0.176343350820234</v>
      </c>
      <c r="R23" s="9" t="n">
        <v>5.5</v>
      </c>
      <c r="S23" s="13" t="n">
        <f aca="false">IF(AND(ISNUMBER(R23),R23&gt;1,P23&gt;0),R23/P23-1,"")</f>
        <v>-0.0301115704887118</v>
      </c>
      <c r="T23" s="9" t="n">
        <f aca="false">IF(AND(ISNUMBER(P23),P23&gt;0),P23*EXP('Read me'!$B$22),"")</f>
        <v>6.92627622464358</v>
      </c>
    </row>
    <row r="24" customFormat="false" ht="15" hidden="false" customHeight="false" outlineLevel="0" collapsed="false">
      <c r="A24" s="11" t="s">
        <v>77</v>
      </c>
      <c r="B24" s="11" t="s">
        <v>42</v>
      </c>
      <c r="C24" s="11" t="s">
        <v>78</v>
      </c>
      <c r="D24" s="11" t="s">
        <v>184</v>
      </c>
      <c r="E24" s="12" t="n">
        <v>5</v>
      </c>
      <c r="F24" s="11" t="s">
        <v>185</v>
      </c>
      <c r="G24" s="8" t="n">
        <v>4</v>
      </c>
      <c r="H24" s="11" t="s">
        <v>292</v>
      </c>
      <c r="I24" s="11" t="s">
        <v>293</v>
      </c>
      <c r="J24" s="11" t="s">
        <v>192</v>
      </c>
      <c r="K24" s="8" t="n">
        <v>2</v>
      </c>
      <c r="L24" s="8" t="n">
        <v>45</v>
      </c>
      <c r="M24" s="8" t="n">
        <v>3</v>
      </c>
      <c r="N24" s="8" t="n">
        <v>27</v>
      </c>
      <c r="O24" s="8" t="n">
        <v>4</v>
      </c>
      <c r="P24" s="9" t="n">
        <v>35.3959281936975</v>
      </c>
      <c r="Q24" s="10" t="n">
        <v>0.0282518371753861</v>
      </c>
      <c r="R24" s="9" t="n">
        <v>23</v>
      </c>
      <c r="S24" s="13" t="n">
        <f aca="false">IF(AND(ISNUMBER(R24),R24&gt;1,P24&gt;0),R24/P24-1,"")</f>
        <v>-0.350207744966119</v>
      </c>
      <c r="T24" s="9" t="n">
        <f aca="false">IF(AND(ISNUMBER(P24),P24&gt;0),P24*EXP('Read me'!$B$22),"")</f>
        <v>43.2326843234214</v>
      </c>
    </row>
    <row r="25" customFormat="false" ht="15" hidden="false" customHeight="false" outlineLevel="0" collapsed="false">
      <c r="A25" s="11" t="s">
        <v>95</v>
      </c>
      <c r="B25" s="11" t="s">
        <v>42</v>
      </c>
      <c r="C25" s="11" t="s">
        <v>96</v>
      </c>
      <c r="D25" s="11" t="s">
        <v>260</v>
      </c>
      <c r="E25" s="12" t="n">
        <v>16</v>
      </c>
      <c r="F25" s="11" t="s">
        <v>185</v>
      </c>
      <c r="G25" s="8" t="n">
        <v>5</v>
      </c>
      <c r="H25" s="11" t="s">
        <v>97</v>
      </c>
      <c r="I25" s="11" t="s">
        <v>98</v>
      </c>
      <c r="J25" s="11" t="s">
        <v>99</v>
      </c>
      <c r="K25" s="8" t="n">
        <v>3</v>
      </c>
      <c r="L25" s="8" t="n">
        <v>74</v>
      </c>
      <c r="M25" s="8" t="n">
        <v>3</v>
      </c>
      <c r="N25" s="8" t="n">
        <v>22</v>
      </c>
      <c r="O25" s="8" t="n">
        <v>1</v>
      </c>
      <c r="P25" s="9" t="n">
        <v>2.63874997202321</v>
      </c>
      <c r="Q25" s="10" t="n">
        <v>0.378967318087083</v>
      </c>
      <c r="R25" s="9" t="n">
        <v>2.625</v>
      </c>
      <c r="S25" s="13" t="n">
        <f aca="false">IF(AND(ISNUMBER(R25),R25&gt;1,P25&gt;0),R25/P25-1,"")</f>
        <v>-0.00521079002140723</v>
      </c>
      <c r="T25" s="9" t="n">
        <f aca="false">IF(AND(ISNUMBER(P25),P25&gt;0),P25*EXP('Read me'!$B$22),"")</f>
        <v>3.22297649392422</v>
      </c>
    </row>
    <row r="26" customFormat="false" ht="15" hidden="false" customHeight="false" outlineLevel="0" collapsed="false">
      <c r="A26" s="11" t="s">
        <v>95</v>
      </c>
      <c r="B26" s="11" t="s">
        <v>42</v>
      </c>
      <c r="C26" s="11" t="s">
        <v>96</v>
      </c>
      <c r="D26" s="11" t="s">
        <v>260</v>
      </c>
      <c r="E26" s="12" t="n">
        <v>16</v>
      </c>
      <c r="F26" s="11" t="s">
        <v>185</v>
      </c>
      <c r="G26" s="8" t="n">
        <v>5</v>
      </c>
      <c r="H26" s="11" t="s">
        <v>100</v>
      </c>
      <c r="I26" s="11" t="s">
        <v>313</v>
      </c>
      <c r="J26" s="11" t="s">
        <v>314</v>
      </c>
      <c r="K26" s="8" t="n">
        <v>2</v>
      </c>
      <c r="L26" s="8" t="n">
        <v>75</v>
      </c>
      <c r="M26" s="8" t="n">
        <v>4</v>
      </c>
      <c r="N26" s="8" t="n">
        <v>8</v>
      </c>
      <c r="O26" s="8" t="n">
        <v>2</v>
      </c>
      <c r="P26" s="9" t="n">
        <v>3.71489568411846</v>
      </c>
      <c r="Q26" s="10" t="n">
        <v>0.269186562700831</v>
      </c>
      <c r="R26" s="9" t="n">
        <v>4</v>
      </c>
      <c r="S26" s="13" t="n">
        <f aca="false">IF(AND(ISNUMBER(R26),R26&gt;1,P26&gt;0),R26/P26-1,"")</f>
        <v>0.0767462508033252</v>
      </c>
      <c r="T26" s="9" t="n">
        <f aca="false">IF(AND(ISNUMBER(P26),P26&gt;0),P26*EXP('Read me'!$B$22),"")</f>
        <v>4.53738383485959</v>
      </c>
    </row>
    <row r="27" customFormat="false" ht="15" hidden="false" customHeight="false" outlineLevel="0" collapsed="false">
      <c r="A27" s="11" t="s">
        <v>95</v>
      </c>
      <c r="B27" s="11" t="s">
        <v>42</v>
      </c>
      <c r="C27" s="11" t="s">
        <v>96</v>
      </c>
      <c r="D27" s="11" t="s">
        <v>260</v>
      </c>
      <c r="E27" s="12" t="n">
        <v>16</v>
      </c>
      <c r="F27" s="11" t="s">
        <v>185</v>
      </c>
      <c r="G27" s="8" t="n">
        <v>5</v>
      </c>
      <c r="H27" s="11" t="s">
        <v>315</v>
      </c>
      <c r="I27" s="11" t="s">
        <v>80</v>
      </c>
      <c r="J27" s="11" t="s">
        <v>316</v>
      </c>
      <c r="K27" s="8" t="n">
        <v>1</v>
      </c>
      <c r="L27" s="8" t="n">
        <v>60</v>
      </c>
      <c r="M27" s="8" t="n">
        <v>6</v>
      </c>
      <c r="N27" s="8" t="n">
        <v>162</v>
      </c>
      <c r="O27" s="8" t="n">
        <v>3</v>
      </c>
      <c r="P27" s="9" t="n">
        <v>4.82420135570333</v>
      </c>
      <c r="Q27" s="10" t="n">
        <v>0.207288196795054</v>
      </c>
      <c r="R27" s="9" t="n">
        <v>2.875</v>
      </c>
      <c r="S27" s="13" t="n">
        <f aca="false">IF(AND(ISNUMBER(R27),R27&gt;1,P27&gt;0),R27/P27-1,"")</f>
        <v>-0.404046434214219</v>
      </c>
      <c r="T27" s="9" t="n">
        <f aca="false">IF(AND(ISNUMBER(P27),P27&gt;0),P27*EXP('Read me'!$B$22),"")</f>
        <v>5.89229284177608</v>
      </c>
    </row>
    <row r="28" customFormat="false" ht="15" hidden="false" customHeight="false" outlineLevel="0" collapsed="false">
      <c r="A28" s="11" t="s">
        <v>95</v>
      </c>
      <c r="B28" s="11" t="s">
        <v>42</v>
      </c>
      <c r="C28" s="11" t="s">
        <v>96</v>
      </c>
      <c r="D28" s="11" t="s">
        <v>260</v>
      </c>
      <c r="E28" s="12" t="n">
        <v>16</v>
      </c>
      <c r="F28" s="11" t="s">
        <v>185</v>
      </c>
      <c r="G28" s="8" t="n">
        <v>5</v>
      </c>
      <c r="H28" s="11" t="s">
        <v>317</v>
      </c>
      <c r="I28" s="11" t="s">
        <v>194</v>
      </c>
      <c r="J28" s="11" t="s">
        <v>168</v>
      </c>
      <c r="K28" s="8" t="n">
        <v>5</v>
      </c>
      <c r="L28" s="8" t="n">
        <v>63</v>
      </c>
      <c r="M28" s="8" t="n">
        <v>3</v>
      </c>
      <c r="N28" s="8" t="n">
        <v>6</v>
      </c>
      <c r="O28" s="8" t="n">
        <v>4</v>
      </c>
      <c r="P28" s="9" t="n">
        <v>9.54483342460632</v>
      </c>
      <c r="Q28" s="10" t="n">
        <v>0.104768722042024</v>
      </c>
      <c r="R28" s="9" t="n">
        <v>10</v>
      </c>
      <c r="S28" s="13" t="n">
        <f aca="false">IF(AND(ISNUMBER(R28),R28&gt;1,P28&gt;0),R28/P28-1,"")</f>
        <v>0.0476872204202401</v>
      </c>
      <c r="T28" s="9" t="n">
        <f aca="false">IF(AND(ISNUMBER(P28),P28&gt;0),P28*EXP('Read me'!$B$22),"")</f>
        <v>11.6580858709935</v>
      </c>
    </row>
    <row r="29" customFormat="false" ht="15" hidden="false" customHeight="false" outlineLevel="0" collapsed="false">
      <c r="A29" s="11" t="s">
        <v>95</v>
      </c>
      <c r="B29" s="11" t="s">
        <v>42</v>
      </c>
      <c r="C29" s="11" t="s">
        <v>96</v>
      </c>
      <c r="D29" s="11" t="s">
        <v>260</v>
      </c>
      <c r="E29" s="12" t="n">
        <v>16</v>
      </c>
      <c r="F29" s="11" t="s">
        <v>185</v>
      </c>
      <c r="G29" s="8" t="n">
        <v>5</v>
      </c>
      <c r="H29" s="11" t="s">
        <v>318</v>
      </c>
      <c r="I29" s="11" t="s">
        <v>133</v>
      </c>
      <c r="J29" s="11" t="s">
        <v>319</v>
      </c>
      <c r="K29" s="8" t="n">
        <v>4</v>
      </c>
      <c r="L29" s="8" t="n">
        <v>65</v>
      </c>
      <c r="M29" s="8" t="n">
        <v>10</v>
      </c>
      <c r="N29" s="8" t="n">
        <v>15</v>
      </c>
      <c r="O29" s="8" t="n">
        <v>5</v>
      </c>
      <c r="P29" s="9" t="n">
        <v>25.1324477640955</v>
      </c>
      <c r="Q29" s="10" t="n">
        <v>0.0397892003750073</v>
      </c>
      <c r="R29" s="9" t="n">
        <v>13</v>
      </c>
      <c r="S29" s="13" t="n">
        <f aca="false">IF(AND(ISNUMBER(R29),R29&gt;1,P29&gt;0),R29/P29-1,"")</f>
        <v>-0.482740395124905</v>
      </c>
      <c r="T29" s="9" t="n">
        <f aca="false">IF(AND(ISNUMBER(P29),P29&gt;0),P29*EXP('Read me'!$B$22),"")</f>
        <v>30.6968410183826</v>
      </c>
    </row>
    <row r="30" customFormat="false" ht="15" hidden="false" customHeight="false" outlineLevel="0" collapsed="false">
      <c r="A30" s="11" t="s">
        <v>113</v>
      </c>
      <c r="B30" s="11" t="s">
        <v>42</v>
      </c>
      <c r="C30" s="11" t="s">
        <v>114</v>
      </c>
      <c r="D30" s="11" t="s">
        <v>305</v>
      </c>
      <c r="E30" s="12"/>
      <c r="F30" s="11" t="s">
        <v>185</v>
      </c>
      <c r="G30" s="8" t="n">
        <v>5</v>
      </c>
      <c r="H30" s="11" t="s">
        <v>115</v>
      </c>
      <c r="I30" s="11" t="s">
        <v>45</v>
      </c>
      <c r="J30" s="11" t="s">
        <v>116</v>
      </c>
      <c r="K30" s="8" t="n">
        <v>2</v>
      </c>
      <c r="L30" s="8" t="n">
        <v>0</v>
      </c>
      <c r="M30" s="8" t="n">
        <v>2</v>
      </c>
      <c r="N30" s="8" t="n">
        <v>43</v>
      </c>
      <c r="O30" s="8" t="n">
        <v>1</v>
      </c>
      <c r="P30" s="9" t="n">
        <v>1.72015495879957</v>
      </c>
      <c r="Q30" s="10" t="n">
        <v>0.58134297429684</v>
      </c>
      <c r="R30" s="9" t="n">
        <v>1.36363636363636</v>
      </c>
      <c r="S30" s="13" t="n">
        <f aca="false">IF(AND(ISNUMBER(R30),R30&gt;1,P30&gt;0),R30/P30-1,"")</f>
        <v>-0.20725958050431</v>
      </c>
      <c r="T30" s="9" t="n">
        <f aca="false">IF(AND(ISNUMBER(P30),P30&gt;0),P30*EXP('Read me'!$B$22),"")</f>
        <v>2.10100201114069</v>
      </c>
    </row>
    <row r="31" customFormat="false" ht="15" hidden="false" customHeight="false" outlineLevel="0" collapsed="false">
      <c r="A31" s="11" t="s">
        <v>113</v>
      </c>
      <c r="B31" s="11" t="s">
        <v>42</v>
      </c>
      <c r="C31" s="11" t="s">
        <v>114</v>
      </c>
      <c r="D31" s="11" t="s">
        <v>305</v>
      </c>
      <c r="E31" s="12"/>
      <c r="F31" s="11" t="s">
        <v>185</v>
      </c>
      <c r="G31" s="8" t="n">
        <v>5</v>
      </c>
      <c r="H31" s="11" t="s">
        <v>117</v>
      </c>
      <c r="I31" s="11" t="s">
        <v>65</v>
      </c>
      <c r="J31" s="11" t="s">
        <v>66</v>
      </c>
      <c r="K31" s="8" t="n">
        <v>5</v>
      </c>
      <c r="L31" s="8" t="n">
        <v>77</v>
      </c>
      <c r="M31" s="8" t="n">
        <v>2</v>
      </c>
      <c r="N31" s="8" t="n">
        <v>21</v>
      </c>
      <c r="O31" s="8" t="n">
        <v>2</v>
      </c>
      <c r="P31" s="9" t="n">
        <v>2.88904434213253</v>
      </c>
      <c r="Q31" s="10" t="n">
        <v>0.346135220362127</v>
      </c>
      <c r="R31" s="9" t="n">
        <v>3.25</v>
      </c>
      <c r="S31" s="13" t="n">
        <f aca="false">IF(AND(ISNUMBER(R31),R31&gt;1,P31&gt;0),R31/P31-1,"")</f>
        <v>0.124939466176912</v>
      </c>
      <c r="T31" s="9" t="n">
        <f aca="false">IF(AND(ISNUMBER(P31),P31&gt;0),P31*EXP('Read me'!$B$22),"")</f>
        <v>3.52868672792771</v>
      </c>
    </row>
    <row r="32" customFormat="false" ht="15" hidden="false" customHeight="false" outlineLevel="0" collapsed="false">
      <c r="A32" s="11" t="s">
        <v>113</v>
      </c>
      <c r="B32" s="11" t="s">
        <v>42</v>
      </c>
      <c r="C32" s="11" t="s">
        <v>114</v>
      </c>
      <c r="D32" s="11" t="s">
        <v>305</v>
      </c>
      <c r="E32" s="12"/>
      <c r="F32" s="11" t="s">
        <v>185</v>
      </c>
      <c r="G32" s="8" t="n">
        <v>5</v>
      </c>
      <c r="H32" s="11" t="s">
        <v>376</v>
      </c>
      <c r="I32" s="11" t="s">
        <v>293</v>
      </c>
      <c r="J32" s="11" t="s">
        <v>377</v>
      </c>
      <c r="K32" s="8" t="n">
        <v>3</v>
      </c>
      <c r="L32" s="8" t="n">
        <v>0</v>
      </c>
      <c r="M32" s="8" t="n">
        <v>2</v>
      </c>
      <c r="N32" s="8"/>
      <c r="O32" s="8" t="n">
        <v>3</v>
      </c>
      <c r="P32" s="9" t="n">
        <v>35.4589394833269</v>
      </c>
      <c r="Q32" s="10" t="n">
        <v>0.028201633059844</v>
      </c>
      <c r="R32" s="9" t="n">
        <v>13</v>
      </c>
      <c r="S32" s="13" t="n">
        <f aca="false">IF(AND(ISNUMBER(R32),R32&gt;1,P32&gt;0),R32/P32-1,"")</f>
        <v>-0.633378770222028</v>
      </c>
      <c r="T32" s="9" t="n">
        <f aca="false">IF(AND(ISNUMBER(P32),P32&gt;0),P32*EXP('Read me'!$B$22),"")</f>
        <v>43.30964648637</v>
      </c>
    </row>
    <row r="33" customFormat="false" ht="15" hidden="false" customHeight="false" outlineLevel="0" collapsed="false">
      <c r="A33" s="11" t="s">
        <v>113</v>
      </c>
      <c r="B33" s="11" t="s">
        <v>42</v>
      </c>
      <c r="C33" s="11" t="s">
        <v>114</v>
      </c>
      <c r="D33" s="11" t="s">
        <v>305</v>
      </c>
      <c r="E33" s="12"/>
      <c r="F33" s="11" t="s">
        <v>185</v>
      </c>
      <c r="G33" s="8" t="n">
        <v>5</v>
      </c>
      <c r="H33" s="11" t="s">
        <v>378</v>
      </c>
      <c r="I33" s="11" t="s">
        <v>194</v>
      </c>
      <c r="J33" s="11" t="s">
        <v>379</v>
      </c>
      <c r="K33" s="8" t="n">
        <v>4</v>
      </c>
      <c r="L33" s="8" t="n">
        <v>65</v>
      </c>
      <c r="M33" s="8" t="n">
        <v>2</v>
      </c>
      <c r="N33" s="8" t="n">
        <v>29</v>
      </c>
      <c r="O33" s="8" t="n">
        <v>4</v>
      </c>
      <c r="P33" s="9" t="n">
        <v>42.0616837704708</v>
      </c>
      <c r="Q33" s="10" t="n">
        <v>0.0237746069666865</v>
      </c>
      <c r="R33" s="9" t="n">
        <v>29</v>
      </c>
      <c r="S33" s="13" t="n">
        <f aca="false">IF(AND(ISNUMBER(R33),R33&gt;1,P33&gt;0),R33/P33-1,"")</f>
        <v>-0.310536397966092</v>
      </c>
      <c r="T33" s="9" t="n">
        <f aca="false">IF(AND(ISNUMBER(P33),P33&gt;0),P33*EXP('Read me'!$B$22),"")</f>
        <v>51.3742565701139</v>
      </c>
    </row>
    <row r="34" customFormat="false" ht="15" hidden="false" customHeight="false" outlineLevel="0" collapsed="false">
      <c r="A34" s="11" t="s">
        <v>113</v>
      </c>
      <c r="B34" s="11" t="s">
        <v>42</v>
      </c>
      <c r="C34" s="11" t="s">
        <v>114</v>
      </c>
      <c r="D34" s="11" t="s">
        <v>305</v>
      </c>
      <c r="E34" s="12"/>
      <c r="F34" s="11" t="s">
        <v>185</v>
      </c>
      <c r="G34" s="8" t="n">
        <v>5</v>
      </c>
      <c r="H34" s="11" t="s">
        <v>380</v>
      </c>
      <c r="I34" s="11" t="s">
        <v>98</v>
      </c>
      <c r="J34" s="11" t="s">
        <v>99</v>
      </c>
      <c r="K34" s="8" t="n">
        <v>1</v>
      </c>
      <c r="L34" s="8" t="n">
        <v>0</v>
      </c>
      <c r="M34" s="8" t="n">
        <v>2</v>
      </c>
      <c r="N34" s="8" t="n">
        <v>17</v>
      </c>
      <c r="O34" s="8" t="n">
        <v>5</v>
      </c>
      <c r="P34" s="9" t="n">
        <v>48.6723039591466</v>
      </c>
      <c r="Q34" s="10" t="n">
        <v>0.0205455653145032</v>
      </c>
      <c r="R34" s="9" t="n">
        <v>23</v>
      </c>
      <c r="S34" s="13" t="n">
        <f aca="false">IF(AND(ISNUMBER(R34),R34&gt;1,P34&gt;0),R34/P34-1,"")</f>
        <v>-0.527451997766426</v>
      </c>
      <c r="T34" s="9" t="n">
        <f aca="false">IF(AND(ISNUMBER(P34),P34&gt;0),P34*EXP('Read me'!$B$22),"")</f>
        <v>59.4484863017119</v>
      </c>
    </row>
    <row r="35" customFormat="false" ht="15" hidden="false" customHeight="false" outlineLevel="0" collapsed="false">
      <c r="A35" s="11" t="s">
        <v>130</v>
      </c>
      <c r="B35" s="11" t="s">
        <v>42</v>
      </c>
      <c r="C35" s="11" t="s">
        <v>131</v>
      </c>
      <c r="D35" s="11" t="s">
        <v>184</v>
      </c>
      <c r="E35" s="12" t="n">
        <v>8</v>
      </c>
      <c r="F35" s="11" t="s">
        <v>185</v>
      </c>
      <c r="G35" s="8" t="n">
        <v>9</v>
      </c>
      <c r="H35" s="11" t="s">
        <v>132</v>
      </c>
      <c r="I35" s="11" t="s">
        <v>133</v>
      </c>
      <c r="J35" s="11" t="s">
        <v>134</v>
      </c>
      <c r="K35" s="8" t="n">
        <v>7</v>
      </c>
      <c r="L35" s="8" t="n">
        <v>56</v>
      </c>
      <c r="M35" s="8" t="n">
        <v>4</v>
      </c>
      <c r="N35" s="8" t="n">
        <v>27</v>
      </c>
      <c r="O35" s="8" t="n">
        <v>1</v>
      </c>
      <c r="P35" s="9" t="n">
        <v>4.85541864168532</v>
      </c>
      <c r="Q35" s="10" t="n">
        <v>0.205955464151882</v>
      </c>
      <c r="R35" s="9" t="n">
        <v>5</v>
      </c>
      <c r="S35" s="13" t="n">
        <f aca="false">IF(AND(ISNUMBER(R35),R35&gt;1,P35&gt;0),R35/P35-1,"")</f>
        <v>0.0297773207594096</v>
      </c>
      <c r="T35" s="9" t="n">
        <f aca="false">IF(AND(ISNUMBER(P35),P35&gt;0),P35*EXP('Read me'!$B$22),"")</f>
        <v>5.93042172097676</v>
      </c>
    </row>
    <row r="36" customFormat="false" ht="15" hidden="false" customHeight="false" outlineLevel="0" collapsed="false">
      <c r="A36" s="11" t="s">
        <v>130</v>
      </c>
      <c r="B36" s="11" t="s">
        <v>42</v>
      </c>
      <c r="C36" s="11" t="s">
        <v>131</v>
      </c>
      <c r="D36" s="11" t="s">
        <v>184</v>
      </c>
      <c r="E36" s="12" t="n">
        <v>8</v>
      </c>
      <c r="F36" s="11" t="s">
        <v>185</v>
      </c>
      <c r="G36" s="8" t="n">
        <v>9</v>
      </c>
      <c r="H36" s="11" t="s">
        <v>135</v>
      </c>
      <c r="I36" s="11" t="s">
        <v>149</v>
      </c>
      <c r="J36" s="11" t="s">
        <v>150</v>
      </c>
      <c r="K36" s="8" t="n">
        <v>6</v>
      </c>
      <c r="L36" s="8" t="n">
        <v>58</v>
      </c>
      <c r="M36" s="8" t="n">
        <v>4</v>
      </c>
      <c r="N36" s="8" t="n">
        <v>29</v>
      </c>
      <c r="O36" s="8" t="n">
        <v>2</v>
      </c>
      <c r="P36" s="9" t="n">
        <v>5.41591253754443</v>
      </c>
      <c r="Q36" s="10" t="n">
        <v>0.184641091056725</v>
      </c>
      <c r="R36" s="9" t="n">
        <v>4.5</v>
      </c>
      <c r="S36" s="13" t="n">
        <f aca="false">IF(AND(ISNUMBER(R36),R36&gt;1,P36&gt;0),R36/P36-1,"")</f>
        <v>-0.169115090244737</v>
      </c>
      <c r="T36" s="9" t="n">
        <f aca="false">IF(AND(ISNUMBER(P36),P36&gt;0),P36*EXP('Read me'!$B$22),"")</f>
        <v>6.61501051131101</v>
      </c>
    </row>
    <row r="37" customFormat="false" ht="15" hidden="false" customHeight="false" outlineLevel="0" collapsed="false">
      <c r="A37" s="11" t="s">
        <v>130</v>
      </c>
      <c r="B37" s="11" t="s">
        <v>42</v>
      </c>
      <c r="C37" s="11" t="s">
        <v>131</v>
      </c>
      <c r="D37" s="11" t="s">
        <v>184</v>
      </c>
      <c r="E37" s="12" t="n">
        <v>8</v>
      </c>
      <c r="F37" s="11" t="s">
        <v>185</v>
      </c>
      <c r="G37" s="8" t="n">
        <v>9</v>
      </c>
      <c r="H37" s="11" t="s">
        <v>398</v>
      </c>
      <c r="I37" s="11" t="s">
        <v>399</v>
      </c>
      <c r="J37" s="11" t="s">
        <v>379</v>
      </c>
      <c r="K37" s="8" t="n">
        <v>3</v>
      </c>
      <c r="L37" s="8" t="n">
        <v>55</v>
      </c>
      <c r="M37" s="8" t="n">
        <v>5</v>
      </c>
      <c r="N37" s="8" t="n">
        <v>6</v>
      </c>
      <c r="O37" s="8" t="n">
        <v>3</v>
      </c>
      <c r="P37" s="9" t="n">
        <v>6.15148689783461</v>
      </c>
      <c r="Q37" s="10" t="n">
        <v>0.16256232299739</v>
      </c>
      <c r="R37" s="9" t="n">
        <v>5</v>
      </c>
      <c r="S37" s="13" t="n">
        <f aca="false">IF(AND(ISNUMBER(R37),R37&gt;1,P37&gt;0),R37/P37-1,"")</f>
        <v>-0.187188385013052</v>
      </c>
      <c r="T37" s="9" t="n">
        <f aca="false">IF(AND(ISNUMBER(P37),P37&gt;0),P37*EXP('Read me'!$B$22),"")</f>
        <v>7.51344306380134</v>
      </c>
    </row>
    <row r="38" customFormat="false" ht="15" hidden="false" customHeight="false" outlineLevel="0" collapsed="false">
      <c r="A38" s="11" t="s">
        <v>130</v>
      </c>
      <c r="B38" s="11" t="s">
        <v>42</v>
      </c>
      <c r="C38" s="11" t="s">
        <v>131</v>
      </c>
      <c r="D38" s="11" t="s">
        <v>184</v>
      </c>
      <c r="E38" s="12" t="n">
        <v>8</v>
      </c>
      <c r="F38" s="11" t="s">
        <v>185</v>
      </c>
      <c r="G38" s="8" t="n">
        <v>9</v>
      </c>
      <c r="H38" s="11" t="s">
        <v>400</v>
      </c>
      <c r="I38" s="11" t="s">
        <v>204</v>
      </c>
      <c r="J38" s="11" t="s">
        <v>254</v>
      </c>
      <c r="K38" s="8" t="n">
        <v>4</v>
      </c>
      <c r="L38" s="8" t="n">
        <v>53</v>
      </c>
      <c r="M38" s="8" t="n">
        <v>3</v>
      </c>
      <c r="N38" s="8" t="n">
        <v>32</v>
      </c>
      <c r="O38" s="8" t="n">
        <v>4</v>
      </c>
      <c r="P38" s="9" t="n">
        <v>9.67663450616672</v>
      </c>
      <c r="Q38" s="10" t="n">
        <v>0.103341714452759</v>
      </c>
      <c r="R38" s="9" t="n">
        <v>10</v>
      </c>
      <c r="S38" s="13" t="n">
        <f aca="false">IF(AND(ISNUMBER(R38),R38&gt;1,P38&gt;0),R38/P38-1,"")</f>
        <v>0.0334171445275944</v>
      </c>
      <c r="T38" s="9" t="n">
        <f aca="false">IF(AND(ISNUMBER(P38),P38&gt;0),P38*EXP('Read me'!$B$22),"")</f>
        <v>11.8190680755399</v>
      </c>
    </row>
    <row r="39" customFormat="false" ht="15" hidden="false" customHeight="false" outlineLevel="0" collapsed="false">
      <c r="A39" s="11" t="s">
        <v>130</v>
      </c>
      <c r="B39" s="11" t="s">
        <v>42</v>
      </c>
      <c r="C39" s="11" t="s">
        <v>131</v>
      </c>
      <c r="D39" s="11" t="s">
        <v>184</v>
      </c>
      <c r="E39" s="12" t="n">
        <v>8</v>
      </c>
      <c r="F39" s="11" t="s">
        <v>185</v>
      </c>
      <c r="G39" s="8" t="n">
        <v>9</v>
      </c>
      <c r="H39" s="11" t="s">
        <v>401</v>
      </c>
      <c r="I39" s="11" t="s">
        <v>186</v>
      </c>
      <c r="J39" s="11" t="s">
        <v>187</v>
      </c>
      <c r="K39" s="8" t="n">
        <v>8</v>
      </c>
      <c r="L39" s="8" t="n">
        <v>50</v>
      </c>
      <c r="M39" s="8" t="n">
        <v>4</v>
      </c>
      <c r="N39" s="8" t="n">
        <v>15</v>
      </c>
      <c r="O39" s="8" t="n">
        <v>5</v>
      </c>
      <c r="P39" s="9" t="n">
        <v>11.0485243581157</v>
      </c>
      <c r="Q39" s="10" t="n">
        <v>0.0905098244423431</v>
      </c>
      <c r="R39" s="9" t="n">
        <v>15</v>
      </c>
      <c r="S39" s="13" t="n">
        <f aca="false">IF(AND(ISNUMBER(R39),R39&gt;1,P39&gt;0),R39/P39-1,"")</f>
        <v>0.357647366635148</v>
      </c>
      <c r="T39" s="9" t="n">
        <f aca="false">IF(AND(ISNUMBER(P39),P39&gt;0),P39*EXP('Read me'!$B$22),"")</f>
        <v>13.4946981246023</v>
      </c>
    </row>
    <row r="40" customFormat="false" ht="15" hidden="false" customHeight="false" outlineLevel="0" collapsed="false">
      <c r="A40" s="11" t="s">
        <v>130</v>
      </c>
      <c r="B40" s="11" t="s">
        <v>42</v>
      </c>
      <c r="C40" s="11" t="s">
        <v>131</v>
      </c>
      <c r="D40" s="11" t="s">
        <v>184</v>
      </c>
      <c r="E40" s="12" t="n">
        <v>8</v>
      </c>
      <c r="F40" s="11" t="s">
        <v>185</v>
      </c>
      <c r="G40" s="8" t="n">
        <v>9</v>
      </c>
      <c r="H40" s="11" t="s">
        <v>402</v>
      </c>
      <c r="I40" s="11" t="s">
        <v>45</v>
      </c>
      <c r="J40" s="11" t="s">
        <v>116</v>
      </c>
      <c r="K40" s="8" t="n">
        <v>9</v>
      </c>
      <c r="L40" s="8" t="n">
        <v>58</v>
      </c>
      <c r="M40" s="8" t="n">
        <v>3</v>
      </c>
      <c r="N40" s="8" t="n">
        <v>18</v>
      </c>
      <c r="O40" s="8" t="n">
        <v>6</v>
      </c>
      <c r="P40" s="9" t="n">
        <v>12.4390826998439</v>
      </c>
      <c r="Q40" s="10" t="n">
        <v>0.0803917800154626</v>
      </c>
      <c r="R40" s="9" t="n">
        <v>9.5</v>
      </c>
      <c r="S40" s="13" t="n">
        <f aca="false">IF(AND(ISNUMBER(R40),R40&gt;1,P40&gt;0),R40/P40-1,"")</f>
        <v>-0.236278089853105</v>
      </c>
      <c r="T40" s="9" t="n">
        <f aca="false">IF(AND(ISNUMBER(P40),P40&gt;0),P40*EXP('Read me'!$B$22),"")</f>
        <v>15.1931299185718</v>
      </c>
    </row>
    <row r="41" customFormat="false" ht="15" hidden="false" customHeight="false" outlineLevel="0" collapsed="false">
      <c r="A41" s="11" t="s">
        <v>130</v>
      </c>
      <c r="B41" s="11" t="s">
        <v>42</v>
      </c>
      <c r="C41" s="11" t="s">
        <v>131</v>
      </c>
      <c r="D41" s="11" t="s">
        <v>184</v>
      </c>
      <c r="E41" s="12" t="n">
        <v>8</v>
      </c>
      <c r="F41" s="11" t="s">
        <v>185</v>
      </c>
      <c r="G41" s="8" t="n">
        <v>9</v>
      </c>
      <c r="H41" s="11" t="s">
        <v>403</v>
      </c>
      <c r="I41" s="11" t="s">
        <v>404</v>
      </c>
      <c r="J41" s="11" t="s">
        <v>134</v>
      </c>
      <c r="K41" s="8" t="n">
        <v>1</v>
      </c>
      <c r="L41" s="8" t="n">
        <v>57</v>
      </c>
      <c r="M41" s="8" t="n">
        <v>8</v>
      </c>
      <c r="N41" s="8" t="n">
        <v>27</v>
      </c>
      <c r="O41" s="8" t="n">
        <v>7</v>
      </c>
      <c r="P41" s="9" t="n">
        <v>15.4873088609495</v>
      </c>
      <c r="Q41" s="10" t="n">
        <v>0.064568997039986</v>
      </c>
      <c r="R41" s="9" t="n">
        <v>6.5</v>
      </c>
      <c r="S41" s="13" t="n">
        <f aca="false">IF(AND(ISNUMBER(R41),R41&gt;1,P41&gt;0),R41/P41-1,"")</f>
        <v>-0.580301519240091</v>
      </c>
      <c r="T41" s="9" t="n">
        <f aca="false">IF(AND(ISNUMBER(P41),P41&gt;0),P41*EXP('Read me'!$B$22),"")</f>
        <v>18.9162417592422</v>
      </c>
    </row>
    <row r="42" customFormat="false" ht="15" hidden="false" customHeight="false" outlineLevel="0" collapsed="false">
      <c r="A42" s="11" t="s">
        <v>130</v>
      </c>
      <c r="B42" s="11" t="s">
        <v>42</v>
      </c>
      <c r="C42" s="11" t="s">
        <v>131</v>
      </c>
      <c r="D42" s="11" t="s">
        <v>184</v>
      </c>
      <c r="E42" s="12" t="n">
        <v>8</v>
      </c>
      <c r="F42" s="11" t="s">
        <v>185</v>
      </c>
      <c r="G42" s="8" t="n">
        <v>9</v>
      </c>
      <c r="H42" s="11" t="s">
        <v>405</v>
      </c>
      <c r="I42" s="11" t="s">
        <v>207</v>
      </c>
      <c r="J42" s="11" t="s">
        <v>379</v>
      </c>
      <c r="K42" s="8" t="n">
        <v>2</v>
      </c>
      <c r="L42" s="8" t="n">
        <v>46</v>
      </c>
      <c r="M42" s="8" t="n">
        <v>4</v>
      </c>
      <c r="N42" s="8" t="n">
        <v>6</v>
      </c>
      <c r="O42" s="8" t="n">
        <v>8</v>
      </c>
      <c r="P42" s="9" t="n">
        <v>17.6217701279933</v>
      </c>
      <c r="Q42" s="10" t="n">
        <v>0.0567479880134989</v>
      </c>
      <c r="R42" s="9" t="n">
        <v>13</v>
      </c>
      <c r="S42" s="13" t="n">
        <f aca="false">IF(AND(ISNUMBER(R42),R42&gt;1,P42&gt;0),R42/P42-1,"")</f>
        <v>-0.262276155824513</v>
      </c>
      <c r="T42" s="9" t="n">
        <f aca="false">IF(AND(ISNUMBER(P42),P42&gt;0),P42*EXP('Read me'!$B$22),"")</f>
        <v>21.5232786379955</v>
      </c>
    </row>
    <row r="43" customFormat="false" ht="15" hidden="false" customHeight="false" outlineLevel="0" collapsed="false">
      <c r="A43" s="11" t="s">
        <v>130</v>
      </c>
      <c r="B43" s="11" t="s">
        <v>42</v>
      </c>
      <c r="C43" s="11" t="s">
        <v>131</v>
      </c>
      <c r="D43" s="11" t="s">
        <v>184</v>
      </c>
      <c r="E43" s="12" t="n">
        <v>8</v>
      </c>
      <c r="F43" s="11" t="s">
        <v>185</v>
      </c>
      <c r="G43" s="8" t="n">
        <v>9</v>
      </c>
      <c r="H43" s="11" t="s">
        <v>406</v>
      </c>
      <c r="I43" s="11" t="s">
        <v>191</v>
      </c>
      <c r="J43" s="11" t="s">
        <v>192</v>
      </c>
      <c r="K43" s="8" t="n">
        <v>10</v>
      </c>
      <c r="L43" s="8" t="n">
        <v>60</v>
      </c>
      <c r="M43" s="8" t="n">
        <v>3</v>
      </c>
      <c r="N43" s="8" t="n">
        <v>54</v>
      </c>
      <c r="O43" s="8" t="n">
        <v>9</v>
      </c>
      <c r="P43" s="9" t="n">
        <v>19.5004690314416</v>
      </c>
      <c r="Q43" s="10" t="n">
        <v>0.0512808178299531</v>
      </c>
      <c r="R43" s="9" t="n">
        <v>21</v>
      </c>
      <c r="S43" s="13" t="n">
        <f aca="false">IF(AND(ISNUMBER(R43),R43&gt;1,P43&gt;0),R43/P43-1,"")</f>
        <v>0.0768971744290159</v>
      </c>
      <c r="T43" s="9" t="n">
        <f aca="false">IF(AND(ISNUMBER(P43),P43&gt;0),P43*EXP('Read me'!$B$22),"")</f>
        <v>23.8179266604198</v>
      </c>
    </row>
    <row r="44" customFormat="false" ht="15" hidden="false" customHeight="false" outlineLevel="0" collapsed="false">
      <c r="A44" s="11" t="s">
        <v>146</v>
      </c>
      <c r="B44" s="11" t="s">
        <v>42</v>
      </c>
      <c r="C44" s="11" t="s">
        <v>147</v>
      </c>
      <c r="D44" s="11" t="s">
        <v>184</v>
      </c>
      <c r="E44" s="12" t="n">
        <v>8</v>
      </c>
      <c r="F44" s="11" t="s">
        <v>185</v>
      </c>
      <c r="G44" s="8" t="n">
        <v>10</v>
      </c>
      <c r="H44" s="11" t="s">
        <v>148</v>
      </c>
      <c r="I44" s="11" t="s">
        <v>149</v>
      </c>
      <c r="J44" s="11" t="s">
        <v>150</v>
      </c>
      <c r="K44" s="8" t="n">
        <v>5</v>
      </c>
      <c r="L44" s="8" t="n">
        <v>47</v>
      </c>
      <c r="M44" s="8" t="n">
        <v>3</v>
      </c>
      <c r="N44" s="8" t="n">
        <v>6</v>
      </c>
      <c r="O44" s="8" t="n">
        <v>1</v>
      </c>
      <c r="P44" s="9" t="n">
        <v>3.89252337115104</v>
      </c>
      <c r="Q44" s="10" t="n">
        <v>0.256902760664555</v>
      </c>
      <c r="R44" s="9" t="n">
        <v>2.625</v>
      </c>
      <c r="S44" s="13" t="n">
        <f aca="false">IF(AND(ISNUMBER(R44),R44&gt;1,P44&gt;0),R44/P44-1,"")</f>
        <v>-0.325630253255544</v>
      </c>
      <c r="T44" s="9" t="n">
        <f aca="false">IF(AND(ISNUMBER(P44),P44&gt;0),P44*EXP('Read me'!$B$22),"")</f>
        <v>4.7543387817268</v>
      </c>
    </row>
    <row r="45" customFormat="false" ht="15" hidden="false" customHeight="false" outlineLevel="0" collapsed="false">
      <c r="A45" s="11" t="s">
        <v>146</v>
      </c>
      <c r="B45" s="11" t="s">
        <v>42</v>
      </c>
      <c r="C45" s="11" t="s">
        <v>147</v>
      </c>
      <c r="D45" s="11" t="s">
        <v>184</v>
      </c>
      <c r="E45" s="12" t="n">
        <v>8</v>
      </c>
      <c r="F45" s="11" t="s">
        <v>185</v>
      </c>
      <c r="G45" s="8" t="n">
        <v>10</v>
      </c>
      <c r="H45" s="11" t="s">
        <v>151</v>
      </c>
      <c r="I45" s="11" t="s">
        <v>45</v>
      </c>
      <c r="J45" s="11" t="s">
        <v>468</v>
      </c>
      <c r="K45" s="8" t="n">
        <v>7</v>
      </c>
      <c r="L45" s="8" t="n">
        <v>48</v>
      </c>
      <c r="M45" s="8" t="n">
        <v>4</v>
      </c>
      <c r="N45" s="8" t="n">
        <v>15</v>
      </c>
      <c r="O45" s="8" t="n">
        <v>2</v>
      </c>
      <c r="P45" s="9" t="n">
        <v>6.00087328539878</v>
      </c>
      <c r="Q45" s="10" t="n">
        <v>0.166642412269091</v>
      </c>
      <c r="R45" s="9" t="n">
        <v>8.5</v>
      </c>
      <c r="S45" s="13" t="n">
        <f aca="false">IF(AND(ISNUMBER(R45),R45&gt;1,P45&gt;0),R45/P45-1,"")</f>
        <v>0.416460504287276</v>
      </c>
      <c r="T45" s="9" t="n">
        <f aca="false">IF(AND(ISNUMBER(P45),P45&gt;0),P45*EXP('Read me'!$B$22),"")</f>
        <v>7.32948318215575</v>
      </c>
    </row>
    <row r="46" customFormat="false" ht="15" hidden="false" customHeight="false" outlineLevel="0" collapsed="false">
      <c r="A46" s="11" t="s">
        <v>146</v>
      </c>
      <c r="B46" s="11" t="s">
        <v>42</v>
      </c>
      <c r="C46" s="11" t="s">
        <v>147</v>
      </c>
      <c r="D46" s="11" t="s">
        <v>184</v>
      </c>
      <c r="E46" s="12" t="n">
        <v>8</v>
      </c>
      <c r="F46" s="11" t="s">
        <v>185</v>
      </c>
      <c r="G46" s="8" t="n">
        <v>10</v>
      </c>
      <c r="H46" s="11" t="s">
        <v>469</v>
      </c>
      <c r="I46" s="11" t="s">
        <v>194</v>
      </c>
      <c r="J46" s="11" t="s">
        <v>379</v>
      </c>
      <c r="K46" s="8" t="n">
        <v>8</v>
      </c>
      <c r="L46" s="8" t="n">
        <v>54</v>
      </c>
      <c r="M46" s="8" t="n">
        <v>7</v>
      </c>
      <c r="N46" s="8" t="n">
        <v>6</v>
      </c>
      <c r="O46" s="8" t="n">
        <v>3</v>
      </c>
      <c r="P46" s="9" t="n">
        <v>6.95887684834894</v>
      </c>
      <c r="Q46" s="10" t="n">
        <v>0.143701350346106</v>
      </c>
      <c r="R46" s="9" t="n">
        <v>6.5</v>
      </c>
      <c r="S46" s="13" t="n">
        <f aca="false">IF(AND(ISNUMBER(R46),R46&gt;1,P46&gt;0),R46/P46-1,"")</f>
        <v>-0.0659412227503083</v>
      </c>
      <c r="T46" s="9" t="n">
        <f aca="false">IF(AND(ISNUMBER(P46),P46&gt;0),P46*EXP('Read me'!$B$22),"")</f>
        <v>8.49959137627035</v>
      </c>
    </row>
    <row r="47" customFormat="false" ht="15" hidden="false" customHeight="false" outlineLevel="0" collapsed="false">
      <c r="A47" s="11" t="s">
        <v>146</v>
      </c>
      <c r="B47" s="11" t="s">
        <v>42</v>
      </c>
      <c r="C47" s="11" t="s">
        <v>147</v>
      </c>
      <c r="D47" s="11" t="s">
        <v>184</v>
      </c>
      <c r="E47" s="12" t="n">
        <v>8</v>
      </c>
      <c r="F47" s="11" t="s">
        <v>185</v>
      </c>
      <c r="G47" s="8" t="n">
        <v>10</v>
      </c>
      <c r="H47" s="11" t="s">
        <v>470</v>
      </c>
      <c r="I47" s="11" t="s">
        <v>399</v>
      </c>
      <c r="J47" s="11" t="s">
        <v>379</v>
      </c>
      <c r="K47" s="8" t="n">
        <v>9</v>
      </c>
      <c r="L47" s="8" t="n">
        <v>58</v>
      </c>
      <c r="M47" s="8" t="n">
        <v>4</v>
      </c>
      <c r="N47" s="8" t="n">
        <v>29</v>
      </c>
      <c r="O47" s="8" t="n">
        <v>4</v>
      </c>
      <c r="P47" s="9" t="n">
        <v>7.57799340610428</v>
      </c>
      <c r="Q47" s="10" t="n">
        <v>0.131961054386043</v>
      </c>
      <c r="R47" s="9" t="n">
        <v>7</v>
      </c>
      <c r="S47" s="13" t="n">
        <f aca="false">IF(AND(ISNUMBER(R47),R47&gt;1,P47&gt;0),R47/P47-1,"")</f>
        <v>-0.0762726192977004</v>
      </c>
      <c r="T47" s="9" t="n">
        <f aca="false">IF(AND(ISNUMBER(P47),P47&gt;0),P47*EXP('Read me'!$B$22),"")</f>
        <v>9.25578204753534</v>
      </c>
    </row>
    <row r="48" customFormat="false" ht="15" hidden="false" customHeight="false" outlineLevel="0" collapsed="false">
      <c r="A48" s="11" t="s">
        <v>146</v>
      </c>
      <c r="B48" s="11" t="s">
        <v>42</v>
      </c>
      <c r="C48" s="11" t="s">
        <v>147</v>
      </c>
      <c r="D48" s="11" t="s">
        <v>184</v>
      </c>
      <c r="E48" s="12" t="n">
        <v>8</v>
      </c>
      <c r="F48" s="11" t="s">
        <v>185</v>
      </c>
      <c r="G48" s="8" t="n">
        <v>10</v>
      </c>
      <c r="H48" s="11" t="s">
        <v>471</v>
      </c>
      <c r="I48" s="11" t="s">
        <v>133</v>
      </c>
      <c r="J48" s="11" t="s">
        <v>189</v>
      </c>
      <c r="K48" s="8" t="n">
        <v>2</v>
      </c>
      <c r="L48" s="8" t="n">
        <v>56</v>
      </c>
      <c r="M48" s="8" t="n">
        <v>10</v>
      </c>
      <c r="N48" s="8" t="n">
        <v>15</v>
      </c>
      <c r="O48" s="8" t="n">
        <v>5</v>
      </c>
      <c r="P48" s="9" t="n">
        <v>10.207915806762</v>
      </c>
      <c r="Q48" s="10" t="n">
        <v>0.0979631904230222</v>
      </c>
      <c r="R48" s="9" t="n">
        <v>10</v>
      </c>
      <c r="S48" s="13" t="n">
        <f aca="false">IF(AND(ISNUMBER(R48),R48&gt;1,P48&gt;0),R48/P48-1,"")</f>
        <v>-0.0203680957697772</v>
      </c>
      <c r="T48" s="9" t="n">
        <f aca="false">IF(AND(ISNUMBER(P48),P48&gt;0),P48*EXP('Read me'!$B$22),"")</f>
        <v>12.4679765214458</v>
      </c>
    </row>
    <row r="49" customFormat="false" ht="15" hidden="false" customHeight="false" outlineLevel="0" collapsed="false">
      <c r="A49" s="11" t="s">
        <v>146</v>
      </c>
      <c r="B49" s="11" t="s">
        <v>42</v>
      </c>
      <c r="C49" s="11" t="s">
        <v>147</v>
      </c>
      <c r="D49" s="11" t="s">
        <v>184</v>
      </c>
      <c r="E49" s="12" t="n">
        <v>8</v>
      </c>
      <c r="F49" s="11" t="s">
        <v>185</v>
      </c>
      <c r="G49" s="8" t="n">
        <v>10</v>
      </c>
      <c r="H49" s="11" t="s">
        <v>472</v>
      </c>
      <c r="I49" s="11" t="s">
        <v>404</v>
      </c>
      <c r="J49" s="11" t="s">
        <v>134</v>
      </c>
      <c r="K49" s="8" t="n">
        <v>10</v>
      </c>
      <c r="L49" s="8" t="n">
        <v>55</v>
      </c>
      <c r="M49" s="8" t="n">
        <v>6</v>
      </c>
      <c r="N49" s="8" t="n">
        <v>32</v>
      </c>
      <c r="O49" s="8" t="n">
        <v>6</v>
      </c>
      <c r="P49" s="9" t="n">
        <v>10.7801035099649</v>
      </c>
      <c r="Q49" s="10" t="n">
        <v>0.0927634877601703</v>
      </c>
      <c r="R49" s="9" t="n">
        <v>9.5</v>
      </c>
      <c r="S49" s="13" t="n">
        <f aca="false">IF(AND(ISNUMBER(R49),R49&gt;1,P49&gt;0),R49/P49-1,"")</f>
        <v>-0.118746866278382</v>
      </c>
      <c r="T49" s="9" t="n">
        <f aca="false">IF(AND(ISNUMBER(P49),P49&gt;0),P49*EXP('Read me'!$B$22),"")</f>
        <v>13.1668481603233</v>
      </c>
    </row>
    <row r="50" customFormat="false" ht="15" hidden="false" customHeight="false" outlineLevel="0" collapsed="false">
      <c r="A50" s="11" t="s">
        <v>146</v>
      </c>
      <c r="B50" s="11" t="s">
        <v>42</v>
      </c>
      <c r="C50" s="11" t="s">
        <v>147</v>
      </c>
      <c r="D50" s="11" t="s">
        <v>184</v>
      </c>
      <c r="E50" s="12" t="n">
        <v>8</v>
      </c>
      <c r="F50" s="11" t="s">
        <v>185</v>
      </c>
      <c r="G50" s="8" t="n">
        <v>10</v>
      </c>
      <c r="H50" s="11" t="s">
        <v>473</v>
      </c>
      <c r="I50" s="11" t="s">
        <v>293</v>
      </c>
      <c r="J50" s="11" t="s">
        <v>474</v>
      </c>
      <c r="K50" s="8" t="n">
        <v>1</v>
      </c>
      <c r="L50" s="8" t="n">
        <v>56</v>
      </c>
      <c r="M50" s="8" t="n">
        <v>3</v>
      </c>
      <c r="N50" s="8" t="n">
        <v>28</v>
      </c>
      <c r="O50" s="8" t="n">
        <v>7</v>
      </c>
      <c r="P50" s="9" t="n">
        <v>23.1694785614585</v>
      </c>
      <c r="Q50" s="10" t="n">
        <v>0.0431602289774211</v>
      </c>
      <c r="R50" s="9" t="n">
        <v>13</v>
      </c>
      <c r="S50" s="13" t="n">
        <f aca="false">IF(AND(ISNUMBER(R50),R50&gt;1,P50&gt;0),R50/P50-1,"")</f>
        <v>-0.438917023293525</v>
      </c>
      <c r="T50" s="9" t="n">
        <f aca="false">IF(AND(ISNUMBER(P50),P50&gt;0),P50*EXP('Read me'!$B$22),"")</f>
        <v>28.2992650200984</v>
      </c>
    </row>
    <row r="51" customFormat="false" ht="15" hidden="false" customHeight="false" outlineLevel="0" collapsed="false">
      <c r="A51" s="11" t="s">
        <v>146</v>
      </c>
      <c r="B51" s="11" t="s">
        <v>42</v>
      </c>
      <c r="C51" s="11" t="s">
        <v>147</v>
      </c>
      <c r="D51" s="11" t="s">
        <v>184</v>
      </c>
      <c r="E51" s="12" t="n">
        <v>8</v>
      </c>
      <c r="F51" s="11" t="s">
        <v>185</v>
      </c>
      <c r="G51" s="8" t="n">
        <v>10</v>
      </c>
      <c r="H51" s="11" t="s">
        <v>475</v>
      </c>
      <c r="I51" s="11" t="s">
        <v>196</v>
      </c>
      <c r="J51" s="11" t="s">
        <v>197</v>
      </c>
      <c r="K51" s="8" t="n">
        <v>4</v>
      </c>
      <c r="L51" s="8" t="n">
        <v>50</v>
      </c>
      <c r="M51" s="8" t="n">
        <v>6</v>
      </c>
      <c r="N51" s="8" t="n">
        <v>27</v>
      </c>
      <c r="O51" s="8" t="n">
        <v>8</v>
      </c>
      <c r="P51" s="9" t="n">
        <v>24.610934976639</v>
      </c>
      <c r="Q51" s="10" t="n">
        <v>0.0406323449697955</v>
      </c>
      <c r="R51" s="9" t="n">
        <v>13</v>
      </c>
      <c r="S51" s="13" t="n">
        <f aca="false">IF(AND(ISNUMBER(R51),R51&gt;1,P51&gt;0),R51/P51-1,"")</f>
        <v>-0.471779515392658</v>
      </c>
      <c r="T51" s="9" t="n">
        <f aca="false">IF(AND(ISNUMBER(P51),P51&gt;0),P51*EXP('Read me'!$B$22),"")</f>
        <v>30.0598638613674</v>
      </c>
    </row>
    <row r="52" customFormat="false" ht="15" hidden="false" customHeight="false" outlineLevel="0" collapsed="false">
      <c r="A52" s="11" t="s">
        <v>146</v>
      </c>
      <c r="B52" s="11" t="s">
        <v>42</v>
      </c>
      <c r="C52" s="11" t="s">
        <v>147</v>
      </c>
      <c r="D52" s="11" t="s">
        <v>184</v>
      </c>
      <c r="E52" s="12" t="n">
        <v>8</v>
      </c>
      <c r="F52" s="11" t="s">
        <v>185</v>
      </c>
      <c r="G52" s="8" t="n">
        <v>10</v>
      </c>
      <c r="H52" s="11" t="s">
        <v>476</v>
      </c>
      <c r="I52" s="11" t="s">
        <v>477</v>
      </c>
      <c r="J52" s="11" t="s">
        <v>478</v>
      </c>
      <c r="K52" s="8" t="n">
        <v>6</v>
      </c>
      <c r="L52" s="8" t="n">
        <v>56</v>
      </c>
      <c r="M52" s="8" t="n">
        <v>8</v>
      </c>
      <c r="N52" s="8" t="n">
        <v>19</v>
      </c>
      <c r="O52" s="8" t="n">
        <v>9</v>
      </c>
      <c r="P52" s="9" t="n">
        <v>70.9085106883452</v>
      </c>
      <c r="Q52" s="10" t="n">
        <v>0.014102679499153</v>
      </c>
      <c r="R52" s="9" t="n">
        <v>101</v>
      </c>
      <c r="S52" s="13" t="n">
        <f aca="false">IF(AND(ISNUMBER(R52),R52&gt;1,P52&gt;0),R52/P52-1,"")</f>
        <v>0.424370629414457</v>
      </c>
      <c r="T52" s="9" t="n">
        <f aca="false">IF(AND(ISNUMBER(P52),P52&gt;0),P52*EXP('Read me'!$B$22),"")</f>
        <v>86.6078505317747</v>
      </c>
    </row>
    <row r="53" customFormat="false" ht="15" hidden="false" customHeight="false" outlineLevel="0" collapsed="false">
      <c r="A53" s="11" t="s">
        <v>146</v>
      </c>
      <c r="B53" s="11" t="s">
        <v>42</v>
      </c>
      <c r="C53" s="11" t="s">
        <v>147</v>
      </c>
      <c r="D53" s="11" t="s">
        <v>184</v>
      </c>
      <c r="E53" s="12" t="n">
        <v>8</v>
      </c>
      <c r="F53" s="11" t="s">
        <v>185</v>
      </c>
      <c r="G53" s="8" t="n">
        <v>10</v>
      </c>
      <c r="H53" s="11" t="s">
        <v>479</v>
      </c>
      <c r="I53" s="11" t="s">
        <v>186</v>
      </c>
      <c r="J53" s="11" t="s">
        <v>480</v>
      </c>
      <c r="K53" s="8" t="n">
        <v>3</v>
      </c>
      <c r="L53" s="8" t="n">
        <v>57</v>
      </c>
      <c r="M53" s="8" t="n">
        <v>4</v>
      </c>
      <c r="N53" s="8" t="n">
        <v>88</v>
      </c>
      <c r="O53" s="8" t="n">
        <v>10</v>
      </c>
      <c r="P53" s="9" t="n">
        <v>82.1659556930224</v>
      </c>
      <c r="Q53" s="10" t="n">
        <v>0.0121704907046425</v>
      </c>
      <c r="R53" s="9" t="n">
        <v>51</v>
      </c>
      <c r="S53" s="13" t="n">
        <f aca="false">IF(AND(ISNUMBER(R53),R53&gt;1,P53&gt;0),R53/P53-1,"")</f>
        <v>-0.37930497406323</v>
      </c>
      <c r="T53" s="9" t="n">
        <f aca="false">IF(AND(ISNUMBER(P53),P53&gt;0),P53*EXP('Read me'!$B$22),"")</f>
        <v>100.357724910324</v>
      </c>
    </row>
    <row r="54" customFormat="false" ht="15" hidden="false" customHeight="false" outlineLevel="0" collapsed="false">
      <c r="A54" s="11" t="s">
        <v>164</v>
      </c>
      <c r="B54" s="11" t="s">
        <v>42</v>
      </c>
      <c r="C54" s="11" t="s">
        <v>165</v>
      </c>
      <c r="D54" s="11" t="s">
        <v>184</v>
      </c>
      <c r="E54" s="12" t="n">
        <v>10</v>
      </c>
      <c r="F54" s="11" t="s">
        <v>185</v>
      </c>
      <c r="G54" s="8" t="n">
        <v>5</v>
      </c>
      <c r="H54" s="11" t="s">
        <v>166</v>
      </c>
      <c r="I54" s="11" t="s">
        <v>167</v>
      </c>
      <c r="J54" s="11" t="s">
        <v>168</v>
      </c>
      <c r="K54" s="8" t="n">
        <v>5</v>
      </c>
      <c r="L54" s="8" t="n">
        <v>51</v>
      </c>
      <c r="M54" s="8" t="n">
        <v>4</v>
      </c>
      <c r="N54" s="8" t="n">
        <v>6</v>
      </c>
      <c r="O54" s="8" t="n">
        <v>1</v>
      </c>
      <c r="P54" s="9" t="n">
        <v>2.94648463127077</v>
      </c>
      <c r="Q54" s="10" t="n">
        <v>0.339387482081899</v>
      </c>
      <c r="R54" s="9" t="n">
        <v>2.875</v>
      </c>
      <c r="S54" s="13" t="n">
        <f aca="false">IF(AND(ISNUMBER(R54),R54&gt;1,P54&gt;0),R54/P54-1,"")</f>
        <v>-0.0242609890145397</v>
      </c>
      <c r="T54" s="9" t="n">
        <f aca="false">IF(AND(ISNUMBER(P54),P54&gt;0),P54*EXP('Read me'!$B$22),"")</f>
        <v>3.59884445551067</v>
      </c>
    </row>
    <row r="55" customFormat="false" ht="15" hidden="false" customHeight="false" outlineLevel="0" collapsed="false">
      <c r="A55" s="11" t="s">
        <v>164</v>
      </c>
      <c r="B55" s="11" t="s">
        <v>42</v>
      </c>
      <c r="C55" s="11" t="s">
        <v>165</v>
      </c>
      <c r="D55" s="11" t="s">
        <v>184</v>
      </c>
      <c r="E55" s="12" t="n">
        <v>10</v>
      </c>
      <c r="F55" s="11" t="s">
        <v>185</v>
      </c>
      <c r="G55" s="8" t="n">
        <v>5</v>
      </c>
      <c r="H55" s="11" t="s">
        <v>169</v>
      </c>
      <c r="I55" s="11" t="s">
        <v>503</v>
      </c>
      <c r="J55" s="11" t="s">
        <v>504</v>
      </c>
      <c r="K55" s="8" t="n">
        <v>3</v>
      </c>
      <c r="L55" s="8" t="n">
        <v>47</v>
      </c>
      <c r="M55" s="8" t="n">
        <v>4</v>
      </c>
      <c r="N55" s="8" t="n">
        <v>8</v>
      </c>
      <c r="O55" s="8" t="n">
        <v>2</v>
      </c>
      <c r="P55" s="9" t="n">
        <v>3.91977788021374</v>
      </c>
      <c r="Q55" s="10" t="n">
        <v>0.255116496536144</v>
      </c>
      <c r="R55" s="9" t="n">
        <v>4.33333333333333</v>
      </c>
      <c r="S55" s="13" t="n">
        <f aca="false">IF(AND(ISNUMBER(R55),R55&gt;1,P55&gt;0),R55/P55-1,"")</f>
        <v>0.105504818323289</v>
      </c>
      <c r="T55" s="9" t="n">
        <f aca="false">IF(AND(ISNUMBER(P55),P55&gt;0),P55*EXP('Read me'!$B$22),"")</f>
        <v>4.78762751426828</v>
      </c>
    </row>
    <row r="56" customFormat="false" ht="15" hidden="false" customHeight="false" outlineLevel="0" collapsed="false">
      <c r="A56" s="11" t="s">
        <v>164</v>
      </c>
      <c r="B56" s="11" t="s">
        <v>42</v>
      </c>
      <c r="C56" s="11" t="s">
        <v>165</v>
      </c>
      <c r="D56" s="11" t="s">
        <v>184</v>
      </c>
      <c r="E56" s="12" t="n">
        <v>10</v>
      </c>
      <c r="F56" s="11" t="s">
        <v>185</v>
      </c>
      <c r="G56" s="8" t="n">
        <v>5</v>
      </c>
      <c r="H56" s="11" t="s">
        <v>505</v>
      </c>
      <c r="I56" s="11" t="s">
        <v>506</v>
      </c>
      <c r="J56" s="11" t="s">
        <v>379</v>
      </c>
      <c r="K56" s="8" t="n">
        <v>1</v>
      </c>
      <c r="L56" s="8" t="n">
        <v>49</v>
      </c>
      <c r="M56" s="8" t="n">
        <v>4</v>
      </c>
      <c r="N56" s="8" t="n">
        <v>6</v>
      </c>
      <c r="O56" s="8" t="n">
        <v>3</v>
      </c>
      <c r="P56" s="9" t="n">
        <v>4.69165670558997</v>
      </c>
      <c r="Q56" s="10" t="n">
        <v>0.213144324649442</v>
      </c>
      <c r="R56" s="9" t="n">
        <v>5</v>
      </c>
      <c r="S56" s="13" t="n">
        <f aca="false">IF(AND(ISNUMBER(R56),R56&gt;1,P56&gt;0),R56/P56-1,"")</f>
        <v>0.0657216232472102</v>
      </c>
      <c r="T56" s="9" t="n">
        <f aca="false">IF(AND(ISNUMBER(P56),P56&gt;0),P56*EXP('Read me'!$B$22),"")</f>
        <v>5.73040244054824</v>
      </c>
    </row>
    <row r="57" customFormat="false" ht="15" hidden="false" customHeight="false" outlineLevel="0" collapsed="false">
      <c r="A57" s="11" t="s">
        <v>164</v>
      </c>
      <c r="B57" s="11" t="s">
        <v>42</v>
      </c>
      <c r="C57" s="11" t="s">
        <v>165</v>
      </c>
      <c r="D57" s="11" t="s">
        <v>184</v>
      </c>
      <c r="E57" s="12" t="n">
        <v>10</v>
      </c>
      <c r="F57" s="11" t="s">
        <v>185</v>
      </c>
      <c r="G57" s="8" t="n">
        <v>5</v>
      </c>
      <c r="H57" s="11" t="s">
        <v>507</v>
      </c>
      <c r="I57" s="11" t="s">
        <v>508</v>
      </c>
      <c r="J57" s="11" t="s">
        <v>509</v>
      </c>
      <c r="K57" s="8" t="n">
        <v>6</v>
      </c>
      <c r="L57" s="8" t="n">
        <v>49</v>
      </c>
      <c r="M57" s="8" t="n">
        <v>6</v>
      </c>
      <c r="N57" s="8" t="n">
        <v>32</v>
      </c>
      <c r="O57" s="8" t="n">
        <v>4</v>
      </c>
      <c r="P57" s="9" t="n">
        <v>8.35404596333592</v>
      </c>
      <c r="Q57" s="10" t="n">
        <v>0.119702477624469</v>
      </c>
      <c r="R57" s="9" t="n">
        <v>9</v>
      </c>
      <c r="S57" s="13" t="n">
        <f aca="false">IF(AND(ISNUMBER(R57),R57&gt;1,P57&gt;0),R57/P57-1,"")</f>
        <v>0.0773222986202167</v>
      </c>
      <c r="T57" s="9" t="n">
        <f aca="false">IF(AND(ISNUMBER(P57),P57&gt;0),P57*EXP('Read me'!$B$22),"")</f>
        <v>10.2036547814153</v>
      </c>
    </row>
    <row r="58" customFormat="false" ht="15" hidden="false" customHeight="false" outlineLevel="0" collapsed="false">
      <c r="A58" s="11" t="s">
        <v>164</v>
      </c>
      <c r="B58" s="11" t="s">
        <v>42</v>
      </c>
      <c r="C58" s="11" t="s">
        <v>165</v>
      </c>
      <c r="D58" s="11" t="s">
        <v>184</v>
      </c>
      <c r="E58" s="12" t="n">
        <v>10</v>
      </c>
      <c r="F58" s="11" t="s">
        <v>185</v>
      </c>
      <c r="G58" s="8" t="n">
        <v>5</v>
      </c>
      <c r="H58" s="11" t="s">
        <v>510</v>
      </c>
      <c r="I58" s="11" t="s">
        <v>511</v>
      </c>
      <c r="J58" s="11" t="s">
        <v>512</v>
      </c>
      <c r="K58" s="8" t="n">
        <v>2</v>
      </c>
      <c r="L58" s="8" t="n">
        <v>47</v>
      </c>
      <c r="M58" s="8" t="n">
        <v>7</v>
      </c>
      <c r="N58" s="8" t="n">
        <v>15</v>
      </c>
      <c r="O58" s="8" t="n">
        <v>5</v>
      </c>
      <c r="P58" s="9" t="n">
        <v>13.7647728671765</v>
      </c>
      <c r="Q58" s="10" t="n">
        <v>0.0726492191080465</v>
      </c>
      <c r="R58" s="9" t="n">
        <v>4.5</v>
      </c>
      <c r="S58" s="13" t="n">
        <f aca="false">IF(AND(ISNUMBER(R58),R58&gt;1,P58&gt;0),R58/P58-1,"")</f>
        <v>-0.673078514013791</v>
      </c>
      <c r="T58" s="9" t="n">
        <f aca="false">IF(AND(ISNUMBER(P58),P58&gt;0),P58*EXP('Read me'!$B$22),"")</f>
        <v>16.8123315454176</v>
      </c>
    </row>
  </sheetData>
  <autoFilter ref="A1:T58"/>
  <conditionalFormatting sqref="A2:T58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176</v>
      </c>
      <c r="E1" s="6" t="s">
        <v>177</v>
      </c>
      <c r="F1" s="6" t="s">
        <v>178</v>
      </c>
      <c r="G1" s="6" t="s">
        <v>1</v>
      </c>
      <c r="H1" s="6" t="s">
        <v>179</v>
      </c>
      <c r="I1" s="6" t="s">
        <v>35</v>
      </c>
      <c r="J1" s="6" t="s">
        <v>36</v>
      </c>
      <c r="K1" s="6" t="s">
        <v>180</v>
      </c>
      <c r="L1" s="6" t="s">
        <v>181</v>
      </c>
      <c r="M1" s="6" t="s">
        <v>182</v>
      </c>
      <c r="N1" s="6" t="s">
        <v>183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48</v>
      </c>
      <c r="B2" s="11" t="s">
        <v>49</v>
      </c>
      <c r="C2" s="11" t="s">
        <v>50</v>
      </c>
      <c r="D2" s="11"/>
      <c r="E2" s="12" t="n">
        <v>7</v>
      </c>
      <c r="F2" s="11" t="s">
        <v>211</v>
      </c>
      <c r="G2" s="8" t="n">
        <v>13</v>
      </c>
      <c r="H2" s="11" t="s">
        <v>51</v>
      </c>
      <c r="I2" s="11" t="s">
        <v>52</v>
      </c>
      <c r="J2" s="11" t="s">
        <v>53</v>
      </c>
      <c r="K2" s="8" t="n">
        <v>6</v>
      </c>
      <c r="L2" s="8" t="n">
        <v>0</v>
      </c>
      <c r="M2" s="8" t="n">
        <v>2</v>
      </c>
      <c r="N2" s="8" t="n">
        <v>49</v>
      </c>
      <c r="O2" s="8" t="n">
        <v>1</v>
      </c>
      <c r="P2" s="9" t="n">
        <v>1.75107754901238</v>
      </c>
      <c r="Q2" s="10" t="n">
        <v>0.571076935207129</v>
      </c>
      <c r="R2" s="9" t="n">
        <v>1.72727272727273</v>
      </c>
      <c r="S2" s="13" t="n">
        <f aca="false">IF(AND(ISNUMBER(R2),R2&gt;1,P2&gt;0),R2/P2-1,"")</f>
        <v>-0.0135943846422318</v>
      </c>
      <c r="T2" s="9" t="n">
        <f aca="false">IF(AND(ISNUMBER(P2),P2&gt;0),P2*EXP('Read me'!$B$22),"")</f>
        <v>2.13877094811607</v>
      </c>
    </row>
    <row r="3" customFormat="false" ht="15" hidden="false" customHeight="false" outlineLevel="0" collapsed="false">
      <c r="A3" s="11" t="s">
        <v>48</v>
      </c>
      <c r="B3" s="11" t="s">
        <v>49</v>
      </c>
      <c r="C3" s="11" t="s">
        <v>50</v>
      </c>
      <c r="D3" s="11"/>
      <c r="E3" s="12" t="n">
        <v>7</v>
      </c>
      <c r="F3" s="11" t="s">
        <v>211</v>
      </c>
      <c r="G3" s="8" t="n">
        <v>13</v>
      </c>
      <c r="H3" s="11" t="s">
        <v>54</v>
      </c>
      <c r="I3" s="11" t="s">
        <v>121</v>
      </c>
      <c r="J3" s="11" t="s">
        <v>122</v>
      </c>
      <c r="K3" s="8" t="n">
        <v>12</v>
      </c>
      <c r="L3" s="8" t="n">
        <v>0</v>
      </c>
      <c r="M3" s="8" t="n">
        <v>2</v>
      </c>
      <c r="N3" s="8" t="n">
        <v>62</v>
      </c>
      <c r="O3" s="8" t="n">
        <v>2</v>
      </c>
      <c r="P3" s="9" t="n">
        <v>7.42721808934124</v>
      </c>
      <c r="Q3" s="10" t="n">
        <v>0.134639913352631</v>
      </c>
      <c r="R3" s="9" t="n">
        <v>12</v>
      </c>
      <c r="S3" s="13" t="n">
        <f aca="false">IF(AND(ISNUMBER(R3),R3&gt;1,P3&gt;0),R3/P3-1,"")</f>
        <v>0.615678960231575</v>
      </c>
      <c r="T3" s="9" t="n">
        <f aca="false">IF(AND(ISNUMBER(P3),P3&gt;0),P3*EXP('Read me'!$B$22),"")</f>
        <v>9.0716246597785</v>
      </c>
    </row>
    <row r="4" customFormat="false" ht="15" hidden="false" customHeight="false" outlineLevel="0" collapsed="false">
      <c r="A4" s="11" t="s">
        <v>48</v>
      </c>
      <c r="B4" s="11" t="s">
        <v>49</v>
      </c>
      <c r="C4" s="11" t="s">
        <v>50</v>
      </c>
      <c r="D4" s="11"/>
      <c r="E4" s="12" t="n">
        <v>7</v>
      </c>
      <c r="F4" s="11" t="s">
        <v>211</v>
      </c>
      <c r="G4" s="8" t="n">
        <v>13</v>
      </c>
      <c r="H4" s="11" t="s">
        <v>212</v>
      </c>
      <c r="I4" s="11" t="s">
        <v>213</v>
      </c>
      <c r="J4" s="11" t="s">
        <v>53</v>
      </c>
      <c r="K4" s="8" t="n">
        <v>1</v>
      </c>
      <c r="L4" s="8" t="n">
        <v>0</v>
      </c>
      <c r="M4" s="8" t="n">
        <v>2</v>
      </c>
      <c r="N4" s="8"/>
      <c r="O4" s="8" t="n">
        <v>3</v>
      </c>
      <c r="P4" s="9" t="n">
        <v>13.0871095838359</v>
      </c>
      <c r="Q4" s="10" t="n">
        <v>0.0764110664462622</v>
      </c>
      <c r="R4" s="9" t="n">
        <v>7</v>
      </c>
      <c r="S4" s="13" t="n">
        <f aca="false">IF(AND(ISNUMBER(R4),R4&gt;1,P4&gt;0),R4/P4-1,"")</f>
        <v>-0.465122534876165</v>
      </c>
      <c r="T4" s="9" t="n">
        <f aca="false">IF(AND(ISNUMBER(P4),P4&gt;0),P4*EXP('Read me'!$B$22),"")</f>
        <v>15.9846317420416</v>
      </c>
    </row>
    <row r="5" customFormat="false" ht="15" hidden="false" customHeight="false" outlineLevel="0" collapsed="false">
      <c r="A5" s="11" t="s">
        <v>48</v>
      </c>
      <c r="B5" s="11" t="s">
        <v>49</v>
      </c>
      <c r="C5" s="11" t="s">
        <v>50</v>
      </c>
      <c r="D5" s="11"/>
      <c r="E5" s="12" t="n">
        <v>7</v>
      </c>
      <c r="F5" s="11" t="s">
        <v>211</v>
      </c>
      <c r="G5" s="8" t="n">
        <v>13</v>
      </c>
      <c r="H5" s="11" t="s">
        <v>214</v>
      </c>
      <c r="I5" s="11" t="s">
        <v>215</v>
      </c>
      <c r="J5" s="11" t="s">
        <v>216</v>
      </c>
      <c r="K5" s="8" t="n">
        <v>9</v>
      </c>
      <c r="L5" s="8" t="n">
        <v>0</v>
      </c>
      <c r="M5" s="8" t="n">
        <v>2</v>
      </c>
      <c r="N5" s="8"/>
      <c r="O5" s="8" t="n">
        <v>4</v>
      </c>
      <c r="P5" s="9" t="n">
        <v>13.3103460926328</v>
      </c>
      <c r="Q5" s="10" t="n">
        <v>0.0751295265382691</v>
      </c>
      <c r="R5" s="9" t="n">
        <v>5.5</v>
      </c>
      <c r="S5" s="13" t="n">
        <f aca="false">IF(AND(ISNUMBER(R5),R5&gt;1,P5&gt;0),R5/P5-1,"")</f>
        <v>-0.58678760403952</v>
      </c>
      <c r="T5" s="9" t="n">
        <f aca="false">IF(AND(ISNUMBER(P5),P5&gt;0),P5*EXP('Read me'!$B$22),"")</f>
        <v>16.2572934296081</v>
      </c>
    </row>
    <row r="6" customFormat="false" ht="15" hidden="false" customHeight="false" outlineLevel="0" collapsed="false">
      <c r="A6" s="11" t="s">
        <v>48</v>
      </c>
      <c r="B6" s="11" t="s">
        <v>49</v>
      </c>
      <c r="C6" s="11" t="s">
        <v>50</v>
      </c>
      <c r="D6" s="11"/>
      <c r="E6" s="12" t="n">
        <v>7</v>
      </c>
      <c r="F6" s="11" t="s">
        <v>211</v>
      </c>
      <c r="G6" s="8" t="n">
        <v>13</v>
      </c>
      <c r="H6" s="11" t="s">
        <v>217</v>
      </c>
      <c r="I6" s="11" t="s">
        <v>218</v>
      </c>
      <c r="J6" s="11" t="s">
        <v>219</v>
      </c>
      <c r="K6" s="8" t="n">
        <v>16</v>
      </c>
      <c r="L6" s="8" t="n">
        <v>0</v>
      </c>
      <c r="M6" s="8" t="n">
        <v>2</v>
      </c>
      <c r="N6" s="8"/>
      <c r="O6" s="8" t="n">
        <v>5</v>
      </c>
      <c r="P6" s="9" t="n">
        <v>26.9498839405325</v>
      </c>
      <c r="Q6" s="10" t="n">
        <v>0.0371059111870981</v>
      </c>
      <c r="R6" s="9" t="n">
        <v>15</v>
      </c>
      <c r="S6" s="13" t="n">
        <f aca="false">IF(AND(ISNUMBER(R6),R6&gt;1,P6&gt;0),R6/P6-1,"")</f>
        <v>-0.443411332193528</v>
      </c>
      <c r="T6" s="9" t="n">
        <f aca="false">IF(AND(ISNUMBER(P6),P6&gt;0),P6*EXP('Read me'!$B$22),"")</f>
        <v>32.9166625770629</v>
      </c>
    </row>
    <row r="7" customFormat="false" ht="15" hidden="false" customHeight="false" outlineLevel="0" collapsed="false">
      <c r="A7" s="11" t="s">
        <v>48</v>
      </c>
      <c r="B7" s="11" t="s">
        <v>49</v>
      </c>
      <c r="C7" s="11" t="s">
        <v>50</v>
      </c>
      <c r="D7" s="11"/>
      <c r="E7" s="12" t="n">
        <v>7</v>
      </c>
      <c r="F7" s="11" t="s">
        <v>211</v>
      </c>
      <c r="G7" s="8" t="n">
        <v>13</v>
      </c>
      <c r="H7" s="11" t="s">
        <v>220</v>
      </c>
      <c r="I7" s="11" t="s">
        <v>104</v>
      </c>
      <c r="J7" s="11" t="s">
        <v>221</v>
      </c>
      <c r="K7" s="8" t="n">
        <v>14</v>
      </c>
      <c r="L7" s="8" t="n">
        <v>0</v>
      </c>
      <c r="M7" s="8" t="n">
        <v>2</v>
      </c>
      <c r="N7" s="8"/>
      <c r="O7" s="8" t="n">
        <v>6</v>
      </c>
      <c r="P7" s="9" t="n">
        <v>29.5849892488159</v>
      </c>
      <c r="Q7" s="10" t="n">
        <v>0.0338009249078913</v>
      </c>
      <c r="R7" s="9" t="n">
        <v>29</v>
      </c>
      <c r="S7" s="13" t="n">
        <f aca="false">IF(AND(ISNUMBER(R7),R7&gt;1,P7&gt;0),R7/P7-1,"")</f>
        <v>-0.0197731776711506</v>
      </c>
      <c r="T7" s="9" t="n">
        <f aca="false">IF(AND(ISNUMBER(P7),P7&gt;0),P7*EXP('Read me'!$B$22),"")</f>
        <v>36.1351874686427</v>
      </c>
    </row>
    <row r="8" customFormat="false" ht="15" hidden="false" customHeight="false" outlineLevel="0" collapsed="false">
      <c r="A8" s="11" t="s">
        <v>48</v>
      </c>
      <c r="B8" s="11" t="s">
        <v>49</v>
      </c>
      <c r="C8" s="11" t="s">
        <v>50</v>
      </c>
      <c r="D8" s="11"/>
      <c r="E8" s="12" t="n">
        <v>7</v>
      </c>
      <c r="F8" s="11" t="s">
        <v>211</v>
      </c>
      <c r="G8" s="8" t="n">
        <v>13</v>
      </c>
      <c r="H8" s="11" t="s">
        <v>222</v>
      </c>
      <c r="I8" s="11" t="s">
        <v>223</v>
      </c>
      <c r="J8" s="11" t="s">
        <v>224</v>
      </c>
      <c r="K8" s="8" t="n">
        <v>8</v>
      </c>
      <c r="L8" s="8" t="n">
        <v>0</v>
      </c>
      <c r="M8" s="8" t="n">
        <v>2</v>
      </c>
      <c r="N8" s="8"/>
      <c r="O8" s="8" t="n">
        <v>7</v>
      </c>
      <c r="P8" s="9" t="n">
        <v>36.1935589361349</v>
      </c>
      <c r="Q8" s="10" t="n">
        <v>0.0276292254587215</v>
      </c>
      <c r="R8" s="9" t="n">
        <v>34</v>
      </c>
      <c r="S8" s="13" t="n">
        <f aca="false">IF(AND(ISNUMBER(R8),R8&gt;1,P8&gt;0),R8/P8-1,"")</f>
        <v>-0.0606063344034657</v>
      </c>
      <c r="T8" s="9" t="n">
        <f aca="false">IF(AND(ISNUMBER(P8),P8&gt;0),P8*EXP('Read me'!$B$22),"")</f>
        <v>44.2069127122279</v>
      </c>
    </row>
    <row r="9" customFormat="false" ht="15" hidden="false" customHeight="false" outlineLevel="0" collapsed="false">
      <c r="A9" s="11" t="s">
        <v>48</v>
      </c>
      <c r="B9" s="11" t="s">
        <v>49</v>
      </c>
      <c r="C9" s="11" t="s">
        <v>50</v>
      </c>
      <c r="D9" s="11"/>
      <c r="E9" s="12" t="n">
        <v>7</v>
      </c>
      <c r="F9" s="11" t="s">
        <v>211</v>
      </c>
      <c r="G9" s="8" t="n">
        <v>13</v>
      </c>
      <c r="H9" s="11" t="s">
        <v>225</v>
      </c>
      <c r="I9" s="11" t="s">
        <v>139</v>
      </c>
      <c r="J9" s="11" t="s">
        <v>226</v>
      </c>
      <c r="K9" s="8" t="n">
        <v>10</v>
      </c>
      <c r="L9" s="8" t="n">
        <v>0</v>
      </c>
      <c r="M9" s="8" t="n">
        <v>2</v>
      </c>
      <c r="N9" s="8"/>
      <c r="O9" s="8" t="n">
        <v>8</v>
      </c>
      <c r="P9" s="9" t="n">
        <v>87.4606927891835</v>
      </c>
      <c r="Q9" s="10" t="n">
        <v>0.0114337077389772</v>
      </c>
      <c r="R9" s="9" t="n">
        <v>34</v>
      </c>
      <c r="S9" s="13" t="n">
        <f aca="false">IF(AND(ISNUMBER(R9),R9&gt;1,P9&gt;0),R9/P9-1,"")</f>
        <v>-0.611253936874773</v>
      </c>
      <c r="T9" s="9" t="n">
        <f aca="false">IF(AND(ISNUMBER(P9),P9&gt;0),P9*EXP('Read me'!$B$22),"")</f>
        <v>106.824731403308</v>
      </c>
    </row>
    <row r="10" customFormat="false" ht="15" hidden="false" customHeight="false" outlineLevel="0" collapsed="false">
      <c r="A10" s="11" t="s">
        <v>48</v>
      </c>
      <c r="B10" s="11" t="s">
        <v>49</v>
      </c>
      <c r="C10" s="11" t="s">
        <v>50</v>
      </c>
      <c r="D10" s="11"/>
      <c r="E10" s="12" t="n">
        <v>7</v>
      </c>
      <c r="F10" s="11" t="s">
        <v>211</v>
      </c>
      <c r="G10" s="8" t="n">
        <v>13</v>
      </c>
      <c r="H10" s="11" t="s">
        <v>227</v>
      </c>
      <c r="I10" s="11" t="s">
        <v>228</v>
      </c>
      <c r="J10" s="11" t="s">
        <v>229</v>
      </c>
      <c r="K10" s="8" t="n">
        <v>5</v>
      </c>
      <c r="L10" s="8" t="n">
        <v>0</v>
      </c>
      <c r="M10" s="8" t="n">
        <v>2</v>
      </c>
      <c r="N10" s="8" t="n">
        <v>10</v>
      </c>
      <c r="O10" s="8" t="n">
        <v>9</v>
      </c>
      <c r="P10" s="9" t="n">
        <v>95.3430680201303</v>
      </c>
      <c r="Q10" s="10" t="n">
        <v>0.0104884394929358</v>
      </c>
      <c r="R10" s="9" t="n">
        <v>41</v>
      </c>
      <c r="S10" s="13" t="n">
        <f aca="false">IF(AND(ISNUMBER(R10),R10&gt;1,P10&gt;0),R10/P10-1,"")</f>
        <v>-0.569973980789632</v>
      </c>
      <c r="T10" s="9" t="n">
        <f aca="false">IF(AND(ISNUMBER(P10),P10&gt;0),P10*EXP('Read me'!$B$22),"")</f>
        <v>116.45228625124</v>
      </c>
    </row>
    <row r="11" customFormat="false" ht="15" hidden="false" customHeight="false" outlineLevel="0" collapsed="false">
      <c r="A11" s="11" t="s">
        <v>48</v>
      </c>
      <c r="B11" s="11" t="s">
        <v>49</v>
      </c>
      <c r="C11" s="11" t="s">
        <v>50</v>
      </c>
      <c r="D11" s="11"/>
      <c r="E11" s="12" t="n">
        <v>7</v>
      </c>
      <c r="F11" s="11" t="s">
        <v>211</v>
      </c>
      <c r="G11" s="8" t="n">
        <v>13</v>
      </c>
      <c r="H11" s="11" t="s">
        <v>230</v>
      </c>
      <c r="I11" s="11" t="s">
        <v>231</v>
      </c>
      <c r="J11" s="11" t="s">
        <v>232</v>
      </c>
      <c r="K11" s="8" t="n">
        <v>3</v>
      </c>
      <c r="L11" s="8" t="n">
        <v>0</v>
      </c>
      <c r="M11" s="8" t="n">
        <v>2</v>
      </c>
      <c r="N11" s="8" t="n">
        <v>52</v>
      </c>
      <c r="O11" s="8" t="n">
        <v>10</v>
      </c>
      <c r="P11" s="9" t="n">
        <v>112.026111440331</v>
      </c>
      <c r="Q11" s="10" t="n">
        <v>0.0089264903257187</v>
      </c>
      <c r="R11" s="9" t="n">
        <v>29</v>
      </c>
      <c r="S11" s="13" t="n">
        <f aca="false">IF(AND(ISNUMBER(R11),R11&gt;1,P11&gt;0),R11/P11-1,"")</f>
        <v>-0.741131780554157</v>
      </c>
      <c r="T11" s="9" t="n">
        <f aca="false">IF(AND(ISNUMBER(P11),P11&gt;0),P11*EXP('Read me'!$B$22),"")</f>
        <v>136.829001499179</v>
      </c>
    </row>
    <row r="12" customFormat="false" ht="15" hidden="false" customHeight="false" outlineLevel="0" collapsed="false">
      <c r="A12" s="11" t="s">
        <v>48</v>
      </c>
      <c r="B12" s="11" t="s">
        <v>49</v>
      </c>
      <c r="C12" s="11" t="s">
        <v>50</v>
      </c>
      <c r="D12" s="11"/>
      <c r="E12" s="12" t="n">
        <v>7</v>
      </c>
      <c r="F12" s="11" t="s">
        <v>211</v>
      </c>
      <c r="G12" s="8" t="n">
        <v>13</v>
      </c>
      <c r="H12" s="11" t="s">
        <v>233</v>
      </c>
      <c r="I12" s="11" t="s">
        <v>234</v>
      </c>
      <c r="J12" s="11" t="s">
        <v>221</v>
      </c>
      <c r="K12" s="8" t="n">
        <v>7</v>
      </c>
      <c r="L12" s="8" t="n">
        <v>0</v>
      </c>
      <c r="M12" s="8" t="n">
        <v>2</v>
      </c>
      <c r="N12" s="8"/>
      <c r="O12" s="8" t="n">
        <v>11</v>
      </c>
      <c r="P12" s="9" t="n">
        <v>158.85538713231</v>
      </c>
      <c r="Q12" s="10" t="n">
        <v>0.0062950336029026</v>
      </c>
      <c r="R12" s="9" t="n">
        <v>34</v>
      </c>
      <c r="S12" s="13" t="n">
        <f aca="false">IF(AND(ISNUMBER(R12),R12&gt;1,P12&gt;0),R12/P12-1,"")</f>
        <v>-0.785968857501311</v>
      </c>
      <c r="T12" s="9" t="n">
        <f aca="false">IF(AND(ISNUMBER(P12),P12&gt;0),P12*EXP('Read me'!$B$22),"")</f>
        <v>194.026407992006</v>
      </c>
    </row>
    <row r="13" customFormat="false" ht="15" hidden="false" customHeight="false" outlineLevel="0" collapsed="false">
      <c r="A13" s="11" t="s">
        <v>48</v>
      </c>
      <c r="B13" s="11" t="s">
        <v>49</v>
      </c>
      <c r="C13" s="11" t="s">
        <v>50</v>
      </c>
      <c r="D13" s="11"/>
      <c r="E13" s="12" t="n">
        <v>7</v>
      </c>
      <c r="F13" s="11" t="s">
        <v>211</v>
      </c>
      <c r="G13" s="8" t="n">
        <v>13</v>
      </c>
      <c r="H13" s="11" t="s">
        <v>235</v>
      </c>
      <c r="I13" s="11" t="s">
        <v>236</v>
      </c>
      <c r="J13" s="11" t="s">
        <v>237</v>
      </c>
      <c r="K13" s="8" t="n">
        <v>11</v>
      </c>
      <c r="L13" s="8" t="n">
        <v>0</v>
      </c>
      <c r="M13" s="8" t="n">
        <v>2</v>
      </c>
      <c r="N13" s="8"/>
      <c r="O13" s="8" t="n">
        <v>12</v>
      </c>
      <c r="P13" s="9" t="n">
        <v>282.560651907111</v>
      </c>
      <c r="Q13" s="10" t="n">
        <v>0.0035390631825436</v>
      </c>
      <c r="R13" s="9" t="n">
        <v>41</v>
      </c>
      <c r="S13" s="13" t="n">
        <f aca="false">IF(AND(ISNUMBER(R13),R13&gt;1,P13&gt;0),R13/P13-1,"")</f>
        <v>-0.854898409515709</v>
      </c>
      <c r="T13" s="9" t="n">
        <f aca="false">IF(AND(ISNUMBER(P13),P13&gt;0),P13*EXP('Read me'!$B$22),"")</f>
        <v>345.120359586881</v>
      </c>
    </row>
    <row r="14" customFormat="false" ht="15" hidden="false" customHeight="false" outlineLevel="0" collapsed="false">
      <c r="A14" s="11" t="s">
        <v>48</v>
      </c>
      <c r="B14" s="11" t="s">
        <v>49</v>
      </c>
      <c r="C14" s="11" t="s">
        <v>50</v>
      </c>
      <c r="D14" s="11"/>
      <c r="E14" s="12" t="n">
        <v>7</v>
      </c>
      <c r="F14" s="11" t="s">
        <v>211</v>
      </c>
      <c r="G14" s="8" t="n">
        <v>13</v>
      </c>
      <c r="H14" s="11" t="s">
        <v>238</v>
      </c>
      <c r="I14" s="11" t="s">
        <v>239</v>
      </c>
      <c r="J14" s="11" t="s">
        <v>240</v>
      </c>
      <c r="K14" s="8" t="n">
        <v>2</v>
      </c>
      <c r="L14" s="8" t="n">
        <v>0</v>
      </c>
      <c r="M14" s="8" t="n">
        <v>2</v>
      </c>
      <c r="N14" s="8" t="n">
        <v>10</v>
      </c>
      <c r="O14" s="8" t="n">
        <v>13</v>
      </c>
      <c r="P14" s="9" t="n">
        <v>283.787566068779</v>
      </c>
      <c r="Q14" s="10" t="n">
        <v>0.0035237625589192</v>
      </c>
      <c r="R14" s="9" t="n">
        <v>41</v>
      </c>
      <c r="S14" s="13" t="n">
        <f aca="false">IF(AND(ISNUMBER(R14),R14&gt;1,P14&gt;0),R14/P14-1,"")</f>
        <v>-0.855525735084309</v>
      </c>
      <c r="T14" s="9" t="n">
        <f aca="false">IF(AND(ISNUMBER(P14),P14&gt;0),P14*EXP('Read me'!$B$22),"")</f>
        <v>346.618915927968</v>
      </c>
    </row>
    <row r="15" customFormat="false" ht="15" hidden="false" customHeight="false" outlineLevel="0" collapsed="false">
      <c r="A15" s="11" t="s">
        <v>68</v>
      </c>
      <c r="B15" s="11" t="s">
        <v>49</v>
      </c>
      <c r="C15" s="11" t="s">
        <v>69</v>
      </c>
      <c r="D15" s="11"/>
      <c r="E15" s="12" t="n">
        <v>9</v>
      </c>
      <c r="F15" s="11" t="s">
        <v>211</v>
      </c>
      <c r="G15" s="8" t="n">
        <v>9</v>
      </c>
      <c r="H15" s="11" t="s">
        <v>70</v>
      </c>
      <c r="I15" s="11" t="s">
        <v>52</v>
      </c>
      <c r="J15" s="11" t="s">
        <v>53</v>
      </c>
      <c r="K15" s="8" t="n">
        <v>12</v>
      </c>
      <c r="L15" s="8" t="n">
        <v>0</v>
      </c>
      <c r="M15" s="8" t="n">
        <v>2</v>
      </c>
      <c r="N15" s="8" t="n">
        <v>29</v>
      </c>
      <c r="O15" s="8" t="n">
        <v>1</v>
      </c>
      <c r="P15" s="9" t="n">
        <v>2.70975680572779</v>
      </c>
      <c r="Q15" s="10" t="n">
        <v>0.369036807246405</v>
      </c>
      <c r="R15" s="9" t="n">
        <v>1.90909090909091</v>
      </c>
      <c r="S15" s="13" t="n">
        <f aca="false">IF(AND(ISNUMBER(R15),R15&gt;1,P15&gt;0),R15/P15-1,"")</f>
        <v>-0.295475186165954</v>
      </c>
      <c r="T15" s="9" t="n">
        <f aca="false">IF(AND(ISNUMBER(P15),P15&gt;0),P15*EXP('Read me'!$B$22),"")</f>
        <v>3.30970443645921</v>
      </c>
    </row>
    <row r="16" customFormat="false" ht="15" hidden="false" customHeight="false" outlineLevel="0" collapsed="false">
      <c r="A16" s="11" t="s">
        <v>68</v>
      </c>
      <c r="B16" s="11" t="s">
        <v>49</v>
      </c>
      <c r="C16" s="11" t="s">
        <v>69</v>
      </c>
      <c r="D16" s="11"/>
      <c r="E16" s="12" t="n">
        <v>9</v>
      </c>
      <c r="F16" s="11" t="s">
        <v>211</v>
      </c>
      <c r="G16" s="8" t="n">
        <v>9</v>
      </c>
      <c r="H16" s="11" t="s">
        <v>71</v>
      </c>
      <c r="I16" s="11" t="s">
        <v>272</v>
      </c>
      <c r="J16" s="11" t="s">
        <v>140</v>
      </c>
      <c r="K16" s="8" t="n">
        <v>6</v>
      </c>
      <c r="L16" s="8" t="n">
        <v>0</v>
      </c>
      <c r="M16" s="8" t="n">
        <v>2</v>
      </c>
      <c r="N16" s="8" t="n">
        <v>29</v>
      </c>
      <c r="O16" s="8" t="n">
        <v>2</v>
      </c>
      <c r="P16" s="9" t="n">
        <v>4.00750541856212</v>
      </c>
      <c r="Q16" s="10" t="n">
        <v>0.249531789868121</v>
      </c>
      <c r="R16" s="9" t="n">
        <v>2.75</v>
      </c>
      <c r="S16" s="13" t="n">
        <f aca="false">IF(AND(ISNUMBER(R16),R16&gt;1,P16&gt;0),R16/P16-1,"")</f>
        <v>-0.313787577862667</v>
      </c>
      <c r="T16" s="9" t="n">
        <f aca="false">IF(AND(ISNUMBER(P16),P16&gt;0),P16*EXP('Read me'!$B$22),"")</f>
        <v>4.8947781715736</v>
      </c>
    </row>
    <row r="17" customFormat="false" ht="15" hidden="false" customHeight="false" outlineLevel="0" collapsed="false">
      <c r="A17" s="11" t="s">
        <v>68</v>
      </c>
      <c r="B17" s="11" t="s">
        <v>49</v>
      </c>
      <c r="C17" s="11" t="s">
        <v>69</v>
      </c>
      <c r="D17" s="11"/>
      <c r="E17" s="12" t="n">
        <v>9</v>
      </c>
      <c r="F17" s="11" t="s">
        <v>211</v>
      </c>
      <c r="G17" s="8" t="n">
        <v>9</v>
      </c>
      <c r="H17" s="11" t="s">
        <v>273</v>
      </c>
      <c r="I17" s="11" t="s">
        <v>274</v>
      </c>
      <c r="J17" s="11" t="s">
        <v>53</v>
      </c>
      <c r="K17" s="8" t="n">
        <v>1</v>
      </c>
      <c r="L17" s="8" t="n">
        <v>0</v>
      </c>
      <c r="M17" s="8" t="n">
        <v>2</v>
      </c>
      <c r="N17" s="8" t="n">
        <v>26</v>
      </c>
      <c r="O17" s="8" t="n">
        <v>3</v>
      </c>
      <c r="P17" s="9" t="n">
        <v>4.47517753304185</v>
      </c>
      <c r="Q17" s="10" t="n">
        <v>0.223454822209095</v>
      </c>
      <c r="R17" s="9" t="n">
        <v>6.5</v>
      </c>
      <c r="S17" s="13" t="n">
        <f aca="false">IF(AND(ISNUMBER(R17),R17&gt;1,P17&gt;0),R17/P17-1,"")</f>
        <v>0.452456344359114</v>
      </c>
      <c r="T17" s="9" t="n">
        <f aca="false">IF(AND(ISNUMBER(P17),P17&gt;0),P17*EXP('Read me'!$B$22),"")</f>
        <v>5.46599418211374</v>
      </c>
    </row>
    <row r="18" customFormat="false" ht="15" hidden="false" customHeight="false" outlineLevel="0" collapsed="false">
      <c r="A18" s="11" t="s">
        <v>68</v>
      </c>
      <c r="B18" s="11" t="s">
        <v>49</v>
      </c>
      <c r="C18" s="11" t="s">
        <v>69</v>
      </c>
      <c r="D18" s="11"/>
      <c r="E18" s="12" t="n">
        <v>9</v>
      </c>
      <c r="F18" s="11" t="s">
        <v>211</v>
      </c>
      <c r="G18" s="8" t="n">
        <v>9</v>
      </c>
      <c r="H18" s="11" t="s">
        <v>275</v>
      </c>
      <c r="I18" s="11" t="s">
        <v>121</v>
      </c>
      <c r="J18" s="11" t="s">
        <v>122</v>
      </c>
      <c r="K18" s="8" t="n">
        <v>5</v>
      </c>
      <c r="L18" s="8" t="n">
        <v>0</v>
      </c>
      <c r="M18" s="8" t="n">
        <v>2</v>
      </c>
      <c r="N18" s="8" t="n">
        <v>92</v>
      </c>
      <c r="O18" s="8" t="n">
        <v>4</v>
      </c>
      <c r="P18" s="9" t="n">
        <v>11.9564999435787</v>
      </c>
      <c r="Q18" s="10" t="n">
        <v>0.0836365160974263</v>
      </c>
      <c r="R18" s="9" t="n">
        <v>19</v>
      </c>
      <c r="S18" s="13" t="n">
        <f aca="false">IF(AND(ISNUMBER(R18),R18&gt;1,P18&gt;0),R18/P18-1,"")</f>
        <v>0.589093805851101</v>
      </c>
      <c r="T18" s="9" t="n">
        <f aca="false">IF(AND(ISNUMBER(P18),P18&gt;0),P18*EXP('Read me'!$B$22),"")</f>
        <v>14.603702009029</v>
      </c>
    </row>
    <row r="19" customFormat="false" ht="15" hidden="false" customHeight="false" outlineLevel="0" collapsed="false">
      <c r="A19" s="11" t="s">
        <v>68</v>
      </c>
      <c r="B19" s="11" t="s">
        <v>49</v>
      </c>
      <c r="C19" s="11" t="s">
        <v>69</v>
      </c>
      <c r="D19" s="11"/>
      <c r="E19" s="12" t="n">
        <v>9</v>
      </c>
      <c r="F19" s="11" t="s">
        <v>211</v>
      </c>
      <c r="G19" s="8" t="n">
        <v>9</v>
      </c>
      <c r="H19" s="11" t="s">
        <v>276</v>
      </c>
      <c r="I19" s="11" t="s">
        <v>213</v>
      </c>
      <c r="J19" s="11" t="s">
        <v>53</v>
      </c>
      <c r="K19" s="8" t="n">
        <v>10</v>
      </c>
      <c r="L19" s="8" t="n">
        <v>0</v>
      </c>
      <c r="M19" s="8" t="n">
        <v>2</v>
      </c>
      <c r="N19" s="8"/>
      <c r="O19" s="8" t="n">
        <v>5</v>
      </c>
      <c r="P19" s="9" t="n">
        <v>25.2679912224592</v>
      </c>
      <c r="Q19" s="10" t="n">
        <v>0.0395757617293756</v>
      </c>
      <c r="R19" s="9" t="n">
        <v>21</v>
      </c>
      <c r="S19" s="13" t="n">
        <f aca="false">IF(AND(ISNUMBER(R19),R19&gt;1,P19&gt;0),R19/P19-1,"")</f>
        <v>-0.168909003683112</v>
      </c>
      <c r="T19" s="9" t="n">
        <f aca="false">IF(AND(ISNUMBER(P19),P19&gt;0),P19*EXP('Read me'!$B$22),"")</f>
        <v>30.8623941722786</v>
      </c>
    </row>
    <row r="20" customFormat="false" ht="15" hidden="false" customHeight="false" outlineLevel="0" collapsed="false">
      <c r="A20" s="11" t="s">
        <v>68</v>
      </c>
      <c r="B20" s="11" t="s">
        <v>49</v>
      </c>
      <c r="C20" s="11" t="s">
        <v>69</v>
      </c>
      <c r="D20" s="11"/>
      <c r="E20" s="12" t="n">
        <v>9</v>
      </c>
      <c r="F20" s="11" t="s">
        <v>211</v>
      </c>
      <c r="G20" s="8" t="n">
        <v>9</v>
      </c>
      <c r="H20" s="11" t="s">
        <v>277</v>
      </c>
      <c r="I20" s="11" t="s">
        <v>215</v>
      </c>
      <c r="J20" s="11" t="s">
        <v>278</v>
      </c>
      <c r="K20" s="8" t="n">
        <v>2</v>
      </c>
      <c r="L20" s="8" t="n">
        <v>0</v>
      </c>
      <c r="M20" s="8" t="n">
        <v>2</v>
      </c>
      <c r="N20" s="8"/>
      <c r="O20" s="8" t="n">
        <v>6</v>
      </c>
      <c r="P20" s="9" t="n">
        <v>60.5245755799746</v>
      </c>
      <c r="Q20" s="10" t="n">
        <v>0.0165222141653623</v>
      </c>
      <c r="R20" s="9" t="n">
        <v>34</v>
      </c>
      <c r="S20" s="13" t="n">
        <f aca="false">IF(AND(ISNUMBER(R20),R20&gt;1,P20&gt;0),R20/P20-1,"")</f>
        <v>-0.43824471837768</v>
      </c>
      <c r="T20" s="9" t="n">
        <f aca="false">IF(AND(ISNUMBER(P20),P20&gt;0),P20*EXP('Read me'!$B$22),"")</f>
        <v>73.9248835498546</v>
      </c>
    </row>
    <row r="21" customFormat="false" ht="15" hidden="false" customHeight="false" outlineLevel="0" collapsed="false">
      <c r="A21" s="11" t="s">
        <v>68</v>
      </c>
      <c r="B21" s="11" t="s">
        <v>49</v>
      </c>
      <c r="C21" s="11" t="s">
        <v>69</v>
      </c>
      <c r="D21" s="11"/>
      <c r="E21" s="12" t="n">
        <v>9</v>
      </c>
      <c r="F21" s="11" t="s">
        <v>211</v>
      </c>
      <c r="G21" s="8" t="n">
        <v>9</v>
      </c>
      <c r="H21" s="11" t="s">
        <v>279</v>
      </c>
      <c r="I21" s="11" t="s">
        <v>239</v>
      </c>
      <c r="J21" s="11" t="s">
        <v>280</v>
      </c>
      <c r="K21" s="8" t="n">
        <v>11</v>
      </c>
      <c r="L21" s="8" t="n">
        <v>0</v>
      </c>
      <c r="M21" s="8" t="n">
        <v>2</v>
      </c>
      <c r="N21" s="8"/>
      <c r="O21" s="8" t="n">
        <v>7</v>
      </c>
      <c r="P21" s="9" t="n">
        <v>74.4409774489432</v>
      </c>
      <c r="Q21" s="10" t="n">
        <v>0.0134334614384378</v>
      </c>
      <c r="R21" s="9" t="n">
        <v>67</v>
      </c>
      <c r="S21" s="13" t="n">
        <f aca="false">IF(AND(ISNUMBER(R21),R21&gt;1,P21&gt;0),R21/P21-1,"")</f>
        <v>-0.0999580836246646</v>
      </c>
      <c r="T21" s="9" t="n">
        <f aca="false">IF(AND(ISNUMBER(P21),P21&gt;0),P21*EXP('Read me'!$B$22),"")</f>
        <v>90.9224151762783</v>
      </c>
    </row>
    <row r="22" customFormat="false" ht="15" hidden="false" customHeight="false" outlineLevel="0" collapsed="false">
      <c r="A22" s="11" t="s">
        <v>68</v>
      </c>
      <c r="B22" s="11" t="s">
        <v>49</v>
      </c>
      <c r="C22" s="11" t="s">
        <v>69</v>
      </c>
      <c r="D22" s="11"/>
      <c r="E22" s="12" t="n">
        <v>9</v>
      </c>
      <c r="F22" s="11" t="s">
        <v>211</v>
      </c>
      <c r="G22" s="8" t="n">
        <v>9</v>
      </c>
      <c r="H22" s="11" t="s">
        <v>281</v>
      </c>
      <c r="I22" s="11" t="s">
        <v>104</v>
      </c>
      <c r="J22" s="11" t="s">
        <v>122</v>
      </c>
      <c r="K22" s="8" t="n">
        <v>3</v>
      </c>
      <c r="L22" s="8" t="n">
        <v>0</v>
      </c>
      <c r="M22" s="8" t="n">
        <v>2</v>
      </c>
      <c r="N22" s="8" t="n">
        <v>29</v>
      </c>
      <c r="O22" s="8" t="n">
        <v>8</v>
      </c>
      <c r="P22" s="9" t="n">
        <v>264.029613689872</v>
      </c>
      <c r="Q22" s="10" t="n">
        <v>0.0037874539375518</v>
      </c>
      <c r="R22" s="9" t="n">
        <v>201</v>
      </c>
      <c r="S22" s="13" t="n">
        <f aca="false">IF(AND(ISNUMBER(R22),R22&gt;1,P22&gt;0),R22/P22-1,"")</f>
        <v>-0.238721758552078</v>
      </c>
      <c r="T22" s="9" t="n">
        <f aca="false">IF(AND(ISNUMBER(P22),P22&gt;0),P22*EXP('Read me'!$B$22),"")</f>
        <v>322.486498396774</v>
      </c>
    </row>
    <row r="23" customFormat="false" ht="15" hidden="false" customHeight="false" outlineLevel="0" collapsed="false">
      <c r="A23" s="11" t="s">
        <v>68</v>
      </c>
      <c r="B23" s="11" t="s">
        <v>49</v>
      </c>
      <c r="C23" s="11" t="s">
        <v>69</v>
      </c>
      <c r="D23" s="11"/>
      <c r="E23" s="12" t="n">
        <v>9</v>
      </c>
      <c r="F23" s="11" t="s">
        <v>211</v>
      </c>
      <c r="G23" s="8" t="n">
        <v>9</v>
      </c>
      <c r="H23" s="11" t="s">
        <v>282</v>
      </c>
      <c r="I23" s="11" t="s">
        <v>283</v>
      </c>
      <c r="J23" s="11" t="s">
        <v>284</v>
      </c>
      <c r="K23" s="8" t="n">
        <v>9</v>
      </c>
      <c r="L23" s="8" t="n">
        <v>0</v>
      </c>
      <c r="M23" s="8" t="n">
        <v>2</v>
      </c>
      <c r="N23" s="8" t="n">
        <v>10</v>
      </c>
      <c r="O23" s="8" t="n">
        <v>9</v>
      </c>
      <c r="P23" s="9" t="n">
        <v>979.265705385241</v>
      </c>
      <c r="Q23" s="10" t="n">
        <v>0.0010211733082254</v>
      </c>
      <c r="R23" s="9" t="n">
        <v>151</v>
      </c>
      <c r="S23" s="13" t="n">
        <f aca="false">IF(AND(ISNUMBER(R23),R23&gt;1,P23&gt;0),R23/P23-1,"")</f>
        <v>-0.845802830457953</v>
      </c>
      <c r="T23" s="9" t="n">
        <f aca="false">IF(AND(ISNUMBER(P23),P23&gt;0),P23*EXP('Read me'!$B$22),"")</f>
        <v>1196.0778335292</v>
      </c>
    </row>
    <row r="24" customFormat="false" ht="15" hidden="false" customHeight="false" outlineLevel="0" collapsed="false">
      <c r="A24" s="11" t="s">
        <v>83</v>
      </c>
      <c r="B24" s="11" t="s">
        <v>49</v>
      </c>
      <c r="C24" s="11" t="s">
        <v>84</v>
      </c>
      <c r="D24" s="11"/>
      <c r="E24" s="12" t="n">
        <v>6</v>
      </c>
      <c r="F24" s="11" t="s">
        <v>211</v>
      </c>
      <c r="G24" s="8" t="n">
        <v>8</v>
      </c>
      <c r="H24" s="11" t="s">
        <v>85</v>
      </c>
      <c r="I24" s="11" t="s">
        <v>86</v>
      </c>
      <c r="J24" s="11" t="s">
        <v>87</v>
      </c>
      <c r="K24" s="8" t="n">
        <v>9</v>
      </c>
      <c r="L24" s="8" t="n">
        <v>101</v>
      </c>
      <c r="M24" s="8" t="n">
        <v>3</v>
      </c>
      <c r="N24" s="8" t="n">
        <v>35</v>
      </c>
      <c r="O24" s="8" t="n">
        <v>1</v>
      </c>
      <c r="P24" s="9" t="n">
        <v>3.65697218536959</v>
      </c>
      <c r="Q24" s="10" t="n">
        <v>0.273450261394027</v>
      </c>
      <c r="R24" s="9" t="n">
        <v>3.75</v>
      </c>
      <c r="S24" s="13" t="n">
        <f aca="false">IF(AND(ISNUMBER(R24),R24&gt;1,P24&gt;0),R24/P24-1,"")</f>
        <v>0.0254384802276006</v>
      </c>
      <c r="T24" s="9" t="n">
        <f aca="false">IF(AND(ISNUMBER(P24),P24&gt;0),P24*EXP('Read me'!$B$22),"")</f>
        <v>4.46663591372544</v>
      </c>
    </row>
    <row r="25" customFormat="false" ht="15" hidden="false" customHeight="false" outlineLevel="0" collapsed="false">
      <c r="A25" s="11" t="s">
        <v>83</v>
      </c>
      <c r="B25" s="11" t="s">
        <v>49</v>
      </c>
      <c r="C25" s="11" t="s">
        <v>84</v>
      </c>
      <c r="D25" s="11"/>
      <c r="E25" s="12" t="n">
        <v>6</v>
      </c>
      <c r="F25" s="11" t="s">
        <v>211</v>
      </c>
      <c r="G25" s="8" t="n">
        <v>8</v>
      </c>
      <c r="H25" s="11" t="s">
        <v>88</v>
      </c>
      <c r="I25" s="11" t="s">
        <v>215</v>
      </c>
      <c r="J25" s="11" t="s">
        <v>294</v>
      </c>
      <c r="K25" s="8" t="n">
        <v>8</v>
      </c>
      <c r="L25" s="8" t="n">
        <v>110</v>
      </c>
      <c r="M25" s="8" t="n">
        <v>3</v>
      </c>
      <c r="N25" s="8" t="n">
        <v>36</v>
      </c>
      <c r="O25" s="8" t="n">
        <v>2</v>
      </c>
      <c r="P25" s="9" t="n">
        <v>4.47956335034291</v>
      </c>
      <c r="Q25" s="10" t="n">
        <v>0.223236043737042</v>
      </c>
      <c r="R25" s="9" t="n">
        <v>3.75</v>
      </c>
      <c r="S25" s="13" t="n">
        <f aca="false">IF(AND(ISNUMBER(R25),R25&gt;1,P25&gt;0),R25/P25-1,"")</f>
        <v>-0.162864835986092</v>
      </c>
      <c r="T25" s="9" t="n">
        <f aca="false">IF(AND(ISNUMBER(P25),P25&gt;0),P25*EXP('Read me'!$B$22),"")</f>
        <v>5.47135103146204</v>
      </c>
    </row>
    <row r="26" customFormat="false" ht="15" hidden="false" customHeight="false" outlineLevel="0" collapsed="false">
      <c r="A26" s="11" t="s">
        <v>83</v>
      </c>
      <c r="B26" s="11" t="s">
        <v>49</v>
      </c>
      <c r="C26" s="11" t="s">
        <v>84</v>
      </c>
      <c r="D26" s="11"/>
      <c r="E26" s="12" t="n">
        <v>6</v>
      </c>
      <c r="F26" s="11" t="s">
        <v>211</v>
      </c>
      <c r="G26" s="8" t="n">
        <v>8</v>
      </c>
      <c r="H26" s="11" t="s">
        <v>295</v>
      </c>
      <c r="I26" s="11" t="s">
        <v>52</v>
      </c>
      <c r="J26" s="11" t="s">
        <v>53</v>
      </c>
      <c r="K26" s="8" t="n">
        <v>2</v>
      </c>
      <c r="L26" s="8" t="n">
        <v>101</v>
      </c>
      <c r="M26" s="8" t="n">
        <v>3</v>
      </c>
      <c r="N26" s="8" t="n">
        <v>14</v>
      </c>
      <c r="O26" s="8" t="n">
        <v>3</v>
      </c>
      <c r="P26" s="9" t="n">
        <v>5.47115027515942</v>
      </c>
      <c r="Q26" s="10" t="n">
        <v>0.182776920703547</v>
      </c>
      <c r="R26" s="9" t="n">
        <v>7</v>
      </c>
      <c r="S26" s="13" t="n">
        <f aca="false">IF(AND(ISNUMBER(R26),R26&gt;1,P26&gt;0),R26/P26-1,"")</f>
        <v>0.279438444924827</v>
      </c>
      <c r="T26" s="9" t="n">
        <f aca="false">IF(AND(ISNUMBER(P26),P26&gt;0),P26*EXP('Read me'!$B$22),"")</f>
        <v>6.68247803638848</v>
      </c>
    </row>
    <row r="27" customFormat="false" ht="15" hidden="false" customHeight="false" outlineLevel="0" collapsed="false">
      <c r="A27" s="11" t="s">
        <v>83</v>
      </c>
      <c r="B27" s="11" t="s">
        <v>49</v>
      </c>
      <c r="C27" s="11" t="s">
        <v>84</v>
      </c>
      <c r="D27" s="11"/>
      <c r="E27" s="12" t="n">
        <v>6</v>
      </c>
      <c r="F27" s="11" t="s">
        <v>211</v>
      </c>
      <c r="G27" s="8" t="n">
        <v>8</v>
      </c>
      <c r="H27" s="11" t="s">
        <v>296</v>
      </c>
      <c r="I27" s="11" t="s">
        <v>121</v>
      </c>
      <c r="J27" s="11" t="s">
        <v>122</v>
      </c>
      <c r="K27" s="8" t="n">
        <v>7</v>
      </c>
      <c r="L27" s="8" t="n">
        <v>104</v>
      </c>
      <c r="M27" s="8" t="n">
        <v>3</v>
      </c>
      <c r="N27" s="8" t="n">
        <v>133</v>
      </c>
      <c r="O27" s="8" t="n">
        <v>4</v>
      </c>
      <c r="P27" s="9" t="n">
        <v>6.29359725137638</v>
      </c>
      <c r="Q27" s="10" t="n">
        <v>0.158891641784244</v>
      </c>
      <c r="R27" s="9" t="n">
        <v>3.75</v>
      </c>
      <c r="S27" s="13" t="n">
        <f aca="false">IF(AND(ISNUMBER(R27),R27&gt;1,P27&gt;0),R27/P27-1,"")</f>
        <v>-0.404156343309084</v>
      </c>
      <c r="T27" s="9" t="n">
        <f aca="false">IF(AND(ISNUMBER(P27),P27&gt;0),P27*EXP('Read me'!$B$22),"")</f>
        <v>7.68701704158037</v>
      </c>
    </row>
    <row r="28" customFormat="false" ht="15" hidden="false" customHeight="false" outlineLevel="0" collapsed="false">
      <c r="A28" s="11" t="s">
        <v>83</v>
      </c>
      <c r="B28" s="11" t="s">
        <v>49</v>
      </c>
      <c r="C28" s="11" t="s">
        <v>84</v>
      </c>
      <c r="D28" s="11"/>
      <c r="E28" s="12" t="n">
        <v>6</v>
      </c>
      <c r="F28" s="11" t="s">
        <v>211</v>
      </c>
      <c r="G28" s="8" t="n">
        <v>8</v>
      </c>
      <c r="H28" s="11" t="s">
        <v>297</v>
      </c>
      <c r="I28" s="11" t="s">
        <v>274</v>
      </c>
      <c r="J28" s="11" t="s">
        <v>53</v>
      </c>
      <c r="K28" s="8" t="n">
        <v>4</v>
      </c>
      <c r="L28" s="8" t="n">
        <v>103</v>
      </c>
      <c r="M28" s="8" t="n">
        <v>3</v>
      </c>
      <c r="N28" s="8" t="n">
        <v>71</v>
      </c>
      <c r="O28" s="8" t="n">
        <v>5</v>
      </c>
      <c r="P28" s="9" t="n">
        <v>15.7205309479774</v>
      </c>
      <c r="Q28" s="10" t="n">
        <v>0.063611083067691</v>
      </c>
      <c r="R28" s="9" t="n">
        <v>29</v>
      </c>
      <c r="S28" s="13" t="n">
        <f aca="false">IF(AND(ISNUMBER(R28),R28&gt;1,P28&gt;0),R28/P28-1,"")</f>
        <v>0.844721408963041</v>
      </c>
      <c r="T28" s="9" t="n">
        <f aca="false">IF(AND(ISNUMBER(P28),P28&gt;0),P28*EXP('Read me'!$B$22),"")</f>
        <v>19.2010998596019</v>
      </c>
    </row>
    <row r="29" customFormat="false" ht="15" hidden="false" customHeight="false" outlineLevel="0" collapsed="false">
      <c r="A29" s="11" t="s">
        <v>83</v>
      </c>
      <c r="B29" s="11" t="s">
        <v>49</v>
      </c>
      <c r="C29" s="11" t="s">
        <v>84</v>
      </c>
      <c r="D29" s="11"/>
      <c r="E29" s="12" t="n">
        <v>6</v>
      </c>
      <c r="F29" s="11" t="s">
        <v>211</v>
      </c>
      <c r="G29" s="8" t="n">
        <v>8</v>
      </c>
      <c r="H29" s="11" t="s">
        <v>298</v>
      </c>
      <c r="I29" s="11" t="s">
        <v>299</v>
      </c>
      <c r="J29" s="11" t="s">
        <v>300</v>
      </c>
      <c r="K29" s="8" t="n">
        <v>1</v>
      </c>
      <c r="L29" s="8" t="n">
        <v>104</v>
      </c>
      <c r="M29" s="8" t="n">
        <v>9</v>
      </c>
      <c r="N29" s="8" t="n">
        <v>14</v>
      </c>
      <c r="O29" s="8" t="n">
        <v>6</v>
      </c>
      <c r="P29" s="9" t="n">
        <v>22.9184698679287</v>
      </c>
      <c r="Q29" s="10" t="n">
        <v>0.0436329303728676</v>
      </c>
      <c r="R29" s="9" t="n">
        <v>9</v>
      </c>
      <c r="S29" s="13" t="n">
        <f aca="false">IF(AND(ISNUMBER(R29),R29&gt;1,P29&gt;0),R29/P29-1,"")</f>
        <v>-0.607303626644191</v>
      </c>
      <c r="T29" s="9" t="n">
        <f aca="false">IF(AND(ISNUMBER(P29),P29&gt;0),P29*EXP('Read me'!$B$22),"")</f>
        <v>27.9926823094989</v>
      </c>
    </row>
    <row r="30" customFormat="false" ht="15" hidden="false" customHeight="false" outlineLevel="0" collapsed="false">
      <c r="A30" s="11" t="s">
        <v>83</v>
      </c>
      <c r="B30" s="11" t="s">
        <v>49</v>
      </c>
      <c r="C30" s="11" t="s">
        <v>84</v>
      </c>
      <c r="D30" s="11"/>
      <c r="E30" s="12" t="n">
        <v>6</v>
      </c>
      <c r="F30" s="11" t="s">
        <v>211</v>
      </c>
      <c r="G30" s="8" t="n">
        <v>8</v>
      </c>
      <c r="H30" s="11" t="s">
        <v>301</v>
      </c>
      <c r="I30" s="11" t="s">
        <v>302</v>
      </c>
      <c r="J30" s="11" t="s">
        <v>219</v>
      </c>
      <c r="K30" s="8" t="n">
        <v>6</v>
      </c>
      <c r="L30" s="8" t="n">
        <v>104</v>
      </c>
      <c r="M30" s="8" t="n">
        <v>4</v>
      </c>
      <c r="N30" s="8" t="n">
        <v>37</v>
      </c>
      <c r="O30" s="8" t="n">
        <v>7</v>
      </c>
      <c r="P30" s="9" t="n">
        <v>31.2535913816564</v>
      </c>
      <c r="Q30" s="10" t="n">
        <v>0.0319963228477776</v>
      </c>
      <c r="R30" s="9" t="n">
        <v>19</v>
      </c>
      <c r="S30" s="13" t="n">
        <f aca="false">IF(AND(ISNUMBER(R30),R30&gt;1,P30&gt;0),R30/P30-1,"")</f>
        <v>-0.392069865892225</v>
      </c>
      <c r="T30" s="9" t="n">
        <f aca="false">IF(AND(ISNUMBER(P30),P30&gt;0),P30*EXP('Read me'!$B$22),"")</f>
        <v>38.1732227159661</v>
      </c>
    </row>
    <row r="31" customFormat="false" ht="15" hidden="false" customHeight="false" outlineLevel="0" collapsed="false">
      <c r="A31" s="11" t="s">
        <v>83</v>
      </c>
      <c r="B31" s="11" t="s">
        <v>49</v>
      </c>
      <c r="C31" s="11" t="s">
        <v>84</v>
      </c>
      <c r="D31" s="11"/>
      <c r="E31" s="12" t="n">
        <v>6</v>
      </c>
      <c r="F31" s="11" t="s">
        <v>211</v>
      </c>
      <c r="G31" s="8" t="n">
        <v>8</v>
      </c>
      <c r="H31" s="11" t="s">
        <v>303</v>
      </c>
      <c r="I31" s="11" t="s">
        <v>218</v>
      </c>
      <c r="J31" s="11" t="s">
        <v>304</v>
      </c>
      <c r="K31" s="8" t="n">
        <v>3</v>
      </c>
      <c r="L31" s="8" t="n">
        <v>96</v>
      </c>
      <c r="M31" s="8" t="n">
        <v>7</v>
      </c>
      <c r="N31" s="8" t="n">
        <v>14</v>
      </c>
      <c r="O31" s="8" t="n">
        <v>8</v>
      </c>
      <c r="P31" s="9" t="n">
        <v>44.6333006494623</v>
      </c>
      <c r="Q31" s="10" t="n">
        <v>0.0224047960928035</v>
      </c>
      <c r="R31" s="9" t="n">
        <v>34</v>
      </c>
      <c r="S31" s="13" t="n">
        <f aca="false">IF(AND(ISNUMBER(R31),R31&gt;1,P31&gt;0),R31/P31-1,"")</f>
        <v>-0.238236932844679</v>
      </c>
      <c r="T31" s="9" t="n">
        <f aca="false">IF(AND(ISNUMBER(P31),P31&gt;0),P31*EXP('Read me'!$B$22),"")</f>
        <v>54.5152365190454</v>
      </c>
    </row>
    <row r="32" customFormat="false" ht="15" hidden="false" customHeight="false" outlineLevel="0" collapsed="false">
      <c r="A32" s="11" t="s">
        <v>101</v>
      </c>
      <c r="B32" s="11" t="s">
        <v>49</v>
      </c>
      <c r="C32" s="11" t="s">
        <v>102</v>
      </c>
      <c r="D32" s="11"/>
      <c r="E32" s="12" t="n">
        <v>6</v>
      </c>
      <c r="F32" s="11" t="s">
        <v>211</v>
      </c>
      <c r="G32" s="8" t="n">
        <v>12</v>
      </c>
      <c r="H32" s="11" t="s">
        <v>103</v>
      </c>
      <c r="I32" s="11" t="s">
        <v>104</v>
      </c>
      <c r="J32" s="11" t="s">
        <v>105</v>
      </c>
      <c r="K32" s="8" t="n">
        <v>11</v>
      </c>
      <c r="L32" s="8" t="n">
        <v>0</v>
      </c>
      <c r="M32" s="8" t="n">
        <v>3</v>
      </c>
      <c r="N32" s="8" t="n">
        <v>93</v>
      </c>
      <c r="O32" s="8" t="n">
        <v>1</v>
      </c>
      <c r="P32" s="9" t="n">
        <v>2.43476829094769</v>
      </c>
      <c r="Q32" s="10" t="n">
        <v>0.410716700935336</v>
      </c>
      <c r="R32" s="9" t="n">
        <v>1.72727272727273</v>
      </c>
      <c r="S32" s="13" t="n">
        <f aca="false">IF(AND(ISNUMBER(R32),R32&gt;1,P32&gt;0),R32/P32-1,"")</f>
        <v>-0.290580243838965</v>
      </c>
      <c r="T32" s="9" t="n">
        <f aca="false">IF(AND(ISNUMBER(P32),P32&gt;0),P32*EXP('Read me'!$B$22),"")</f>
        <v>2.97383270604443</v>
      </c>
    </row>
    <row r="33" customFormat="false" ht="15" hidden="false" customHeight="false" outlineLevel="0" collapsed="false">
      <c r="A33" s="11" t="s">
        <v>101</v>
      </c>
      <c r="B33" s="11" t="s">
        <v>49</v>
      </c>
      <c r="C33" s="11" t="s">
        <v>102</v>
      </c>
      <c r="D33" s="11"/>
      <c r="E33" s="12" t="n">
        <v>6</v>
      </c>
      <c r="F33" s="11" t="s">
        <v>211</v>
      </c>
      <c r="G33" s="8" t="n">
        <v>12</v>
      </c>
      <c r="H33" s="11" t="s">
        <v>106</v>
      </c>
      <c r="I33" s="11" t="s">
        <v>274</v>
      </c>
      <c r="J33" s="11" t="s">
        <v>320</v>
      </c>
      <c r="K33" s="8" t="n">
        <v>1</v>
      </c>
      <c r="L33" s="8" t="n">
        <v>0</v>
      </c>
      <c r="M33" s="8" t="n">
        <v>3</v>
      </c>
      <c r="N33" s="8" t="n">
        <v>161</v>
      </c>
      <c r="O33" s="8" t="n">
        <v>2</v>
      </c>
      <c r="P33" s="9" t="n">
        <v>3.59872953654096</v>
      </c>
      <c r="Q33" s="10" t="n">
        <v>0.27787584197316</v>
      </c>
      <c r="R33" s="9" t="n">
        <v>3.5</v>
      </c>
      <c r="S33" s="13" t="n">
        <f aca="false">IF(AND(ISNUMBER(R33),R33&gt;1,P33&gt;0),R33/P33-1,"")</f>
        <v>-0.0274345530939392</v>
      </c>
      <c r="T33" s="9" t="n">
        <f aca="false">IF(AND(ISNUMBER(P33),P33&gt;0),P33*EXP('Read me'!$B$22),"")</f>
        <v>4.3954981818036</v>
      </c>
    </row>
    <row r="34" customFormat="false" ht="15" hidden="false" customHeight="false" outlineLevel="0" collapsed="false">
      <c r="A34" s="11" t="s">
        <v>101</v>
      </c>
      <c r="B34" s="11" t="s">
        <v>49</v>
      </c>
      <c r="C34" s="11" t="s">
        <v>102</v>
      </c>
      <c r="D34" s="11"/>
      <c r="E34" s="12" t="n">
        <v>6</v>
      </c>
      <c r="F34" s="11" t="s">
        <v>211</v>
      </c>
      <c r="G34" s="8" t="n">
        <v>12</v>
      </c>
      <c r="H34" s="11" t="s">
        <v>321</v>
      </c>
      <c r="I34" s="11" t="s">
        <v>322</v>
      </c>
      <c r="J34" s="11" t="s">
        <v>105</v>
      </c>
      <c r="K34" s="8" t="n">
        <v>12</v>
      </c>
      <c r="L34" s="8" t="n">
        <v>0</v>
      </c>
      <c r="M34" s="8" t="n">
        <v>3</v>
      </c>
      <c r="N34" s="8" t="n">
        <v>26</v>
      </c>
      <c r="O34" s="8" t="n">
        <v>3</v>
      </c>
      <c r="P34" s="9" t="n">
        <v>7.17421563660113</v>
      </c>
      <c r="Q34" s="10" t="n">
        <v>0.13938806005471</v>
      </c>
      <c r="R34" s="9" t="n">
        <v>9</v>
      </c>
      <c r="S34" s="13" t="n">
        <f aca="false">IF(AND(ISNUMBER(R34),R34&gt;1,P34&gt;0),R34/P34-1,"")</f>
        <v>0.254492540492392</v>
      </c>
      <c r="T34" s="9" t="n">
        <f aca="false">IF(AND(ISNUMBER(P34),P34&gt;0),P34*EXP('Read me'!$B$22),"")</f>
        <v>8.76260676618044</v>
      </c>
    </row>
    <row r="35" customFormat="false" ht="15" hidden="false" customHeight="false" outlineLevel="0" collapsed="false">
      <c r="A35" s="11" t="s">
        <v>101</v>
      </c>
      <c r="B35" s="11" t="s">
        <v>49</v>
      </c>
      <c r="C35" s="11" t="s">
        <v>102</v>
      </c>
      <c r="D35" s="11"/>
      <c r="E35" s="12" t="n">
        <v>6</v>
      </c>
      <c r="F35" s="11" t="s">
        <v>211</v>
      </c>
      <c r="G35" s="8" t="n">
        <v>12</v>
      </c>
      <c r="H35" s="11" t="s">
        <v>323</v>
      </c>
      <c r="I35" s="11" t="s">
        <v>324</v>
      </c>
      <c r="J35" s="11" t="s">
        <v>325</v>
      </c>
      <c r="K35" s="8" t="n">
        <v>13</v>
      </c>
      <c r="L35" s="8" t="n">
        <v>0</v>
      </c>
      <c r="M35" s="8" t="n">
        <v>3</v>
      </c>
      <c r="N35" s="8"/>
      <c r="O35" s="8" t="n">
        <v>4</v>
      </c>
      <c r="P35" s="9" t="n">
        <v>14.0106722311587</v>
      </c>
      <c r="Q35" s="10" t="n">
        <v>0.0713741627454585</v>
      </c>
      <c r="R35" s="9" t="n">
        <v>26</v>
      </c>
      <c r="S35" s="13" t="n">
        <f aca="false">IF(AND(ISNUMBER(R35),R35&gt;1,P35&gt;0),R35/P35-1,"")</f>
        <v>0.855728231381922</v>
      </c>
      <c r="T35" s="9" t="n">
        <f aca="false">IF(AND(ISNUMBER(P35),P35&gt;0),P35*EXP('Read me'!$B$22),"")</f>
        <v>17.1126737068154</v>
      </c>
    </row>
    <row r="36" customFormat="false" ht="15" hidden="false" customHeight="false" outlineLevel="0" collapsed="false">
      <c r="A36" s="11" t="s">
        <v>101</v>
      </c>
      <c r="B36" s="11" t="s">
        <v>49</v>
      </c>
      <c r="C36" s="11" t="s">
        <v>102</v>
      </c>
      <c r="D36" s="11"/>
      <c r="E36" s="12" t="n">
        <v>6</v>
      </c>
      <c r="F36" s="11" t="s">
        <v>211</v>
      </c>
      <c r="G36" s="8" t="n">
        <v>12</v>
      </c>
      <c r="H36" s="11" t="s">
        <v>326</v>
      </c>
      <c r="I36" s="11" t="s">
        <v>327</v>
      </c>
      <c r="J36" s="11" t="s">
        <v>328</v>
      </c>
      <c r="K36" s="8" t="n">
        <v>6</v>
      </c>
      <c r="L36" s="8" t="n">
        <v>73</v>
      </c>
      <c r="M36" s="8" t="n">
        <v>3</v>
      </c>
      <c r="N36" s="8" t="n">
        <v>37</v>
      </c>
      <c r="O36" s="8" t="n">
        <v>5</v>
      </c>
      <c r="P36" s="9" t="n">
        <v>34.1065855427835</v>
      </c>
      <c r="Q36" s="10" t="n">
        <v>0.0293198508172445</v>
      </c>
      <c r="R36" s="9" t="n">
        <v>13</v>
      </c>
      <c r="S36" s="13" t="n">
        <f aca="false">IF(AND(ISNUMBER(R36),R36&gt;1,P36&gt;0),R36/P36-1,"")</f>
        <v>-0.618841939375821</v>
      </c>
      <c r="T36" s="9" t="n">
        <f aca="false">IF(AND(ISNUMBER(P36),P36&gt;0),P36*EXP('Read me'!$B$22),"")</f>
        <v>41.6578776533815</v>
      </c>
    </row>
    <row r="37" customFormat="false" ht="15" hidden="false" customHeight="false" outlineLevel="0" collapsed="false">
      <c r="A37" s="11" t="s">
        <v>101</v>
      </c>
      <c r="B37" s="11" t="s">
        <v>49</v>
      </c>
      <c r="C37" s="11" t="s">
        <v>102</v>
      </c>
      <c r="D37" s="11"/>
      <c r="E37" s="12" t="n">
        <v>6</v>
      </c>
      <c r="F37" s="11" t="s">
        <v>211</v>
      </c>
      <c r="G37" s="8" t="n">
        <v>12</v>
      </c>
      <c r="H37" s="11" t="s">
        <v>329</v>
      </c>
      <c r="I37" s="11" t="s">
        <v>302</v>
      </c>
      <c r="J37" s="11" t="s">
        <v>330</v>
      </c>
      <c r="K37" s="8" t="n">
        <v>7</v>
      </c>
      <c r="L37" s="8" t="n">
        <v>74</v>
      </c>
      <c r="M37" s="8" t="n">
        <v>3</v>
      </c>
      <c r="N37" s="8" t="n">
        <v>12</v>
      </c>
      <c r="O37" s="8" t="n">
        <v>6</v>
      </c>
      <c r="P37" s="9" t="n">
        <v>35.7273123149223</v>
      </c>
      <c r="Q37" s="10" t="n">
        <v>0.0279897908688286</v>
      </c>
      <c r="R37" s="9" t="n">
        <v>21</v>
      </c>
      <c r="S37" s="13" t="n">
        <f aca="false">IF(AND(ISNUMBER(R37),R37&gt;1,P37&gt;0),R37/P37-1,"")</f>
        <v>-0.412214391754599</v>
      </c>
      <c r="T37" s="9" t="n">
        <f aca="false">IF(AND(ISNUMBER(P37),P37&gt;0),P37*EXP('Read me'!$B$22),"")</f>
        <v>43.6374378030959</v>
      </c>
    </row>
    <row r="38" customFormat="false" ht="15" hidden="false" customHeight="false" outlineLevel="0" collapsed="false">
      <c r="A38" s="11" t="s">
        <v>101</v>
      </c>
      <c r="B38" s="11" t="s">
        <v>49</v>
      </c>
      <c r="C38" s="11" t="s">
        <v>102</v>
      </c>
      <c r="D38" s="11"/>
      <c r="E38" s="12" t="n">
        <v>6</v>
      </c>
      <c r="F38" s="11" t="s">
        <v>211</v>
      </c>
      <c r="G38" s="8" t="n">
        <v>12</v>
      </c>
      <c r="H38" s="11" t="s">
        <v>331</v>
      </c>
      <c r="I38" s="11" t="s">
        <v>332</v>
      </c>
      <c r="J38" s="11" t="s">
        <v>240</v>
      </c>
      <c r="K38" s="8" t="n">
        <v>2</v>
      </c>
      <c r="L38" s="8" t="n">
        <v>57</v>
      </c>
      <c r="M38" s="8" t="n">
        <v>3</v>
      </c>
      <c r="N38" s="8" t="n">
        <v>36</v>
      </c>
      <c r="O38" s="8" t="n">
        <v>7</v>
      </c>
      <c r="P38" s="9" t="n">
        <v>40.7913348770997</v>
      </c>
      <c r="Q38" s="10" t="n">
        <v>0.0245150104308403</v>
      </c>
      <c r="R38" s="9" t="n">
        <v>23</v>
      </c>
      <c r="S38" s="13" t="n">
        <f aca="false">IF(AND(ISNUMBER(R38),R38&gt;1,P38&gt;0),R38/P38-1,"")</f>
        <v>-0.436154760090672</v>
      </c>
      <c r="T38" s="9" t="n">
        <f aca="false">IF(AND(ISNUMBER(P38),P38&gt;0),P38*EXP('Read me'!$B$22),"")</f>
        <v>49.8226489279247</v>
      </c>
    </row>
    <row r="39" customFormat="false" ht="15" hidden="false" customHeight="false" outlineLevel="0" collapsed="false">
      <c r="A39" s="11" t="s">
        <v>101</v>
      </c>
      <c r="B39" s="11" t="s">
        <v>49</v>
      </c>
      <c r="C39" s="11" t="s">
        <v>102</v>
      </c>
      <c r="D39" s="11"/>
      <c r="E39" s="12" t="n">
        <v>6</v>
      </c>
      <c r="F39" s="11" t="s">
        <v>211</v>
      </c>
      <c r="G39" s="8" t="n">
        <v>12</v>
      </c>
      <c r="H39" s="11" t="s">
        <v>333</v>
      </c>
      <c r="I39" s="11" t="s">
        <v>223</v>
      </c>
      <c r="J39" s="11" t="s">
        <v>334</v>
      </c>
      <c r="K39" s="8" t="n">
        <v>4</v>
      </c>
      <c r="L39" s="8" t="n">
        <v>0</v>
      </c>
      <c r="M39" s="8" t="n">
        <v>3</v>
      </c>
      <c r="N39" s="8" t="n">
        <v>26</v>
      </c>
      <c r="O39" s="8" t="n">
        <v>8</v>
      </c>
      <c r="P39" s="9" t="n">
        <v>107.156096396147</v>
      </c>
      <c r="Q39" s="10" t="n">
        <v>0.0093321801897587</v>
      </c>
      <c r="R39" s="9" t="n">
        <v>34</v>
      </c>
      <c r="S39" s="13" t="n">
        <f aca="false">IF(AND(ISNUMBER(R39),R39&gt;1,P39&gt;0),R39/P39-1,"")</f>
        <v>-0.682705873548203</v>
      </c>
      <c r="T39" s="9" t="n">
        <f aca="false">IF(AND(ISNUMBER(P39),P39&gt;0),P39*EXP('Read me'!$B$22),"")</f>
        <v>130.880751691931</v>
      </c>
    </row>
    <row r="40" customFormat="false" ht="15" hidden="false" customHeight="false" outlineLevel="0" collapsed="false">
      <c r="A40" s="11" t="s">
        <v>101</v>
      </c>
      <c r="B40" s="11" t="s">
        <v>49</v>
      </c>
      <c r="C40" s="11" t="s">
        <v>102</v>
      </c>
      <c r="D40" s="11"/>
      <c r="E40" s="12" t="n">
        <v>6</v>
      </c>
      <c r="F40" s="11" t="s">
        <v>211</v>
      </c>
      <c r="G40" s="8" t="n">
        <v>12</v>
      </c>
      <c r="H40" s="11" t="s">
        <v>335</v>
      </c>
      <c r="I40" s="11" t="s">
        <v>236</v>
      </c>
      <c r="J40" s="11" t="s">
        <v>336</v>
      </c>
      <c r="K40" s="8" t="n">
        <v>10</v>
      </c>
      <c r="L40" s="8" t="n">
        <v>0</v>
      </c>
      <c r="M40" s="8" t="n">
        <v>3</v>
      </c>
      <c r="N40" s="8" t="n">
        <v>23</v>
      </c>
      <c r="O40" s="8" t="n">
        <v>9</v>
      </c>
      <c r="P40" s="9" t="n">
        <v>265.763755271572</v>
      </c>
      <c r="Q40" s="10" t="n">
        <v>0.0037627403292</v>
      </c>
      <c r="R40" s="9" t="n">
        <v>41</v>
      </c>
      <c r="S40" s="13" t="n">
        <f aca="false">IF(AND(ISNUMBER(R40),R40&gt;1,P40&gt;0),R40/P40-1,"")</f>
        <v>-0.845727646502797</v>
      </c>
      <c r="T40" s="9" t="n">
        <f aca="false">IF(AND(ISNUMBER(P40),P40&gt;0),P40*EXP('Read me'!$B$22),"")</f>
        <v>324.604583707702</v>
      </c>
    </row>
    <row r="41" customFormat="false" ht="15" hidden="false" customHeight="false" outlineLevel="0" collapsed="false">
      <c r="A41" s="11" t="s">
        <v>101</v>
      </c>
      <c r="B41" s="11" t="s">
        <v>49</v>
      </c>
      <c r="C41" s="11" t="s">
        <v>102</v>
      </c>
      <c r="D41" s="11"/>
      <c r="E41" s="12" t="n">
        <v>6</v>
      </c>
      <c r="F41" s="11" t="s">
        <v>211</v>
      </c>
      <c r="G41" s="8" t="n">
        <v>12</v>
      </c>
      <c r="H41" s="11" t="s">
        <v>337</v>
      </c>
      <c r="I41" s="11" t="s">
        <v>338</v>
      </c>
      <c r="J41" s="11" t="s">
        <v>339</v>
      </c>
      <c r="K41" s="8" t="n">
        <v>3</v>
      </c>
      <c r="L41" s="8" t="n">
        <v>0</v>
      </c>
      <c r="M41" s="8" t="n">
        <v>3</v>
      </c>
      <c r="N41" s="8" t="n">
        <v>28</v>
      </c>
      <c r="O41" s="8" t="n">
        <v>10</v>
      </c>
      <c r="P41" s="9" t="n">
        <v>386.814828220755</v>
      </c>
      <c r="Q41" s="10" t="n">
        <v>0.0025852163025903</v>
      </c>
      <c r="R41" s="9" t="n">
        <v>126</v>
      </c>
      <c r="S41" s="13" t="n">
        <f aca="false">IF(AND(ISNUMBER(R41),R41&gt;1,P41&gt;0),R41/P41-1,"")</f>
        <v>-0.67426274587361</v>
      </c>
      <c r="T41" s="9" t="n">
        <f aca="false">IF(AND(ISNUMBER(P41),P41&gt;0),P41*EXP('Read me'!$B$22),"")</f>
        <v>472.456698086082</v>
      </c>
    </row>
    <row r="42" customFormat="false" ht="15" hidden="false" customHeight="false" outlineLevel="0" collapsed="false">
      <c r="A42" s="11" t="s">
        <v>101</v>
      </c>
      <c r="B42" s="11" t="s">
        <v>49</v>
      </c>
      <c r="C42" s="11" t="s">
        <v>102</v>
      </c>
      <c r="D42" s="11"/>
      <c r="E42" s="12" t="n">
        <v>6</v>
      </c>
      <c r="F42" s="11" t="s">
        <v>211</v>
      </c>
      <c r="G42" s="8" t="n">
        <v>12</v>
      </c>
      <c r="H42" s="11" t="s">
        <v>340</v>
      </c>
      <c r="I42" s="11" t="s">
        <v>341</v>
      </c>
      <c r="J42" s="11" t="s">
        <v>342</v>
      </c>
      <c r="K42" s="8" t="n">
        <v>14</v>
      </c>
      <c r="L42" s="8" t="n">
        <v>0</v>
      </c>
      <c r="M42" s="8" t="n">
        <v>5</v>
      </c>
      <c r="N42" s="8" t="n">
        <v>18</v>
      </c>
      <c r="O42" s="8" t="n">
        <v>11</v>
      </c>
      <c r="P42" s="9" t="n">
        <v>573.555316748356</v>
      </c>
      <c r="Q42" s="10" t="n">
        <v>0.0017435109932713</v>
      </c>
      <c r="R42" s="9" t="n">
        <v>126</v>
      </c>
      <c r="S42" s="13" t="n">
        <f aca="false">IF(AND(ISNUMBER(R42),R42&gt;1,P42&gt;0),R42/P42-1,"")</f>
        <v>-0.780317614847808</v>
      </c>
      <c r="T42" s="9" t="n">
        <f aca="false">IF(AND(ISNUMBER(P42),P42&gt;0),P42*EXP('Read me'!$B$22),"")</f>
        <v>700.542045833872</v>
      </c>
    </row>
    <row r="43" customFormat="false" ht="15" hidden="false" customHeight="false" outlineLevel="0" collapsed="false">
      <c r="A43" s="11" t="s">
        <v>101</v>
      </c>
      <c r="B43" s="11" t="s">
        <v>49</v>
      </c>
      <c r="C43" s="11" t="s">
        <v>102</v>
      </c>
      <c r="D43" s="11"/>
      <c r="E43" s="12" t="n">
        <v>6</v>
      </c>
      <c r="F43" s="11" t="s">
        <v>211</v>
      </c>
      <c r="G43" s="8" t="n">
        <v>12</v>
      </c>
      <c r="H43" s="11" t="s">
        <v>343</v>
      </c>
      <c r="I43" s="11" t="s">
        <v>344</v>
      </c>
      <c r="J43" s="11" t="s">
        <v>345</v>
      </c>
      <c r="K43" s="8" t="n">
        <v>8</v>
      </c>
      <c r="L43" s="8" t="n">
        <v>0</v>
      </c>
      <c r="M43" s="8" t="n">
        <v>5</v>
      </c>
      <c r="N43" s="8" t="n">
        <v>793</v>
      </c>
      <c r="O43" s="8" t="n">
        <v>12</v>
      </c>
      <c r="P43" s="9" t="n">
        <v>715.853249028585</v>
      </c>
      <c r="Q43" s="10" t="n">
        <v>0.0013969343596009</v>
      </c>
      <c r="R43" s="9" t="n">
        <v>126</v>
      </c>
      <c r="S43" s="13" t="n">
        <f aca="false">IF(AND(ISNUMBER(R43),R43&gt;1,P43&gt;0),R43/P43-1,"")</f>
        <v>-0.823986270690281</v>
      </c>
      <c r="T43" s="9" t="n">
        <f aca="false">IF(AND(ISNUMBER(P43),P43&gt;0),P43*EXP('Read me'!$B$22),"")</f>
        <v>874.345132801433</v>
      </c>
    </row>
    <row r="44" customFormat="false" ht="15" hidden="false" customHeight="false" outlineLevel="0" collapsed="false">
      <c r="A44" s="11" t="s">
        <v>118</v>
      </c>
      <c r="B44" s="11" t="s">
        <v>49</v>
      </c>
      <c r="C44" s="11" t="s">
        <v>119</v>
      </c>
      <c r="D44" s="11"/>
      <c r="E44" s="12" t="n">
        <v>7</v>
      </c>
      <c r="F44" s="11" t="s">
        <v>211</v>
      </c>
      <c r="G44" s="8" t="n">
        <v>8</v>
      </c>
      <c r="H44" s="11" t="s">
        <v>120</v>
      </c>
      <c r="I44" s="11" t="s">
        <v>121</v>
      </c>
      <c r="J44" s="11" t="s">
        <v>122</v>
      </c>
      <c r="K44" s="8" t="n">
        <v>8</v>
      </c>
      <c r="L44" s="8" t="n">
        <v>0</v>
      </c>
      <c r="M44" s="8" t="n">
        <v>2</v>
      </c>
      <c r="N44" s="8" t="n">
        <v>26</v>
      </c>
      <c r="O44" s="8" t="n">
        <v>1</v>
      </c>
      <c r="P44" s="9" t="n">
        <v>3.63098387100118</v>
      </c>
      <c r="Q44" s="10" t="n">
        <v>0.275407447547893</v>
      </c>
      <c r="R44" s="9" t="n">
        <v>2.5</v>
      </c>
      <c r="S44" s="13" t="n">
        <f aca="false">IF(AND(ISNUMBER(R44),R44&gt;1,P44&gt;0),R44/P44-1,"")</f>
        <v>-0.311481381130269</v>
      </c>
      <c r="T44" s="9" t="n">
        <f aca="false">IF(AND(ISNUMBER(P44),P44&gt;0),P44*EXP('Read me'!$B$22),"")</f>
        <v>4.43489371487593</v>
      </c>
    </row>
    <row r="45" customFormat="false" ht="15" hidden="false" customHeight="false" outlineLevel="0" collapsed="false">
      <c r="A45" s="11" t="s">
        <v>118</v>
      </c>
      <c r="B45" s="11" t="s">
        <v>49</v>
      </c>
      <c r="C45" s="11" t="s">
        <v>119</v>
      </c>
      <c r="D45" s="11"/>
      <c r="E45" s="12" t="n">
        <v>7</v>
      </c>
      <c r="F45" s="11" t="s">
        <v>211</v>
      </c>
      <c r="G45" s="8" t="n">
        <v>8</v>
      </c>
      <c r="H45" s="11" t="s">
        <v>123</v>
      </c>
      <c r="I45" s="11" t="s">
        <v>272</v>
      </c>
      <c r="J45" s="11" t="s">
        <v>280</v>
      </c>
      <c r="K45" s="8" t="n">
        <v>5</v>
      </c>
      <c r="L45" s="8" t="n">
        <v>95</v>
      </c>
      <c r="M45" s="8" t="n">
        <v>2</v>
      </c>
      <c r="N45" s="8" t="n">
        <v>29</v>
      </c>
      <c r="O45" s="8" t="n">
        <v>2</v>
      </c>
      <c r="P45" s="9" t="n">
        <v>3.8856511929277</v>
      </c>
      <c r="Q45" s="10" t="n">
        <v>0.257357119913415</v>
      </c>
      <c r="R45" s="9" t="n">
        <v>4.33333333333333</v>
      </c>
      <c r="S45" s="13" t="n">
        <f aca="false">IF(AND(ISNUMBER(R45),R45&gt;1,P45&gt;0),R45/P45-1,"")</f>
        <v>0.115214186291466</v>
      </c>
      <c r="T45" s="9" t="n">
        <f aca="false">IF(AND(ISNUMBER(P45),P45&gt;0),P45*EXP('Read me'!$B$22),"")</f>
        <v>4.74594508429025</v>
      </c>
    </row>
    <row r="46" customFormat="false" ht="15" hidden="false" customHeight="false" outlineLevel="0" collapsed="false">
      <c r="A46" s="11" t="s">
        <v>118</v>
      </c>
      <c r="B46" s="11" t="s">
        <v>49</v>
      </c>
      <c r="C46" s="11" t="s">
        <v>119</v>
      </c>
      <c r="D46" s="11"/>
      <c r="E46" s="12" t="n">
        <v>7</v>
      </c>
      <c r="F46" s="11" t="s">
        <v>211</v>
      </c>
      <c r="G46" s="8" t="n">
        <v>8</v>
      </c>
      <c r="H46" s="11" t="s">
        <v>381</v>
      </c>
      <c r="I46" s="11" t="s">
        <v>215</v>
      </c>
      <c r="J46" s="11" t="s">
        <v>382</v>
      </c>
      <c r="K46" s="8" t="n">
        <v>6</v>
      </c>
      <c r="L46" s="8" t="n">
        <v>90</v>
      </c>
      <c r="M46" s="8" t="n">
        <v>2</v>
      </c>
      <c r="N46" s="8" t="n">
        <v>18</v>
      </c>
      <c r="O46" s="8" t="n">
        <v>3</v>
      </c>
      <c r="P46" s="9" t="n">
        <v>5.18230783750469</v>
      </c>
      <c r="Q46" s="10" t="n">
        <v>0.192964221994482</v>
      </c>
      <c r="R46" s="9" t="n">
        <v>3.25</v>
      </c>
      <c r="S46" s="13" t="n">
        <f aca="false">IF(AND(ISNUMBER(R46),R46&gt;1,P46&gt;0),R46/P46-1,"")</f>
        <v>-0.372866278517932</v>
      </c>
      <c r="T46" s="9" t="n">
        <f aca="false">IF(AND(ISNUMBER(P46),P46&gt;0),P46*EXP('Read me'!$B$22),"")</f>
        <v>6.32968508636329</v>
      </c>
    </row>
    <row r="47" customFormat="false" ht="15" hidden="false" customHeight="false" outlineLevel="0" collapsed="false">
      <c r="A47" s="11" t="s">
        <v>118</v>
      </c>
      <c r="B47" s="11" t="s">
        <v>49</v>
      </c>
      <c r="C47" s="11" t="s">
        <v>119</v>
      </c>
      <c r="D47" s="11"/>
      <c r="E47" s="12" t="n">
        <v>7</v>
      </c>
      <c r="F47" s="11" t="s">
        <v>211</v>
      </c>
      <c r="G47" s="8" t="n">
        <v>8</v>
      </c>
      <c r="H47" s="11" t="s">
        <v>383</v>
      </c>
      <c r="I47" s="11" t="s">
        <v>52</v>
      </c>
      <c r="J47" s="11" t="s">
        <v>53</v>
      </c>
      <c r="K47" s="8" t="n">
        <v>3</v>
      </c>
      <c r="L47" s="8" t="n">
        <v>0</v>
      </c>
      <c r="M47" s="8" t="n">
        <v>2</v>
      </c>
      <c r="N47" s="8" t="n">
        <v>35</v>
      </c>
      <c r="O47" s="8" t="n">
        <v>4</v>
      </c>
      <c r="P47" s="9" t="n">
        <v>8.28840256112895</v>
      </c>
      <c r="Q47" s="10" t="n">
        <v>0.120650510472285</v>
      </c>
      <c r="R47" s="9" t="n">
        <v>15</v>
      </c>
      <c r="S47" s="13" t="n">
        <f aca="false">IF(AND(ISNUMBER(R47),R47&gt;1,P47&gt;0),R47/P47-1,"")</f>
        <v>0.809757657084272</v>
      </c>
      <c r="T47" s="9" t="n">
        <f aca="false">IF(AND(ISNUMBER(P47),P47&gt;0),P47*EXP('Read me'!$B$22),"")</f>
        <v>10.1234777489047</v>
      </c>
    </row>
    <row r="48" customFormat="false" ht="15" hidden="false" customHeight="false" outlineLevel="0" collapsed="false">
      <c r="A48" s="11" t="s">
        <v>118</v>
      </c>
      <c r="B48" s="11" t="s">
        <v>49</v>
      </c>
      <c r="C48" s="11" t="s">
        <v>119</v>
      </c>
      <c r="D48" s="11"/>
      <c r="E48" s="12" t="n">
        <v>7</v>
      </c>
      <c r="F48" s="11" t="s">
        <v>211</v>
      </c>
      <c r="G48" s="8" t="n">
        <v>8</v>
      </c>
      <c r="H48" s="11" t="s">
        <v>384</v>
      </c>
      <c r="I48" s="11" t="s">
        <v>139</v>
      </c>
      <c r="J48" s="11" t="s">
        <v>140</v>
      </c>
      <c r="K48" s="8" t="n">
        <v>4</v>
      </c>
      <c r="L48" s="8" t="n">
        <v>0</v>
      </c>
      <c r="M48" s="8" t="n">
        <v>2</v>
      </c>
      <c r="N48" s="8" t="n">
        <v>9</v>
      </c>
      <c r="O48" s="8" t="n">
        <v>5</v>
      </c>
      <c r="P48" s="9" t="n">
        <v>14.8276540136485</v>
      </c>
      <c r="Q48" s="10" t="n">
        <v>0.0674415520539878</v>
      </c>
      <c r="R48" s="9" t="n">
        <v>17</v>
      </c>
      <c r="S48" s="13" t="n">
        <f aca="false">IF(AND(ISNUMBER(R48),R48&gt;1,P48&gt;0),R48/P48-1,"")</f>
        <v>0.146506384917794</v>
      </c>
      <c r="T48" s="9" t="n">
        <f aca="false">IF(AND(ISNUMBER(P48),P48&gt;0),P48*EXP('Read me'!$B$22),"")</f>
        <v>18.110537509315</v>
      </c>
    </row>
    <row r="49" customFormat="false" ht="15" hidden="false" customHeight="false" outlineLevel="0" collapsed="false">
      <c r="A49" s="11" t="s">
        <v>118</v>
      </c>
      <c r="B49" s="11" t="s">
        <v>49</v>
      </c>
      <c r="C49" s="11" t="s">
        <v>119</v>
      </c>
      <c r="D49" s="11"/>
      <c r="E49" s="12" t="n">
        <v>7</v>
      </c>
      <c r="F49" s="11" t="s">
        <v>211</v>
      </c>
      <c r="G49" s="8" t="n">
        <v>8</v>
      </c>
      <c r="H49" s="11" t="s">
        <v>385</v>
      </c>
      <c r="I49" s="11" t="s">
        <v>386</v>
      </c>
      <c r="J49" s="11" t="s">
        <v>232</v>
      </c>
      <c r="K49" s="8" t="n">
        <v>7</v>
      </c>
      <c r="L49" s="8" t="n">
        <v>85</v>
      </c>
      <c r="M49" s="8" t="n">
        <v>2</v>
      </c>
      <c r="N49" s="8" t="n">
        <v>15</v>
      </c>
      <c r="O49" s="8" t="n">
        <v>6</v>
      </c>
      <c r="P49" s="9" t="n">
        <v>28.2773747654546</v>
      </c>
      <c r="Q49" s="10" t="n">
        <v>0.0353639617642887</v>
      </c>
      <c r="R49" s="9" t="n">
        <v>41</v>
      </c>
      <c r="S49" s="13" t="n">
        <f aca="false">IF(AND(ISNUMBER(R49),R49&gt;1,P49&gt;0),R49/P49-1,"")</f>
        <v>0.44992243233584</v>
      </c>
      <c r="T49" s="9" t="n">
        <f aca="false">IF(AND(ISNUMBER(P49),P49&gt;0),P49*EXP('Read me'!$B$22),"")</f>
        <v>34.538063532055</v>
      </c>
    </row>
    <row r="50" customFormat="false" ht="15" hidden="false" customHeight="false" outlineLevel="0" collapsed="false">
      <c r="A50" s="11" t="s">
        <v>118</v>
      </c>
      <c r="B50" s="11" t="s">
        <v>49</v>
      </c>
      <c r="C50" s="11" t="s">
        <v>119</v>
      </c>
      <c r="D50" s="11"/>
      <c r="E50" s="12" t="n">
        <v>7</v>
      </c>
      <c r="F50" s="11" t="s">
        <v>211</v>
      </c>
      <c r="G50" s="8" t="n">
        <v>8</v>
      </c>
      <c r="H50" s="11" t="s">
        <v>387</v>
      </c>
      <c r="I50" s="11" t="s">
        <v>234</v>
      </c>
      <c r="J50" s="11" t="s">
        <v>294</v>
      </c>
      <c r="K50" s="8" t="n">
        <v>1</v>
      </c>
      <c r="L50" s="8" t="n">
        <v>92</v>
      </c>
      <c r="M50" s="8" t="n">
        <v>2</v>
      </c>
      <c r="N50" s="8" t="n">
        <v>29</v>
      </c>
      <c r="O50" s="8" t="n">
        <v>7</v>
      </c>
      <c r="P50" s="9" t="n">
        <v>32.7329992349234</v>
      </c>
      <c r="Q50" s="10" t="n">
        <v>0.0305502099829912</v>
      </c>
      <c r="R50" s="9" t="n">
        <v>34</v>
      </c>
      <c r="S50" s="13" t="n">
        <f aca="false">IF(AND(ISNUMBER(R50),R50&gt;1,P50&gt;0),R50/P50-1,"")</f>
        <v>0.0387071394217018</v>
      </c>
      <c r="T50" s="9" t="n">
        <f aca="false">IF(AND(ISNUMBER(P50),P50&gt;0),P50*EXP('Read me'!$B$22),"")</f>
        <v>39.9801755483901</v>
      </c>
    </row>
    <row r="51" customFormat="false" ht="15" hidden="false" customHeight="false" outlineLevel="0" collapsed="false">
      <c r="A51" s="11" t="s">
        <v>118</v>
      </c>
      <c r="B51" s="11" t="s">
        <v>49</v>
      </c>
      <c r="C51" s="11" t="s">
        <v>119</v>
      </c>
      <c r="D51" s="11"/>
      <c r="E51" s="12" t="n">
        <v>7</v>
      </c>
      <c r="F51" s="11" t="s">
        <v>211</v>
      </c>
      <c r="G51" s="8" t="n">
        <v>8</v>
      </c>
      <c r="H51" s="11" t="s">
        <v>388</v>
      </c>
      <c r="I51" s="11" t="s">
        <v>302</v>
      </c>
      <c r="J51" s="11" t="s">
        <v>389</v>
      </c>
      <c r="K51" s="8" t="n">
        <v>2</v>
      </c>
      <c r="L51" s="8" t="n">
        <v>79</v>
      </c>
      <c r="M51" s="8" t="n">
        <v>2</v>
      </c>
      <c r="N51" s="8" t="n">
        <v>14</v>
      </c>
      <c r="O51" s="8" t="n">
        <v>8</v>
      </c>
      <c r="P51" s="9" t="n">
        <v>49.3462211178582</v>
      </c>
      <c r="Q51" s="10" t="n">
        <v>0.0202649762706572</v>
      </c>
      <c r="R51" s="9" t="n">
        <v>81</v>
      </c>
      <c r="S51" s="13" t="n">
        <f aca="false">IF(AND(ISNUMBER(R51),R51&gt;1,P51&gt;0),R51/P51-1,"")</f>
        <v>0.641463077923234</v>
      </c>
      <c r="T51" s="9" t="n">
        <f aca="false">IF(AND(ISNUMBER(P51),P51&gt;0),P51*EXP('Read me'!$B$22),"")</f>
        <v>60.2716105781336</v>
      </c>
    </row>
    <row r="52" customFormat="false" ht="15" hidden="false" customHeight="false" outlineLevel="0" collapsed="false">
      <c r="A52" s="11" t="s">
        <v>136</v>
      </c>
      <c r="B52" s="11" t="s">
        <v>49</v>
      </c>
      <c r="C52" s="11" t="s">
        <v>137</v>
      </c>
      <c r="D52" s="11"/>
      <c r="E52" s="12" t="n">
        <v>17</v>
      </c>
      <c r="F52" s="11" t="s">
        <v>211</v>
      </c>
      <c r="G52" s="8" t="n">
        <v>30</v>
      </c>
      <c r="H52" s="11" t="s">
        <v>138</v>
      </c>
      <c r="I52" s="11" t="s">
        <v>139</v>
      </c>
      <c r="J52" s="11" t="s">
        <v>140</v>
      </c>
      <c r="K52" s="8" t="n">
        <v>2</v>
      </c>
      <c r="L52" s="8" t="n">
        <v>93</v>
      </c>
      <c r="M52" s="8" t="n">
        <v>5</v>
      </c>
      <c r="N52" s="8" t="n">
        <v>14</v>
      </c>
      <c r="O52" s="8" t="n">
        <v>1</v>
      </c>
      <c r="P52" s="9" t="n">
        <v>10.2734026629009</v>
      </c>
      <c r="Q52" s="10" t="n">
        <v>0.0973387331162615</v>
      </c>
      <c r="R52" s="9" t="n">
        <v>6</v>
      </c>
      <c r="S52" s="13" t="n">
        <f aca="false">IF(AND(ISNUMBER(R52),R52&gt;1,P52&gt;0),R52/P52-1,"")</f>
        <v>-0.415967601302431</v>
      </c>
      <c r="T52" s="9" t="n">
        <f aca="false">IF(AND(ISNUMBER(P52),P52&gt;0),P52*EXP('Read me'!$B$22),"")</f>
        <v>12.5479623481572</v>
      </c>
    </row>
    <row r="53" customFormat="false" ht="15" hidden="false" customHeight="false" outlineLevel="0" collapsed="false">
      <c r="A53" s="11" t="s">
        <v>136</v>
      </c>
      <c r="B53" s="11" t="s">
        <v>49</v>
      </c>
      <c r="C53" s="11" t="s">
        <v>137</v>
      </c>
      <c r="D53" s="11"/>
      <c r="E53" s="12" t="n">
        <v>17</v>
      </c>
      <c r="F53" s="11" t="s">
        <v>211</v>
      </c>
      <c r="G53" s="8" t="n">
        <v>30</v>
      </c>
      <c r="H53" s="11" t="s">
        <v>141</v>
      </c>
      <c r="I53" s="11" t="s">
        <v>215</v>
      </c>
      <c r="J53" s="11" t="s">
        <v>407</v>
      </c>
      <c r="K53" s="8" t="n">
        <v>18</v>
      </c>
      <c r="L53" s="8" t="n">
        <v>103</v>
      </c>
      <c r="M53" s="8" t="n">
        <v>5</v>
      </c>
      <c r="N53" s="8" t="n">
        <v>15</v>
      </c>
      <c r="O53" s="8" t="n">
        <v>2</v>
      </c>
      <c r="P53" s="9" t="n">
        <v>12.9447406840604</v>
      </c>
      <c r="Q53" s="10" t="n">
        <v>0.0772514509488285</v>
      </c>
      <c r="R53" s="9" t="n">
        <v>6</v>
      </c>
      <c r="S53" s="13" t="n">
        <f aca="false">IF(AND(ISNUMBER(R53),R53&gt;1,P53&gt;0),R53/P53-1,"")</f>
        <v>-0.536491294307029</v>
      </c>
      <c r="T53" s="9" t="n">
        <f aca="false">IF(AND(ISNUMBER(P53),P53&gt;0),P53*EXP('Read me'!$B$22),"")</f>
        <v>15.8107419751796</v>
      </c>
    </row>
    <row r="54" customFormat="false" ht="15" hidden="false" customHeight="false" outlineLevel="0" collapsed="false">
      <c r="A54" s="11" t="s">
        <v>136</v>
      </c>
      <c r="B54" s="11" t="s">
        <v>49</v>
      </c>
      <c r="C54" s="11" t="s">
        <v>137</v>
      </c>
      <c r="D54" s="11"/>
      <c r="E54" s="12" t="n">
        <v>17</v>
      </c>
      <c r="F54" s="11" t="s">
        <v>211</v>
      </c>
      <c r="G54" s="8" t="n">
        <v>30</v>
      </c>
      <c r="H54" s="11" t="s">
        <v>408</v>
      </c>
      <c r="I54" s="11" t="s">
        <v>52</v>
      </c>
      <c r="J54" s="11" t="s">
        <v>53</v>
      </c>
      <c r="K54" s="8" t="n">
        <v>6</v>
      </c>
      <c r="L54" s="8" t="n">
        <v>101</v>
      </c>
      <c r="M54" s="8" t="n">
        <v>3</v>
      </c>
      <c r="N54" s="8" t="n">
        <v>35</v>
      </c>
      <c r="O54" s="8" t="n">
        <v>3</v>
      </c>
      <c r="P54" s="9" t="n">
        <v>16.1728068455928</v>
      </c>
      <c r="Q54" s="10" t="n">
        <v>0.0618321859370073</v>
      </c>
      <c r="R54" s="9" t="n">
        <v>13</v>
      </c>
      <c r="S54" s="13" t="n">
        <f aca="false">IF(AND(ISNUMBER(R54),R54&gt;1,P54&gt;0),R54/P54-1,"")</f>
        <v>-0.196181582818905</v>
      </c>
      <c r="T54" s="9" t="n">
        <f aca="false">IF(AND(ISNUMBER(P54),P54&gt;0),P54*EXP('Read me'!$B$22),"")</f>
        <v>19.7535108883987</v>
      </c>
    </row>
    <row r="55" customFormat="false" ht="15" hidden="false" customHeight="false" outlineLevel="0" collapsed="false">
      <c r="A55" s="11" t="s">
        <v>136</v>
      </c>
      <c r="B55" s="11" t="s">
        <v>49</v>
      </c>
      <c r="C55" s="11" t="s">
        <v>137</v>
      </c>
      <c r="D55" s="11"/>
      <c r="E55" s="12" t="n">
        <v>17</v>
      </c>
      <c r="F55" s="11" t="s">
        <v>211</v>
      </c>
      <c r="G55" s="8" t="n">
        <v>30</v>
      </c>
      <c r="H55" s="11" t="s">
        <v>409</v>
      </c>
      <c r="I55" s="11" t="s">
        <v>283</v>
      </c>
      <c r="J55" s="11" t="s">
        <v>216</v>
      </c>
      <c r="K55" s="8" t="n">
        <v>12</v>
      </c>
      <c r="L55" s="8" t="n">
        <v>94</v>
      </c>
      <c r="M55" s="8" t="n">
        <v>5</v>
      </c>
      <c r="N55" s="8" t="n">
        <v>103</v>
      </c>
      <c r="O55" s="8" t="n">
        <v>4</v>
      </c>
      <c r="P55" s="9" t="n">
        <v>17.678092672389</v>
      </c>
      <c r="Q55" s="10" t="n">
        <v>0.0565671884706135</v>
      </c>
      <c r="R55" s="9" t="n">
        <v>9</v>
      </c>
      <c r="S55" s="13" t="n">
        <f aca="false">IF(AND(ISNUMBER(R55),R55&gt;1,P55&gt;0),R55/P55-1,"")</f>
        <v>-0.490895303764479</v>
      </c>
      <c r="T55" s="9" t="n">
        <f aca="false">IF(AND(ISNUMBER(P55),P55&gt;0),P55*EXP('Read me'!$B$22),"")</f>
        <v>21.592071149067</v>
      </c>
    </row>
    <row r="56" customFormat="false" ht="15" hidden="false" customHeight="false" outlineLevel="0" collapsed="false">
      <c r="A56" s="11" t="s">
        <v>136</v>
      </c>
      <c r="B56" s="11" t="s">
        <v>49</v>
      </c>
      <c r="C56" s="11" t="s">
        <v>137</v>
      </c>
      <c r="D56" s="11"/>
      <c r="E56" s="12" t="n">
        <v>17</v>
      </c>
      <c r="F56" s="11" t="s">
        <v>211</v>
      </c>
      <c r="G56" s="8" t="n">
        <v>30</v>
      </c>
      <c r="H56" s="11" t="s">
        <v>410</v>
      </c>
      <c r="I56" s="11" t="s">
        <v>272</v>
      </c>
      <c r="J56" s="11" t="s">
        <v>411</v>
      </c>
      <c r="K56" s="8" t="n">
        <v>13</v>
      </c>
      <c r="L56" s="8" t="n">
        <v>94</v>
      </c>
      <c r="M56" s="8" t="n">
        <v>5</v>
      </c>
      <c r="N56" s="8" t="n">
        <v>152</v>
      </c>
      <c r="O56" s="8" t="n">
        <v>5</v>
      </c>
      <c r="P56" s="9" t="n">
        <v>18.2129378265884</v>
      </c>
      <c r="Q56" s="10" t="n">
        <v>0.0549060239221889</v>
      </c>
      <c r="R56" s="9" t="n">
        <v>9</v>
      </c>
      <c r="S56" s="13" t="n">
        <f aca="false">IF(AND(ISNUMBER(R56),R56&gt;1,P56&gt;0),R56/P56-1,"")</f>
        <v>-0.5058457847003</v>
      </c>
      <c r="T56" s="9" t="n">
        <f aca="false">IF(AND(ISNUMBER(P56),P56&gt;0),P56*EXP('Read me'!$B$22),"")</f>
        <v>22.2453324955947</v>
      </c>
    </row>
    <row r="57" customFormat="false" ht="15" hidden="false" customHeight="false" outlineLevel="0" collapsed="false">
      <c r="A57" s="11" t="s">
        <v>136</v>
      </c>
      <c r="B57" s="11" t="s">
        <v>49</v>
      </c>
      <c r="C57" s="11" t="s">
        <v>137</v>
      </c>
      <c r="D57" s="11"/>
      <c r="E57" s="12" t="n">
        <v>17</v>
      </c>
      <c r="F57" s="11" t="s">
        <v>211</v>
      </c>
      <c r="G57" s="8" t="n">
        <v>30</v>
      </c>
      <c r="H57" s="11" t="s">
        <v>412</v>
      </c>
      <c r="I57" s="11" t="s">
        <v>231</v>
      </c>
      <c r="J57" s="11" t="s">
        <v>140</v>
      </c>
      <c r="K57" s="8" t="n">
        <v>27</v>
      </c>
      <c r="L57" s="8" t="n">
        <v>89</v>
      </c>
      <c r="M57" s="8" t="n">
        <v>4</v>
      </c>
      <c r="N57" s="8" t="n">
        <v>36</v>
      </c>
      <c r="O57" s="8" t="n">
        <v>6</v>
      </c>
      <c r="P57" s="9" t="n">
        <v>18.7517877595755</v>
      </c>
      <c r="Q57" s="10" t="n">
        <v>0.0533282486353525</v>
      </c>
      <c r="R57" s="9" t="n">
        <v>19</v>
      </c>
      <c r="S57" s="13" t="n">
        <f aca="false">IF(AND(ISNUMBER(R57),R57&gt;1,P57&gt;0),R57/P57-1,"")</f>
        <v>0.0132367240716984</v>
      </c>
      <c r="T57" s="9" t="n">
        <f aca="false">IF(AND(ISNUMBER(P57),P57&gt;0),P57*EXP('Read me'!$B$22),"")</f>
        <v>22.9034852899796</v>
      </c>
    </row>
    <row r="58" customFormat="false" ht="15" hidden="false" customHeight="false" outlineLevel="0" collapsed="false">
      <c r="A58" s="11" t="s">
        <v>136</v>
      </c>
      <c r="B58" s="11" t="s">
        <v>49</v>
      </c>
      <c r="C58" s="11" t="s">
        <v>137</v>
      </c>
      <c r="D58" s="11"/>
      <c r="E58" s="12" t="n">
        <v>17</v>
      </c>
      <c r="F58" s="11" t="s">
        <v>211</v>
      </c>
      <c r="G58" s="8" t="n">
        <v>30</v>
      </c>
      <c r="H58" s="11" t="s">
        <v>413</v>
      </c>
      <c r="I58" s="11" t="s">
        <v>414</v>
      </c>
      <c r="J58" s="11" t="s">
        <v>128</v>
      </c>
      <c r="K58" s="8" t="n">
        <v>5</v>
      </c>
      <c r="L58" s="8" t="n">
        <v>97</v>
      </c>
      <c r="M58" s="8" t="n">
        <v>4</v>
      </c>
      <c r="N58" s="8" t="n">
        <v>58</v>
      </c>
      <c r="O58" s="8" t="n">
        <v>7</v>
      </c>
      <c r="P58" s="9" t="n">
        <v>18.9558771604496</v>
      </c>
      <c r="Q58" s="10" t="n">
        <v>0.0527540873754154</v>
      </c>
      <c r="R58" s="9" t="n">
        <v>11</v>
      </c>
      <c r="S58" s="13" t="n">
        <f aca="false">IF(AND(ISNUMBER(R58),R58&gt;1,P58&gt;0),R58/P58-1,"")</f>
        <v>-0.41970503887043</v>
      </c>
      <c r="T58" s="9" t="n">
        <f aca="false">IF(AND(ISNUMBER(P58),P58&gt;0),P58*EXP('Read me'!$B$22),"")</f>
        <v>23.1527606471185</v>
      </c>
    </row>
    <row r="59" customFormat="false" ht="15" hidden="false" customHeight="false" outlineLevel="0" collapsed="false">
      <c r="A59" s="11" t="s">
        <v>136</v>
      </c>
      <c r="B59" s="11" t="s">
        <v>49</v>
      </c>
      <c r="C59" s="11" t="s">
        <v>137</v>
      </c>
      <c r="D59" s="11"/>
      <c r="E59" s="12" t="n">
        <v>17</v>
      </c>
      <c r="F59" s="11" t="s">
        <v>211</v>
      </c>
      <c r="G59" s="8" t="n">
        <v>30</v>
      </c>
      <c r="H59" s="11" t="s">
        <v>415</v>
      </c>
      <c r="I59" s="11" t="s">
        <v>327</v>
      </c>
      <c r="J59" s="11" t="s">
        <v>416</v>
      </c>
      <c r="K59" s="8" t="n">
        <v>9</v>
      </c>
      <c r="L59" s="8" t="n">
        <v>92</v>
      </c>
      <c r="M59" s="8" t="n">
        <v>5</v>
      </c>
      <c r="N59" s="8" t="n">
        <v>15</v>
      </c>
      <c r="O59" s="8" t="n">
        <v>8</v>
      </c>
      <c r="P59" s="9" t="n">
        <v>23.6307229721084</v>
      </c>
      <c r="Q59" s="10" t="n">
        <v>0.0423177911729704</v>
      </c>
      <c r="R59" s="9" t="n">
        <v>29</v>
      </c>
      <c r="S59" s="13" t="n">
        <f aca="false">IF(AND(ISNUMBER(R59),R59&gt;1,P59&gt;0),R59/P59-1,"")</f>
        <v>0.227215944016142</v>
      </c>
      <c r="T59" s="9" t="n">
        <f aca="false">IF(AND(ISNUMBER(P59),P59&gt;0),P59*EXP('Read me'!$B$22),"")</f>
        <v>28.8626302154521</v>
      </c>
    </row>
    <row r="60" customFormat="false" ht="15" hidden="false" customHeight="false" outlineLevel="0" collapsed="false">
      <c r="A60" s="11" t="s">
        <v>136</v>
      </c>
      <c r="B60" s="11" t="s">
        <v>49</v>
      </c>
      <c r="C60" s="11" t="s">
        <v>137</v>
      </c>
      <c r="D60" s="11"/>
      <c r="E60" s="12" t="n">
        <v>17</v>
      </c>
      <c r="F60" s="11" t="s">
        <v>211</v>
      </c>
      <c r="G60" s="8" t="n">
        <v>30</v>
      </c>
      <c r="H60" s="11" t="s">
        <v>417</v>
      </c>
      <c r="I60" s="11" t="s">
        <v>418</v>
      </c>
      <c r="J60" s="11" t="s">
        <v>140</v>
      </c>
      <c r="K60" s="8" t="n">
        <v>3</v>
      </c>
      <c r="L60" s="8" t="n">
        <v>88</v>
      </c>
      <c r="M60" s="8" t="n">
        <v>5</v>
      </c>
      <c r="N60" s="8" t="n">
        <v>49</v>
      </c>
      <c r="O60" s="8" t="n">
        <v>9</v>
      </c>
      <c r="P60" s="9" t="n">
        <v>25.173199923967</v>
      </c>
      <c r="Q60" s="10" t="n">
        <v>0.03972478679788</v>
      </c>
      <c r="R60" s="9" t="n">
        <v>34</v>
      </c>
      <c r="S60" s="13" t="n">
        <f aca="false">IF(AND(ISNUMBER(R60),R60&gt;1,P60&gt;0),R60/P60-1,"")</f>
        <v>0.350642751127922</v>
      </c>
      <c r="T60" s="9" t="n">
        <f aca="false">IF(AND(ISNUMBER(P60),P60&gt;0),P60*EXP('Read me'!$B$22),"")</f>
        <v>30.7466158188507</v>
      </c>
    </row>
    <row r="61" customFormat="false" ht="15" hidden="false" customHeight="false" outlineLevel="0" collapsed="false">
      <c r="A61" s="11" t="s">
        <v>136</v>
      </c>
      <c r="B61" s="11" t="s">
        <v>49</v>
      </c>
      <c r="C61" s="11" t="s">
        <v>137</v>
      </c>
      <c r="D61" s="11"/>
      <c r="E61" s="12" t="n">
        <v>17</v>
      </c>
      <c r="F61" s="11" t="s">
        <v>211</v>
      </c>
      <c r="G61" s="8" t="n">
        <v>30</v>
      </c>
      <c r="H61" s="11" t="s">
        <v>419</v>
      </c>
      <c r="I61" s="11" t="s">
        <v>324</v>
      </c>
      <c r="J61" s="11" t="s">
        <v>140</v>
      </c>
      <c r="K61" s="8" t="n">
        <v>20</v>
      </c>
      <c r="L61" s="8" t="n">
        <v>89</v>
      </c>
      <c r="M61" s="8" t="n">
        <v>5</v>
      </c>
      <c r="N61" s="8" t="n">
        <v>37</v>
      </c>
      <c r="O61" s="8" t="n">
        <v>10</v>
      </c>
      <c r="P61" s="9" t="n">
        <v>25.558182824285</v>
      </c>
      <c r="Q61" s="10" t="n">
        <v>0.0391264123461006</v>
      </c>
      <c r="R61" s="9" t="n">
        <v>12</v>
      </c>
      <c r="S61" s="13" t="n">
        <f aca="false">IF(AND(ISNUMBER(R61),R61&gt;1,P61&gt;0),R61/P61-1,"")</f>
        <v>-0.530483051846792</v>
      </c>
      <c r="T61" s="9" t="n">
        <f aca="false">IF(AND(ISNUMBER(P61),P61&gt;0),P61*EXP('Read me'!$B$22),"")</f>
        <v>31.2168349951435</v>
      </c>
    </row>
    <row r="62" customFormat="false" ht="15" hidden="false" customHeight="false" outlineLevel="0" collapsed="false">
      <c r="A62" s="11" t="s">
        <v>136</v>
      </c>
      <c r="B62" s="11" t="s">
        <v>49</v>
      </c>
      <c r="C62" s="11" t="s">
        <v>137</v>
      </c>
      <c r="D62" s="11"/>
      <c r="E62" s="12" t="n">
        <v>17</v>
      </c>
      <c r="F62" s="11" t="s">
        <v>211</v>
      </c>
      <c r="G62" s="8" t="n">
        <v>30</v>
      </c>
      <c r="H62" s="11" t="s">
        <v>420</v>
      </c>
      <c r="I62" s="11" t="s">
        <v>223</v>
      </c>
      <c r="J62" s="11" t="s">
        <v>140</v>
      </c>
      <c r="K62" s="8" t="n">
        <v>29</v>
      </c>
      <c r="L62" s="8" t="n">
        <v>92</v>
      </c>
      <c r="M62" s="8" t="n">
        <v>5</v>
      </c>
      <c r="N62" s="8" t="n">
        <v>19</v>
      </c>
      <c r="O62" s="8" t="n">
        <v>11</v>
      </c>
      <c r="P62" s="9" t="n">
        <v>26.1220669207896</v>
      </c>
      <c r="Q62" s="10" t="n">
        <v>0.0382818098978277</v>
      </c>
      <c r="R62" s="9" t="n">
        <v>26</v>
      </c>
      <c r="S62" s="13" t="n">
        <f aca="false">IF(AND(ISNUMBER(R62),R62&gt;1,P62&gt;0),R62/P62-1,"")</f>
        <v>-0.00467294265647911</v>
      </c>
      <c r="T62" s="9" t="n">
        <f aca="false">IF(AND(ISNUMBER(P62),P62&gt;0),P62*EXP('Read me'!$B$22),"")</f>
        <v>31.9055645858969</v>
      </c>
    </row>
    <row r="63" customFormat="false" ht="15" hidden="false" customHeight="false" outlineLevel="0" collapsed="false">
      <c r="A63" s="11" t="s">
        <v>136</v>
      </c>
      <c r="B63" s="11" t="s">
        <v>49</v>
      </c>
      <c r="C63" s="11" t="s">
        <v>137</v>
      </c>
      <c r="D63" s="11"/>
      <c r="E63" s="12" t="n">
        <v>17</v>
      </c>
      <c r="F63" s="11" t="s">
        <v>211</v>
      </c>
      <c r="G63" s="8" t="n">
        <v>30</v>
      </c>
      <c r="H63" s="11" t="s">
        <v>421</v>
      </c>
      <c r="I63" s="11" t="s">
        <v>155</v>
      </c>
      <c r="J63" s="11" t="s">
        <v>407</v>
      </c>
      <c r="K63" s="8" t="n">
        <v>23</v>
      </c>
      <c r="L63" s="8" t="n">
        <v>90</v>
      </c>
      <c r="M63" s="8" t="n">
        <v>7</v>
      </c>
      <c r="N63" s="8" t="n">
        <v>62</v>
      </c>
      <c r="O63" s="8" t="n">
        <v>12</v>
      </c>
      <c r="P63" s="9" t="n">
        <v>27.2466319008634</v>
      </c>
      <c r="Q63" s="10" t="n">
        <v>0.0367017840457672</v>
      </c>
      <c r="R63" s="9" t="n">
        <v>23</v>
      </c>
      <c r="S63" s="13" t="n">
        <f aca="false">IF(AND(ISNUMBER(R63),R63&gt;1,P63&gt;0),R63/P63-1,"")</f>
        <v>-0.155858966947353</v>
      </c>
      <c r="T63" s="9" t="n">
        <f aca="false">IF(AND(ISNUMBER(P63),P63&gt;0),P63*EXP('Read me'!$B$22),"")</f>
        <v>33.2791113542894</v>
      </c>
    </row>
    <row r="64" customFormat="false" ht="15" hidden="false" customHeight="false" outlineLevel="0" collapsed="false">
      <c r="A64" s="11" t="s">
        <v>136</v>
      </c>
      <c r="B64" s="11" t="s">
        <v>49</v>
      </c>
      <c r="C64" s="11" t="s">
        <v>137</v>
      </c>
      <c r="D64" s="11"/>
      <c r="E64" s="12" t="n">
        <v>17</v>
      </c>
      <c r="F64" s="11" t="s">
        <v>211</v>
      </c>
      <c r="G64" s="8" t="n">
        <v>30</v>
      </c>
      <c r="H64" s="11" t="s">
        <v>422</v>
      </c>
      <c r="I64" s="11" t="s">
        <v>228</v>
      </c>
      <c r="J64" s="11" t="s">
        <v>423</v>
      </c>
      <c r="K64" s="8" t="n">
        <v>31</v>
      </c>
      <c r="L64" s="8" t="n">
        <v>100</v>
      </c>
      <c r="M64" s="8" t="n">
        <v>6</v>
      </c>
      <c r="N64" s="8" t="n">
        <v>15</v>
      </c>
      <c r="O64" s="8" t="n">
        <v>13</v>
      </c>
      <c r="P64" s="9" t="n">
        <v>27.8454016493908</v>
      </c>
      <c r="Q64" s="10" t="n">
        <v>0.0359125723015698</v>
      </c>
      <c r="R64" s="9" t="n">
        <v>51</v>
      </c>
      <c r="S64" s="13" t="n">
        <f aca="false">IF(AND(ISNUMBER(R64),R64&gt;1,P64&gt;0),R64/P64-1,"")</f>
        <v>0.831541187380061</v>
      </c>
      <c r="T64" s="9" t="n">
        <f aca="false">IF(AND(ISNUMBER(P64),P64&gt;0),P64*EXP('Read me'!$B$22),"")</f>
        <v>34.0104503766437</v>
      </c>
    </row>
    <row r="65" customFormat="false" ht="15" hidden="false" customHeight="false" outlineLevel="0" collapsed="false">
      <c r="A65" s="11" t="s">
        <v>136</v>
      </c>
      <c r="B65" s="11" t="s">
        <v>49</v>
      </c>
      <c r="C65" s="11" t="s">
        <v>137</v>
      </c>
      <c r="D65" s="11"/>
      <c r="E65" s="12" t="n">
        <v>17</v>
      </c>
      <c r="F65" s="11" t="s">
        <v>211</v>
      </c>
      <c r="G65" s="8" t="n">
        <v>30</v>
      </c>
      <c r="H65" s="11" t="s">
        <v>424</v>
      </c>
      <c r="I65" s="11" t="s">
        <v>121</v>
      </c>
      <c r="J65" s="11" t="s">
        <v>407</v>
      </c>
      <c r="K65" s="8" t="n">
        <v>24</v>
      </c>
      <c r="L65" s="8" t="n">
        <v>96</v>
      </c>
      <c r="M65" s="8" t="n">
        <v>6</v>
      </c>
      <c r="N65" s="8" t="n">
        <v>34</v>
      </c>
      <c r="O65" s="8" t="n">
        <v>14</v>
      </c>
      <c r="P65" s="9" t="n">
        <v>30.2414697501682</v>
      </c>
      <c r="Q65" s="10" t="n">
        <v>0.0330671759098097</v>
      </c>
      <c r="R65" s="9" t="n">
        <v>23</v>
      </c>
      <c r="S65" s="13" t="n">
        <f aca="false">IF(AND(ISNUMBER(R65),R65&gt;1,P65&gt;0),R65/P65-1,"")</f>
        <v>-0.239454954074377</v>
      </c>
      <c r="T65" s="9" t="n">
        <f aca="false">IF(AND(ISNUMBER(P65),P65&gt;0),P65*EXP('Read me'!$B$22),"")</f>
        <v>36.9370145636728</v>
      </c>
    </row>
    <row r="66" customFormat="false" ht="15" hidden="false" customHeight="false" outlineLevel="0" collapsed="false">
      <c r="A66" s="11" t="s">
        <v>136</v>
      </c>
      <c r="B66" s="11" t="s">
        <v>49</v>
      </c>
      <c r="C66" s="11" t="s">
        <v>137</v>
      </c>
      <c r="D66" s="11"/>
      <c r="E66" s="12" t="n">
        <v>17</v>
      </c>
      <c r="F66" s="11" t="s">
        <v>211</v>
      </c>
      <c r="G66" s="8" t="n">
        <v>30</v>
      </c>
      <c r="H66" s="11" t="s">
        <v>425</v>
      </c>
      <c r="I66" s="11" t="s">
        <v>274</v>
      </c>
      <c r="J66" s="11" t="s">
        <v>140</v>
      </c>
      <c r="K66" s="8" t="n">
        <v>15</v>
      </c>
      <c r="L66" s="8" t="n">
        <v>98</v>
      </c>
      <c r="M66" s="8" t="n">
        <v>3</v>
      </c>
      <c r="N66" s="8" t="n">
        <v>99</v>
      </c>
      <c r="O66" s="8" t="n">
        <v>15</v>
      </c>
      <c r="P66" s="9" t="n">
        <v>30.6142013488794</v>
      </c>
      <c r="Q66" s="10" t="n">
        <v>0.0326645790495725</v>
      </c>
      <c r="R66" s="9" t="n">
        <v>21</v>
      </c>
      <c r="S66" s="13" t="n">
        <f aca="false">IF(AND(ISNUMBER(R66),R66&gt;1,P66&gt;0),R66/P66-1,"")</f>
        <v>-0.314043839958977</v>
      </c>
      <c r="T66" s="9" t="n">
        <f aca="false">IF(AND(ISNUMBER(P66),P66&gt;0),P66*EXP('Read me'!$B$22),"")</f>
        <v>37.3922699663921</v>
      </c>
    </row>
    <row r="67" customFormat="false" ht="15" hidden="false" customHeight="false" outlineLevel="0" collapsed="false">
      <c r="A67" s="11" t="s">
        <v>136</v>
      </c>
      <c r="B67" s="11" t="s">
        <v>49</v>
      </c>
      <c r="C67" s="11" t="s">
        <v>137</v>
      </c>
      <c r="D67" s="11"/>
      <c r="E67" s="12" t="n">
        <v>17</v>
      </c>
      <c r="F67" s="11" t="s">
        <v>211</v>
      </c>
      <c r="G67" s="8" t="n">
        <v>30</v>
      </c>
      <c r="H67" s="11" t="s">
        <v>426</v>
      </c>
      <c r="I67" s="11" t="s">
        <v>427</v>
      </c>
      <c r="J67" s="11" t="s">
        <v>428</v>
      </c>
      <c r="K67" s="8" t="n">
        <v>21</v>
      </c>
      <c r="L67" s="8" t="n">
        <v>109</v>
      </c>
      <c r="M67" s="8" t="n">
        <v>8</v>
      </c>
      <c r="N67" s="8" t="n">
        <v>89</v>
      </c>
      <c r="O67" s="8" t="n">
        <v>16</v>
      </c>
      <c r="P67" s="9" t="n">
        <v>31.6600325152808</v>
      </c>
      <c r="Q67" s="10" t="n">
        <v>0.0315855645289482</v>
      </c>
      <c r="R67" s="9" t="n">
        <v>13</v>
      </c>
      <c r="S67" s="13" t="n">
        <f aca="false">IF(AND(ISNUMBER(R67),R67&gt;1,P67&gt;0),R67/P67-1,"")</f>
        <v>-0.589387661123673</v>
      </c>
      <c r="T67" s="9" t="n">
        <f aca="false">IF(AND(ISNUMBER(P67),P67&gt;0),P67*EXP('Read me'!$B$22),"")</f>
        <v>38.6696510376046</v>
      </c>
    </row>
    <row r="68" customFormat="false" ht="15" hidden="false" customHeight="false" outlineLevel="0" collapsed="false">
      <c r="A68" s="11" t="s">
        <v>136</v>
      </c>
      <c r="B68" s="11" t="s">
        <v>49</v>
      </c>
      <c r="C68" s="11" t="s">
        <v>137</v>
      </c>
      <c r="D68" s="11"/>
      <c r="E68" s="12" t="n">
        <v>17</v>
      </c>
      <c r="F68" s="11" t="s">
        <v>211</v>
      </c>
      <c r="G68" s="8" t="n">
        <v>30</v>
      </c>
      <c r="H68" s="11" t="s">
        <v>429</v>
      </c>
      <c r="I68" s="11" t="s">
        <v>218</v>
      </c>
      <c r="J68" s="11" t="s">
        <v>140</v>
      </c>
      <c r="K68" s="8" t="n">
        <v>1</v>
      </c>
      <c r="L68" s="8" t="n">
        <v>104</v>
      </c>
      <c r="M68" s="8" t="n">
        <v>8</v>
      </c>
      <c r="N68" s="8" t="n">
        <v>99</v>
      </c>
      <c r="O68" s="8" t="n">
        <v>17</v>
      </c>
      <c r="P68" s="9" t="n">
        <v>37.4138682024143</v>
      </c>
      <c r="Q68" s="10" t="n">
        <v>0.0267280569490933</v>
      </c>
      <c r="R68" s="9" t="n">
        <v>41</v>
      </c>
      <c r="S68" s="13" t="n">
        <f aca="false">IF(AND(ISNUMBER(R68),R68&gt;1,P68&gt;0),R68/P68-1,"")</f>
        <v>0.0958503349128255</v>
      </c>
      <c r="T68" s="9" t="n">
        <f aca="false">IF(AND(ISNUMBER(P68),P68&gt;0),P68*EXP('Read me'!$B$22),"")</f>
        <v>45.6974018158699</v>
      </c>
    </row>
    <row r="69" customFormat="false" ht="15" hidden="false" customHeight="false" outlineLevel="0" collapsed="false">
      <c r="A69" s="11" t="s">
        <v>136</v>
      </c>
      <c r="B69" s="11" t="s">
        <v>49</v>
      </c>
      <c r="C69" s="11" t="s">
        <v>137</v>
      </c>
      <c r="D69" s="11"/>
      <c r="E69" s="12" t="n">
        <v>17</v>
      </c>
      <c r="F69" s="11" t="s">
        <v>211</v>
      </c>
      <c r="G69" s="8" t="n">
        <v>30</v>
      </c>
      <c r="H69" s="11" t="s">
        <v>430</v>
      </c>
      <c r="I69" s="11" t="s">
        <v>431</v>
      </c>
      <c r="J69" s="11" t="s">
        <v>432</v>
      </c>
      <c r="K69" s="8" t="n">
        <v>11</v>
      </c>
      <c r="L69" s="8" t="n">
        <v>92</v>
      </c>
      <c r="M69" s="8" t="n">
        <v>6</v>
      </c>
      <c r="N69" s="8" t="n">
        <v>37</v>
      </c>
      <c r="O69" s="8" t="n">
        <v>18</v>
      </c>
      <c r="P69" s="9" t="n">
        <v>41.1120902325008</v>
      </c>
      <c r="Q69" s="10" t="n">
        <v>0.0243237450186723</v>
      </c>
      <c r="R69" s="9" t="n">
        <v>67</v>
      </c>
      <c r="S69" s="13" t="n">
        <f aca="false">IF(AND(ISNUMBER(R69),R69&gt;1,P69&gt;0),R69/P69-1,"")</f>
        <v>0.629690916251047</v>
      </c>
      <c r="T69" s="9" t="n">
        <f aca="false">IF(AND(ISNUMBER(P69),P69&gt;0),P69*EXP('Read me'!$B$22),"")</f>
        <v>50.2144204037063</v>
      </c>
    </row>
    <row r="70" customFormat="false" ht="15" hidden="false" customHeight="false" outlineLevel="0" collapsed="false">
      <c r="A70" s="11" t="s">
        <v>136</v>
      </c>
      <c r="B70" s="11" t="s">
        <v>49</v>
      </c>
      <c r="C70" s="11" t="s">
        <v>137</v>
      </c>
      <c r="D70" s="11"/>
      <c r="E70" s="12" t="n">
        <v>17</v>
      </c>
      <c r="F70" s="11" t="s">
        <v>211</v>
      </c>
      <c r="G70" s="8" t="n">
        <v>30</v>
      </c>
      <c r="H70" s="11" t="s">
        <v>433</v>
      </c>
      <c r="I70" s="11" t="s">
        <v>332</v>
      </c>
      <c r="J70" s="11" t="s">
        <v>407</v>
      </c>
      <c r="K70" s="8" t="n">
        <v>19</v>
      </c>
      <c r="L70" s="8" t="n">
        <v>88</v>
      </c>
      <c r="M70" s="8" t="n">
        <v>5</v>
      </c>
      <c r="N70" s="8" t="n">
        <v>15</v>
      </c>
      <c r="O70" s="8" t="n">
        <v>19</v>
      </c>
      <c r="P70" s="9" t="n">
        <v>41.5272208642201</v>
      </c>
      <c r="Q70" s="10" t="n">
        <v>0.0240805904943569</v>
      </c>
      <c r="R70" s="9" t="n">
        <v>29</v>
      </c>
      <c r="S70" s="13" t="n">
        <f aca="false">IF(AND(ISNUMBER(R70),R70&gt;1,P70&gt;0),R70/P70-1,"")</f>
        <v>-0.301662875663649</v>
      </c>
      <c r="T70" s="9" t="n">
        <f aca="false">IF(AND(ISNUMBER(P70),P70&gt;0),P70*EXP('Read me'!$B$22),"")</f>
        <v>50.721462102285</v>
      </c>
    </row>
    <row r="71" customFormat="false" ht="15" hidden="false" customHeight="false" outlineLevel="0" collapsed="false">
      <c r="A71" s="11" t="s">
        <v>136</v>
      </c>
      <c r="B71" s="11" t="s">
        <v>49</v>
      </c>
      <c r="C71" s="11" t="s">
        <v>137</v>
      </c>
      <c r="D71" s="11"/>
      <c r="E71" s="12" t="n">
        <v>17</v>
      </c>
      <c r="F71" s="11" t="s">
        <v>211</v>
      </c>
      <c r="G71" s="8" t="n">
        <v>30</v>
      </c>
      <c r="H71" s="11" t="s">
        <v>434</v>
      </c>
      <c r="I71" s="11" t="s">
        <v>104</v>
      </c>
      <c r="J71" s="11" t="s">
        <v>140</v>
      </c>
      <c r="K71" s="8" t="n">
        <v>4</v>
      </c>
      <c r="L71" s="8" t="n">
        <v>105</v>
      </c>
      <c r="M71" s="8" t="n">
        <v>5</v>
      </c>
      <c r="N71" s="8" t="n">
        <v>14</v>
      </c>
      <c r="O71" s="8" t="n">
        <v>20</v>
      </c>
      <c r="P71" s="9" t="n">
        <v>50.4314023071799</v>
      </c>
      <c r="Q71" s="10" t="n">
        <v>0.0198289152046369</v>
      </c>
      <c r="R71" s="9" t="n">
        <v>41</v>
      </c>
      <c r="S71" s="13" t="n">
        <f aca="false">IF(AND(ISNUMBER(R71),R71&gt;1,P71&gt;0),R71/P71-1,"")</f>
        <v>-0.187014476609886</v>
      </c>
      <c r="T71" s="9" t="n">
        <f aca="false">IF(AND(ISNUMBER(P71),P71&gt;0),P71*EXP('Read me'!$B$22),"")</f>
        <v>61.5970538758746</v>
      </c>
    </row>
    <row r="72" customFormat="false" ht="15" hidden="false" customHeight="false" outlineLevel="0" collapsed="false">
      <c r="A72" s="11" t="s">
        <v>136</v>
      </c>
      <c r="B72" s="11" t="s">
        <v>49</v>
      </c>
      <c r="C72" s="11" t="s">
        <v>137</v>
      </c>
      <c r="D72" s="11"/>
      <c r="E72" s="12" t="n">
        <v>17</v>
      </c>
      <c r="F72" s="11" t="s">
        <v>211</v>
      </c>
      <c r="G72" s="8" t="n">
        <v>30</v>
      </c>
      <c r="H72" s="11" t="s">
        <v>435</v>
      </c>
      <c r="I72" s="11" t="s">
        <v>341</v>
      </c>
      <c r="J72" s="11" t="s">
        <v>436</v>
      </c>
      <c r="K72" s="8" t="n">
        <v>10</v>
      </c>
      <c r="L72" s="8" t="n">
        <v>89</v>
      </c>
      <c r="M72" s="8" t="n">
        <v>7</v>
      </c>
      <c r="N72" s="8" t="n">
        <v>37</v>
      </c>
      <c r="O72" s="8" t="n">
        <v>21</v>
      </c>
      <c r="P72" s="9" t="n">
        <v>59.8058936657537</v>
      </c>
      <c r="Q72" s="10" t="n">
        <v>0.0167207600907839</v>
      </c>
      <c r="R72" s="9" t="n">
        <v>41</v>
      </c>
      <c r="S72" s="13" t="n">
        <f aca="false">IF(AND(ISNUMBER(R72),R72&gt;1,P72&gt;0),R72/P72-1,"")</f>
        <v>-0.31444883627786</v>
      </c>
      <c r="T72" s="9" t="n">
        <f aca="false">IF(AND(ISNUMBER(P72),P72&gt;0),P72*EXP('Read me'!$B$22),"")</f>
        <v>73.0470834775854</v>
      </c>
    </row>
    <row r="73" customFormat="false" ht="15" hidden="false" customHeight="false" outlineLevel="0" collapsed="false">
      <c r="A73" s="11" t="s">
        <v>136</v>
      </c>
      <c r="B73" s="11" t="s">
        <v>49</v>
      </c>
      <c r="C73" s="11" t="s">
        <v>137</v>
      </c>
      <c r="D73" s="11"/>
      <c r="E73" s="12" t="n">
        <v>17</v>
      </c>
      <c r="F73" s="11" t="s">
        <v>211</v>
      </c>
      <c r="G73" s="8" t="n">
        <v>30</v>
      </c>
      <c r="H73" s="11" t="s">
        <v>437</v>
      </c>
      <c r="I73" s="11" t="s">
        <v>438</v>
      </c>
      <c r="J73" s="11" t="s">
        <v>140</v>
      </c>
      <c r="K73" s="8" t="n">
        <v>32</v>
      </c>
      <c r="L73" s="8" t="n">
        <v>98</v>
      </c>
      <c r="M73" s="8" t="n">
        <v>7</v>
      </c>
      <c r="N73" s="8" t="n">
        <v>15</v>
      </c>
      <c r="O73" s="8" t="n">
        <v>22</v>
      </c>
      <c r="P73" s="9" t="n">
        <v>60.1692366150729</v>
      </c>
      <c r="Q73" s="10" t="n">
        <v>0.0166197887202293</v>
      </c>
      <c r="R73" s="9" t="n">
        <v>41</v>
      </c>
      <c r="S73" s="13" t="n">
        <f aca="false">IF(AND(ISNUMBER(R73),R73&gt;1,P73&gt;0),R73/P73-1,"")</f>
        <v>-0.318588662470596</v>
      </c>
      <c r="T73" s="9" t="n">
        <f aca="false">IF(AND(ISNUMBER(P73),P73&gt;0),P73*EXP('Read me'!$B$22),"")</f>
        <v>73.4908715580419</v>
      </c>
    </row>
    <row r="74" customFormat="false" ht="15" hidden="false" customHeight="false" outlineLevel="0" collapsed="false">
      <c r="A74" s="11" t="s">
        <v>136</v>
      </c>
      <c r="B74" s="11" t="s">
        <v>49</v>
      </c>
      <c r="C74" s="11" t="s">
        <v>137</v>
      </c>
      <c r="D74" s="11"/>
      <c r="E74" s="12" t="n">
        <v>17</v>
      </c>
      <c r="F74" s="11" t="s">
        <v>211</v>
      </c>
      <c r="G74" s="8" t="n">
        <v>30</v>
      </c>
      <c r="H74" s="11" t="s">
        <v>439</v>
      </c>
      <c r="I74" s="11" t="s">
        <v>440</v>
      </c>
      <c r="J74" s="11" t="s">
        <v>407</v>
      </c>
      <c r="K74" s="8" t="n">
        <v>8</v>
      </c>
      <c r="L74" s="8" t="n">
        <v>107</v>
      </c>
      <c r="M74" s="8" t="n">
        <v>8</v>
      </c>
      <c r="N74" s="8" t="n">
        <v>149</v>
      </c>
      <c r="O74" s="8" t="n">
        <v>23</v>
      </c>
      <c r="P74" s="9" t="n">
        <v>61.864283674396</v>
      </c>
      <c r="Q74" s="10" t="n">
        <v>0.0161644157275496</v>
      </c>
      <c r="R74" s="9" t="n">
        <v>51</v>
      </c>
      <c r="S74" s="13" t="n">
        <f aca="false">IF(AND(ISNUMBER(R74),R74&gt;1,P74&gt;0),R74/P74-1,"")</f>
        <v>-0.175614797894968</v>
      </c>
      <c r="T74" s="9" t="n">
        <f aca="false">IF(AND(ISNUMBER(P74),P74&gt;0),P74*EXP('Read me'!$B$22),"")</f>
        <v>75.5612067115104</v>
      </c>
    </row>
    <row r="75" customFormat="false" ht="15" hidden="false" customHeight="false" outlineLevel="0" collapsed="false">
      <c r="A75" s="11" t="s">
        <v>136</v>
      </c>
      <c r="B75" s="11" t="s">
        <v>49</v>
      </c>
      <c r="C75" s="11" t="s">
        <v>137</v>
      </c>
      <c r="D75" s="11"/>
      <c r="E75" s="12" t="n">
        <v>17</v>
      </c>
      <c r="F75" s="11" t="s">
        <v>211</v>
      </c>
      <c r="G75" s="8" t="n">
        <v>30</v>
      </c>
      <c r="H75" s="11" t="s">
        <v>441</v>
      </c>
      <c r="I75" s="11" t="s">
        <v>239</v>
      </c>
      <c r="J75" s="11" t="s">
        <v>140</v>
      </c>
      <c r="K75" s="8" t="n">
        <v>17</v>
      </c>
      <c r="L75" s="8" t="n">
        <v>102</v>
      </c>
      <c r="M75" s="8" t="n">
        <v>7</v>
      </c>
      <c r="N75" s="8" t="n">
        <v>58</v>
      </c>
      <c r="O75" s="8" t="n">
        <v>24</v>
      </c>
      <c r="P75" s="9" t="n">
        <v>77.5070376902099</v>
      </c>
      <c r="Q75" s="10" t="n">
        <v>0.0129020541850267</v>
      </c>
      <c r="R75" s="9" t="n">
        <v>101</v>
      </c>
      <c r="S75" s="13" t="n">
        <f aca="false">IF(AND(ISNUMBER(R75),R75&gt;1,P75&gt;0),R75/P75-1,"")</f>
        <v>0.303107472687704</v>
      </c>
      <c r="T75" s="9" t="n">
        <f aca="false">IF(AND(ISNUMBER(P75),P75&gt;0),P75*EXP('Read me'!$B$22),"")</f>
        <v>94.6673096116466</v>
      </c>
    </row>
    <row r="76" customFormat="false" ht="15" hidden="false" customHeight="false" outlineLevel="0" collapsed="false">
      <c r="A76" s="11" t="s">
        <v>136</v>
      </c>
      <c r="B76" s="11" t="s">
        <v>49</v>
      </c>
      <c r="C76" s="11" t="s">
        <v>137</v>
      </c>
      <c r="D76" s="11"/>
      <c r="E76" s="12" t="n">
        <v>17</v>
      </c>
      <c r="F76" s="11" t="s">
        <v>211</v>
      </c>
      <c r="G76" s="8" t="n">
        <v>30</v>
      </c>
      <c r="H76" s="11" t="s">
        <v>442</v>
      </c>
      <c r="I76" s="11" t="s">
        <v>443</v>
      </c>
      <c r="J76" s="11" t="s">
        <v>140</v>
      </c>
      <c r="K76" s="8" t="n">
        <v>7</v>
      </c>
      <c r="L76" s="8" t="n">
        <v>89</v>
      </c>
      <c r="M76" s="8" t="n">
        <v>5</v>
      </c>
      <c r="N76" s="8" t="n">
        <v>53</v>
      </c>
      <c r="O76" s="8" t="n">
        <v>25</v>
      </c>
      <c r="P76" s="9" t="n">
        <v>78.4663695123352</v>
      </c>
      <c r="Q76" s="10" t="n">
        <v>0.0127443133436012</v>
      </c>
      <c r="R76" s="9" t="n">
        <v>67</v>
      </c>
      <c r="S76" s="13" t="n">
        <f aca="false">IF(AND(ISNUMBER(R76),R76&gt;1,P76&gt;0),R76/P76-1,"")</f>
        <v>-0.146131005978716</v>
      </c>
      <c r="T76" s="9" t="n">
        <f aca="false">IF(AND(ISNUMBER(P76),P76&gt;0),P76*EXP('Read me'!$B$22),"")</f>
        <v>95.8390401451813</v>
      </c>
    </row>
    <row r="77" customFormat="false" ht="15" hidden="false" customHeight="false" outlineLevel="0" collapsed="false">
      <c r="A77" s="11" t="s">
        <v>136</v>
      </c>
      <c r="B77" s="11" t="s">
        <v>49</v>
      </c>
      <c r="C77" s="11" t="s">
        <v>137</v>
      </c>
      <c r="D77" s="11"/>
      <c r="E77" s="12" t="n">
        <v>17</v>
      </c>
      <c r="F77" s="11" t="s">
        <v>211</v>
      </c>
      <c r="G77" s="8" t="n">
        <v>30</v>
      </c>
      <c r="H77" s="11" t="s">
        <v>444</v>
      </c>
      <c r="I77" s="11" t="s">
        <v>445</v>
      </c>
      <c r="J77" s="11" t="s">
        <v>436</v>
      </c>
      <c r="K77" s="8" t="n">
        <v>22</v>
      </c>
      <c r="L77" s="8" t="n">
        <v>87</v>
      </c>
      <c r="M77" s="8" t="n">
        <v>7</v>
      </c>
      <c r="N77" s="8" t="n">
        <v>58</v>
      </c>
      <c r="O77" s="8" t="n">
        <v>26</v>
      </c>
      <c r="P77" s="9" t="n">
        <v>82.9080606288102</v>
      </c>
      <c r="Q77" s="10" t="n">
        <v>0.0120615533931872</v>
      </c>
      <c r="R77" s="9" t="n">
        <v>41</v>
      </c>
      <c r="S77" s="13" t="n">
        <f aca="false">IF(AND(ISNUMBER(R77),R77&gt;1,P77&gt;0),R77/P77-1,"")</f>
        <v>-0.505476310879323</v>
      </c>
      <c r="T77" s="9" t="n">
        <f aca="false">IF(AND(ISNUMBER(P77),P77&gt;0),P77*EXP('Read me'!$B$22),"")</f>
        <v>101.264133925739</v>
      </c>
    </row>
    <row r="78" customFormat="false" ht="15" hidden="false" customHeight="false" outlineLevel="0" collapsed="false">
      <c r="A78" s="11" t="s">
        <v>136</v>
      </c>
      <c r="B78" s="11" t="s">
        <v>49</v>
      </c>
      <c r="C78" s="11" t="s">
        <v>137</v>
      </c>
      <c r="D78" s="11"/>
      <c r="E78" s="12" t="n">
        <v>17</v>
      </c>
      <c r="F78" s="11" t="s">
        <v>211</v>
      </c>
      <c r="G78" s="8" t="n">
        <v>30</v>
      </c>
      <c r="H78" s="11" t="s">
        <v>446</v>
      </c>
      <c r="I78" s="11" t="s">
        <v>386</v>
      </c>
      <c r="J78" s="11" t="s">
        <v>140</v>
      </c>
      <c r="K78" s="8" t="n">
        <v>16</v>
      </c>
      <c r="L78" s="8" t="n">
        <v>92</v>
      </c>
      <c r="M78" s="8" t="n">
        <v>4</v>
      </c>
      <c r="N78" s="8" t="n">
        <v>15</v>
      </c>
      <c r="O78" s="8" t="n">
        <v>27</v>
      </c>
      <c r="P78" s="9" t="n">
        <v>100.267280475708</v>
      </c>
      <c r="Q78" s="10" t="n">
        <v>0.0099733432008487</v>
      </c>
      <c r="R78" s="9" t="n">
        <v>41</v>
      </c>
      <c r="S78" s="13" t="n">
        <f aca="false">IF(AND(ISNUMBER(R78),R78&gt;1,P78&gt;0),R78/P78-1,"")</f>
        <v>-0.591092928765199</v>
      </c>
      <c r="T78" s="9" t="n">
        <f aca="false">IF(AND(ISNUMBER(P78),P78&gt;0),P78*EXP('Read me'!$B$22),"")</f>
        <v>122.466732926249</v>
      </c>
    </row>
    <row r="79" customFormat="false" ht="15" hidden="false" customHeight="false" outlineLevel="0" collapsed="false">
      <c r="A79" s="11" t="s">
        <v>136</v>
      </c>
      <c r="B79" s="11" t="s">
        <v>49</v>
      </c>
      <c r="C79" s="11" t="s">
        <v>137</v>
      </c>
      <c r="D79" s="11"/>
      <c r="E79" s="12" t="n">
        <v>17</v>
      </c>
      <c r="F79" s="11" t="s">
        <v>211</v>
      </c>
      <c r="G79" s="8" t="n">
        <v>30</v>
      </c>
      <c r="H79" s="11" t="s">
        <v>447</v>
      </c>
      <c r="I79" s="11" t="s">
        <v>448</v>
      </c>
      <c r="J79" s="11" t="s">
        <v>432</v>
      </c>
      <c r="K79" s="8" t="n">
        <v>28</v>
      </c>
      <c r="L79" s="8" t="n">
        <v>101</v>
      </c>
      <c r="M79" s="8" t="n">
        <v>5</v>
      </c>
      <c r="N79" s="8" t="n">
        <v>15</v>
      </c>
      <c r="O79" s="8" t="n">
        <v>28</v>
      </c>
      <c r="P79" s="9" t="n">
        <v>107.251412297937</v>
      </c>
      <c r="Q79" s="10" t="n">
        <v>0.0093238865444686</v>
      </c>
      <c r="R79" s="9" t="n">
        <v>101</v>
      </c>
      <c r="S79" s="13" t="n">
        <f aca="false">IF(AND(ISNUMBER(R79),R79&gt;1,P79&gt;0),R79/P79-1,"")</f>
        <v>-0.0582874590086645</v>
      </c>
      <c r="T79" s="9" t="n">
        <f aca="false">IF(AND(ISNUMBER(P79),P79&gt;0),P79*EXP('Read me'!$B$22),"")</f>
        <v>130.997170797274</v>
      </c>
    </row>
    <row r="80" customFormat="false" ht="15" hidden="false" customHeight="false" outlineLevel="0" collapsed="false">
      <c r="A80" s="11" t="s">
        <v>136</v>
      </c>
      <c r="B80" s="11" t="s">
        <v>49</v>
      </c>
      <c r="C80" s="11" t="s">
        <v>137</v>
      </c>
      <c r="D80" s="11"/>
      <c r="E80" s="12" t="n">
        <v>17</v>
      </c>
      <c r="F80" s="11" t="s">
        <v>211</v>
      </c>
      <c r="G80" s="8" t="n">
        <v>30</v>
      </c>
      <c r="H80" s="11" t="s">
        <v>449</v>
      </c>
      <c r="I80" s="11" t="s">
        <v>322</v>
      </c>
      <c r="J80" s="11" t="s">
        <v>411</v>
      </c>
      <c r="K80" s="8" t="n">
        <v>14</v>
      </c>
      <c r="L80" s="8" t="n">
        <v>96</v>
      </c>
      <c r="M80" s="8" t="n">
        <v>3</v>
      </c>
      <c r="N80" s="8" t="n">
        <v>15</v>
      </c>
      <c r="O80" s="8" t="n">
        <v>29</v>
      </c>
      <c r="P80" s="9" t="n">
        <v>125.943151757239</v>
      </c>
      <c r="Q80" s="10" t="n">
        <v>0.0079400903189047</v>
      </c>
      <c r="R80" s="9" t="n">
        <v>51</v>
      </c>
      <c r="S80" s="13" t="n">
        <f aca="false">IF(AND(ISNUMBER(R80),R80&gt;1,P80&gt;0),R80/P80-1,"")</f>
        <v>-0.59505539373586</v>
      </c>
      <c r="T80" s="9" t="n">
        <f aca="false">IF(AND(ISNUMBER(P80),P80&gt;0),P80*EXP('Read me'!$B$22),"")</f>
        <v>153.827312927676</v>
      </c>
    </row>
    <row r="81" customFormat="false" ht="15" hidden="false" customHeight="false" outlineLevel="0" collapsed="false">
      <c r="A81" s="11" t="s">
        <v>136</v>
      </c>
      <c r="B81" s="11" t="s">
        <v>49</v>
      </c>
      <c r="C81" s="11" t="s">
        <v>137</v>
      </c>
      <c r="D81" s="11"/>
      <c r="E81" s="12" t="n">
        <v>17</v>
      </c>
      <c r="F81" s="11" t="s">
        <v>211</v>
      </c>
      <c r="G81" s="8" t="n">
        <v>30</v>
      </c>
      <c r="H81" s="11" t="s">
        <v>450</v>
      </c>
      <c r="I81" s="11" t="s">
        <v>451</v>
      </c>
      <c r="J81" s="11" t="s">
        <v>140</v>
      </c>
      <c r="K81" s="8" t="n">
        <v>33</v>
      </c>
      <c r="L81" s="8" t="n">
        <v>107</v>
      </c>
      <c r="M81" s="8" t="n">
        <v>4</v>
      </c>
      <c r="N81" s="8" t="n">
        <v>14</v>
      </c>
      <c r="O81" s="8" t="n">
        <v>30</v>
      </c>
      <c r="P81" s="9" t="n">
        <v>138.349090081915</v>
      </c>
      <c r="Q81" s="10" t="n">
        <v>0.0072280923525258</v>
      </c>
      <c r="R81" s="9" t="n">
        <v>41</v>
      </c>
      <c r="S81" s="13" t="n">
        <f aca="false">IF(AND(ISNUMBER(R81),R81&gt;1,P81&gt;0),R81/P81-1,"")</f>
        <v>-0.70364821354644</v>
      </c>
      <c r="T81" s="9" t="n">
        <f aca="false">IF(AND(ISNUMBER(P81),P81&gt;0),P81*EXP('Read me'!$B$22),"")</f>
        <v>168.979960215001</v>
      </c>
    </row>
    <row r="82" customFormat="false" ht="15" hidden="false" customHeight="false" outlineLevel="0" collapsed="false">
      <c r="A82" s="11" t="s">
        <v>152</v>
      </c>
      <c r="B82" s="11" t="s">
        <v>49</v>
      </c>
      <c r="C82" s="11" t="s">
        <v>153</v>
      </c>
      <c r="D82" s="11"/>
      <c r="E82" s="12" t="n">
        <v>7</v>
      </c>
      <c r="F82" s="11" t="s">
        <v>211</v>
      </c>
      <c r="G82" s="8" t="n">
        <v>10</v>
      </c>
      <c r="H82" s="11" t="s">
        <v>154</v>
      </c>
      <c r="I82" s="11" t="s">
        <v>155</v>
      </c>
      <c r="J82" s="11" t="s">
        <v>156</v>
      </c>
      <c r="K82" s="8" t="n">
        <v>10</v>
      </c>
      <c r="L82" s="8" t="n">
        <v>76</v>
      </c>
      <c r="M82" s="8" t="n">
        <v>2</v>
      </c>
      <c r="N82" s="8" t="n">
        <v>5</v>
      </c>
      <c r="O82" s="8" t="n">
        <v>1</v>
      </c>
      <c r="P82" s="9" t="n">
        <v>3.83248418140525</v>
      </c>
      <c r="Q82" s="10" t="n">
        <v>0.260927365297913</v>
      </c>
      <c r="R82" s="9" t="n">
        <v>6.5</v>
      </c>
      <c r="S82" s="13" t="n">
        <f aca="false">IF(AND(ISNUMBER(R82),R82&gt;1,P82&gt;0),R82/P82-1,"")</f>
        <v>0.696027874436434</v>
      </c>
      <c r="T82" s="9" t="n">
        <f aca="false">IF(AND(ISNUMBER(P82),P82&gt;0),P82*EXP('Read me'!$B$22),"")</f>
        <v>4.68100674977359</v>
      </c>
    </row>
    <row r="83" customFormat="false" ht="15" hidden="false" customHeight="false" outlineLevel="0" collapsed="false">
      <c r="A83" s="11" t="s">
        <v>152</v>
      </c>
      <c r="B83" s="11" t="s">
        <v>49</v>
      </c>
      <c r="C83" s="11" t="s">
        <v>153</v>
      </c>
      <c r="D83" s="11"/>
      <c r="E83" s="12" t="n">
        <v>7</v>
      </c>
      <c r="F83" s="11" t="s">
        <v>211</v>
      </c>
      <c r="G83" s="8" t="n">
        <v>10</v>
      </c>
      <c r="H83" s="11" t="s">
        <v>157</v>
      </c>
      <c r="I83" s="11" t="s">
        <v>438</v>
      </c>
      <c r="J83" s="11" t="s">
        <v>105</v>
      </c>
      <c r="K83" s="8" t="n">
        <v>11</v>
      </c>
      <c r="L83" s="8" t="n">
        <v>66</v>
      </c>
      <c r="M83" s="8" t="n">
        <v>2</v>
      </c>
      <c r="N83" s="8" t="n">
        <v>29</v>
      </c>
      <c r="O83" s="8" t="n">
        <v>2</v>
      </c>
      <c r="P83" s="9" t="n">
        <v>5.92193422789284</v>
      </c>
      <c r="Q83" s="10" t="n">
        <v>0.168863746458026</v>
      </c>
      <c r="R83" s="9" t="n">
        <v>4.5</v>
      </c>
      <c r="S83" s="13" t="n">
        <f aca="false">IF(AND(ISNUMBER(R83),R83&gt;1,P83&gt;0),R83/P83-1,"")</f>
        <v>-0.240113140938884</v>
      </c>
      <c r="T83" s="9" t="n">
        <f aca="false">IF(AND(ISNUMBER(P83),P83&gt;0),P83*EXP('Read me'!$B$22),"")</f>
        <v>7.23306679959143</v>
      </c>
    </row>
    <row r="84" customFormat="false" ht="15" hidden="false" customHeight="false" outlineLevel="0" collapsed="false">
      <c r="A84" s="11" t="s">
        <v>152</v>
      </c>
      <c r="B84" s="11" t="s">
        <v>49</v>
      </c>
      <c r="C84" s="11" t="s">
        <v>153</v>
      </c>
      <c r="D84" s="11"/>
      <c r="E84" s="12" t="n">
        <v>7</v>
      </c>
      <c r="F84" s="11" t="s">
        <v>211</v>
      </c>
      <c r="G84" s="8" t="n">
        <v>10</v>
      </c>
      <c r="H84" s="11" t="s">
        <v>481</v>
      </c>
      <c r="I84" s="11" t="s">
        <v>272</v>
      </c>
      <c r="J84" s="11" t="s">
        <v>411</v>
      </c>
      <c r="K84" s="8" t="n">
        <v>7</v>
      </c>
      <c r="L84" s="8" t="n">
        <v>70</v>
      </c>
      <c r="M84" s="8" t="n">
        <v>2</v>
      </c>
      <c r="N84" s="8" t="n">
        <v>23</v>
      </c>
      <c r="O84" s="8" t="n">
        <v>3</v>
      </c>
      <c r="P84" s="9" t="n">
        <v>8.64125994434651</v>
      </c>
      <c r="Q84" s="10" t="n">
        <v>0.11572386508917</v>
      </c>
      <c r="R84" s="9" t="n">
        <v>13</v>
      </c>
      <c r="S84" s="13" t="n">
        <f aca="false">IF(AND(ISNUMBER(R84),R84&gt;1,P84&gt;0),R84/P84-1,"")</f>
        <v>0.504410246159203</v>
      </c>
      <c r="T84" s="9" t="n">
        <f aca="false">IF(AND(ISNUMBER(P84),P84&gt;0),P84*EXP('Read me'!$B$22),"")</f>
        <v>10.5544587300038</v>
      </c>
    </row>
    <row r="85" customFormat="false" ht="15" hidden="false" customHeight="false" outlineLevel="0" collapsed="false">
      <c r="A85" s="11" t="s">
        <v>152</v>
      </c>
      <c r="B85" s="11" t="s">
        <v>49</v>
      </c>
      <c r="C85" s="11" t="s">
        <v>153</v>
      </c>
      <c r="D85" s="11"/>
      <c r="E85" s="12" t="n">
        <v>7</v>
      </c>
      <c r="F85" s="11" t="s">
        <v>211</v>
      </c>
      <c r="G85" s="8" t="n">
        <v>10</v>
      </c>
      <c r="H85" s="11" t="s">
        <v>482</v>
      </c>
      <c r="I85" s="11" t="s">
        <v>327</v>
      </c>
      <c r="J85" s="11" t="s">
        <v>328</v>
      </c>
      <c r="K85" s="8" t="n">
        <v>4</v>
      </c>
      <c r="L85" s="8" t="n">
        <v>65</v>
      </c>
      <c r="M85" s="8" t="n">
        <v>2</v>
      </c>
      <c r="N85" s="8" t="n">
        <v>10</v>
      </c>
      <c r="O85" s="8" t="n">
        <v>4</v>
      </c>
      <c r="P85" s="9" t="n">
        <v>10.448613665455</v>
      </c>
      <c r="Q85" s="10" t="n">
        <v>0.0957064766693577</v>
      </c>
      <c r="R85" s="9" t="n">
        <v>11</v>
      </c>
      <c r="S85" s="13" t="n">
        <f aca="false">IF(AND(ISNUMBER(R85),R85&gt;1,P85&gt;0),R85/P85-1,"")</f>
        <v>0.0527712433629346</v>
      </c>
      <c r="T85" s="9" t="n">
        <f aca="false">IF(AND(ISNUMBER(P85),P85&gt;0),P85*EXP('Read me'!$B$22),"")</f>
        <v>12.7619655499368</v>
      </c>
    </row>
    <row r="86" customFormat="false" ht="15" hidden="false" customHeight="false" outlineLevel="0" collapsed="false">
      <c r="A86" s="11" t="s">
        <v>152</v>
      </c>
      <c r="B86" s="11" t="s">
        <v>49</v>
      </c>
      <c r="C86" s="11" t="s">
        <v>153</v>
      </c>
      <c r="D86" s="11"/>
      <c r="E86" s="12" t="n">
        <v>7</v>
      </c>
      <c r="F86" s="11" t="s">
        <v>211</v>
      </c>
      <c r="G86" s="8" t="n">
        <v>10</v>
      </c>
      <c r="H86" s="11" t="s">
        <v>483</v>
      </c>
      <c r="I86" s="11" t="s">
        <v>139</v>
      </c>
      <c r="J86" s="11" t="s">
        <v>140</v>
      </c>
      <c r="K86" s="8" t="n">
        <v>3</v>
      </c>
      <c r="L86" s="8" t="n">
        <v>77</v>
      </c>
      <c r="M86" s="8" t="n">
        <v>2</v>
      </c>
      <c r="N86" s="8" t="n">
        <v>10</v>
      </c>
      <c r="O86" s="8" t="n">
        <v>5</v>
      </c>
      <c r="P86" s="9" t="n">
        <v>12.4400154743564</v>
      </c>
      <c r="Q86" s="10" t="n">
        <v>0.0803857520966415</v>
      </c>
      <c r="R86" s="9" t="n">
        <v>2.625</v>
      </c>
      <c r="S86" s="13" t="n">
        <f aca="false">IF(AND(ISNUMBER(R86),R86&gt;1,P86&gt;0),R86/P86-1,"")</f>
        <v>-0.788987400746316</v>
      </c>
      <c r="T86" s="9" t="n">
        <f aca="false">IF(AND(ISNUMBER(P86),P86&gt;0),P86*EXP('Read me'!$B$22),"")</f>
        <v>15.1942692119341</v>
      </c>
    </row>
    <row r="87" customFormat="false" ht="15" hidden="false" customHeight="false" outlineLevel="0" collapsed="false">
      <c r="A87" s="11" t="s">
        <v>152</v>
      </c>
      <c r="B87" s="11" t="s">
        <v>49</v>
      </c>
      <c r="C87" s="11" t="s">
        <v>153</v>
      </c>
      <c r="D87" s="11"/>
      <c r="E87" s="12" t="n">
        <v>7</v>
      </c>
      <c r="F87" s="11" t="s">
        <v>211</v>
      </c>
      <c r="G87" s="8" t="n">
        <v>10</v>
      </c>
      <c r="H87" s="11" t="s">
        <v>484</v>
      </c>
      <c r="I87" s="11" t="s">
        <v>223</v>
      </c>
      <c r="J87" s="11" t="s">
        <v>224</v>
      </c>
      <c r="K87" s="8" t="n">
        <v>12</v>
      </c>
      <c r="L87" s="8" t="n">
        <v>67</v>
      </c>
      <c r="M87" s="8" t="n">
        <v>2</v>
      </c>
      <c r="N87" s="8" t="n">
        <v>40</v>
      </c>
      <c r="O87" s="8" t="n">
        <v>6</v>
      </c>
      <c r="P87" s="9" t="n">
        <v>13.3718164815799</v>
      </c>
      <c r="Q87" s="10" t="n">
        <v>0.0747841552699691</v>
      </c>
      <c r="R87" s="9" t="n">
        <v>19</v>
      </c>
      <c r="S87" s="13" t="n">
        <f aca="false">IF(AND(ISNUMBER(R87),R87&gt;1,P87&gt;0),R87/P87-1,"")</f>
        <v>0.420898950129414</v>
      </c>
      <c r="T87" s="9" t="n">
        <f aca="false">IF(AND(ISNUMBER(P87),P87&gt;0),P87*EXP('Read me'!$B$22),"")</f>
        <v>16.3323735322132</v>
      </c>
    </row>
    <row r="88" customFormat="false" ht="15" hidden="false" customHeight="false" outlineLevel="0" collapsed="false">
      <c r="A88" s="11" t="s">
        <v>152</v>
      </c>
      <c r="B88" s="11" t="s">
        <v>49</v>
      </c>
      <c r="C88" s="11" t="s">
        <v>153</v>
      </c>
      <c r="D88" s="11"/>
      <c r="E88" s="12" t="n">
        <v>7</v>
      </c>
      <c r="F88" s="11" t="s">
        <v>211</v>
      </c>
      <c r="G88" s="8" t="n">
        <v>10</v>
      </c>
      <c r="H88" s="11" t="s">
        <v>485</v>
      </c>
      <c r="I88" s="11" t="s">
        <v>386</v>
      </c>
      <c r="J88" s="11" t="s">
        <v>232</v>
      </c>
      <c r="K88" s="8" t="n">
        <v>2</v>
      </c>
      <c r="L88" s="8" t="n">
        <v>80</v>
      </c>
      <c r="M88" s="8" t="n">
        <v>2</v>
      </c>
      <c r="N88" s="8" t="n">
        <v>10</v>
      </c>
      <c r="O88" s="8" t="n">
        <v>7</v>
      </c>
      <c r="P88" s="9" t="n">
        <v>14.3031431836255</v>
      </c>
      <c r="Q88" s="10" t="n">
        <v>0.0699147024651766</v>
      </c>
      <c r="R88" s="9" t="n">
        <v>10</v>
      </c>
      <c r="S88" s="13" t="n">
        <f aca="false">IF(AND(ISNUMBER(R88),R88&gt;1,P88&gt;0),R88/P88-1,"")</f>
        <v>-0.300852975348233</v>
      </c>
      <c r="T88" s="9" t="n">
        <f aca="false">IF(AND(ISNUMBER(P88),P88&gt;0),P88*EXP('Read me'!$B$22),"")</f>
        <v>17.4698985348401</v>
      </c>
    </row>
    <row r="89" customFormat="false" ht="15" hidden="false" customHeight="false" outlineLevel="0" collapsed="false">
      <c r="A89" s="11" t="s">
        <v>152</v>
      </c>
      <c r="B89" s="11" t="s">
        <v>49</v>
      </c>
      <c r="C89" s="11" t="s">
        <v>153</v>
      </c>
      <c r="D89" s="11"/>
      <c r="E89" s="12" t="n">
        <v>7</v>
      </c>
      <c r="F89" s="11" t="s">
        <v>211</v>
      </c>
      <c r="G89" s="8" t="n">
        <v>10</v>
      </c>
      <c r="H89" s="11" t="s">
        <v>486</v>
      </c>
      <c r="I89" s="11" t="s">
        <v>121</v>
      </c>
      <c r="J89" s="11" t="s">
        <v>280</v>
      </c>
      <c r="K89" s="8" t="n">
        <v>8</v>
      </c>
      <c r="L89" s="8" t="n">
        <v>69</v>
      </c>
      <c r="M89" s="8" t="n">
        <v>2</v>
      </c>
      <c r="N89" s="8" t="n">
        <v>26</v>
      </c>
      <c r="O89" s="8" t="n">
        <v>8</v>
      </c>
      <c r="P89" s="9" t="n">
        <v>14.5186792368983</v>
      </c>
      <c r="Q89" s="10" t="n">
        <v>0.0688767885620453</v>
      </c>
      <c r="R89" s="9" t="n">
        <v>12</v>
      </c>
      <c r="S89" s="13" t="n">
        <f aca="false">IF(AND(ISNUMBER(R89),R89&gt;1,P89&gt;0),R89/P89-1,"")</f>
        <v>-0.173478537255455</v>
      </c>
      <c r="T89" s="9" t="n">
        <f aca="false">IF(AND(ISNUMBER(P89),P89&gt;0),P89*EXP('Read me'!$B$22),"")</f>
        <v>17.7331548647903</v>
      </c>
    </row>
    <row r="90" customFormat="false" ht="15" hidden="false" customHeight="false" outlineLevel="0" collapsed="false">
      <c r="A90" s="11" t="s">
        <v>152</v>
      </c>
      <c r="B90" s="11" t="s">
        <v>49</v>
      </c>
      <c r="C90" s="11" t="s">
        <v>153</v>
      </c>
      <c r="D90" s="11"/>
      <c r="E90" s="12" t="n">
        <v>7</v>
      </c>
      <c r="F90" s="11" t="s">
        <v>211</v>
      </c>
      <c r="G90" s="8" t="n">
        <v>10</v>
      </c>
      <c r="H90" s="11" t="s">
        <v>487</v>
      </c>
      <c r="I90" s="11" t="s">
        <v>488</v>
      </c>
      <c r="J90" s="11" t="s">
        <v>174</v>
      </c>
      <c r="K90" s="8" t="n">
        <v>5</v>
      </c>
      <c r="L90" s="8" t="n">
        <v>62</v>
      </c>
      <c r="M90" s="8" t="n">
        <v>2</v>
      </c>
      <c r="N90" s="8" t="n">
        <v>10</v>
      </c>
      <c r="O90" s="8" t="n">
        <v>9</v>
      </c>
      <c r="P90" s="9" t="n">
        <v>21.4152546226405</v>
      </c>
      <c r="Q90" s="10" t="n">
        <v>0.0466956857446274</v>
      </c>
      <c r="R90" s="9" t="n">
        <v>26</v>
      </c>
      <c r="S90" s="13" t="n">
        <f aca="false">IF(AND(ISNUMBER(R90),R90&gt;1,P90&gt;0),R90/P90-1,"")</f>
        <v>0.214087829360315</v>
      </c>
      <c r="T90" s="9" t="n">
        <f aca="false">IF(AND(ISNUMBER(P90),P90&gt;0),P90*EXP('Read me'!$B$22),"")</f>
        <v>26.1566510627954</v>
      </c>
    </row>
    <row r="91" customFormat="false" ht="15" hidden="false" customHeight="false" outlineLevel="0" collapsed="false">
      <c r="A91" s="11" t="s">
        <v>152</v>
      </c>
      <c r="B91" s="11" t="s">
        <v>49</v>
      </c>
      <c r="C91" s="11" t="s">
        <v>153</v>
      </c>
      <c r="D91" s="11"/>
      <c r="E91" s="12" t="n">
        <v>7</v>
      </c>
      <c r="F91" s="11" t="s">
        <v>211</v>
      </c>
      <c r="G91" s="8" t="n">
        <v>10</v>
      </c>
      <c r="H91" s="11" t="s">
        <v>489</v>
      </c>
      <c r="I91" s="11" t="s">
        <v>445</v>
      </c>
      <c r="J91" s="11" t="s">
        <v>490</v>
      </c>
      <c r="K91" s="8" t="n">
        <v>6</v>
      </c>
      <c r="L91" s="8" t="n">
        <v>53</v>
      </c>
      <c r="M91" s="8" t="n">
        <v>2</v>
      </c>
      <c r="N91" s="8" t="n">
        <v>6</v>
      </c>
      <c r="O91" s="8" t="n">
        <v>10</v>
      </c>
      <c r="P91" s="9" t="n">
        <v>55.1831844940191</v>
      </c>
      <c r="Q91" s="10" t="n">
        <v>0.0181214623470738</v>
      </c>
      <c r="R91" s="9" t="n">
        <v>81</v>
      </c>
      <c r="S91" s="13" t="n">
        <f aca="false">IF(AND(ISNUMBER(R91),R91&gt;1,P91&gt;0),R91/P91-1,"")</f>
        <v>0.467838450112986</v>
      </c>
      <c r="T91" s="9" t="n">
        <f aca="false">IF(AND(ISNUMBER(P91),P91&gt;0),P91*EXP('Read me'!$B$22),"")</f>
        <v>67.4008937450565</v>
      </c>
    </row>
    <row r="92" customFormat="false" ht="15" hidden="false" customHeight="false" outlineLevel="0" collapsed="false">
      <c r="A92" s="11" t="s">
        <v>170</v>
      </c>
      <c r="B92" s="11" t="s">
        <v>49</v>
      </c>
      <c r="C92" s="11" t="s">
        <v>171</v>
      </c>
      <c r="D92" s="11"/>
      <c r="E92" s="12" t="n">
        <v>10</v>
      </c>
      <c r="F92" s="11" t="s">
        <v>211</v>
      </c>
      <c r="G92" s="8" t="n">
        <v>18</v>
      </c>
      <c r="H92" s="11" t="s">
        <v>172</v>
      </c>
      <c r="I92" s="11" t="s">
        <v>173</v>
      </c>
      <c r="J92" s="11" t="s">
        <v>174</v>
      </c>
      <c r="K92" s="8" t="n">
        <v>21</v>
      </c>
      <c r="L92" s="8" t="n">
        <v>66</v>
      </c>
      <c r="M92" s="8" t="n">
        <v>4</v>
      </c>
      <c r="N92" s="8" t="n">
        <v>8</v>
      </c>
      <c r="O92" s="8" t="n">
        <v>1</v>
      </c>
      <c r="P92" s="9" t="n">
        <v>4.45846306482169</v>
      </c>
      <c r="Q92" s="10" t="n">
        <v>0.224292538810119</v>
      </c>
      <c r="R92" s="9" t="n">
        <v>4.33333333333333</v>
      </c>
      <c r="S92" s="13" t="n">
        <f aca="false">IF(AND(ISNUMBER(R92),R92&gt;1,P92&gt;0),R92/P92-1,"")</f>
        <v>-0.0280656651561527</v>
      </c>
      <c r="T92" s="9" t="n">
        <f aca="false">IF(AND(ISNUMBER(P92),P92&gt;0),P92*EXP('Read me'!$B$22),"")</f>
        <v>5.44557908452846</v>
      </c>
    </row>
    <row r="93" customFormat="false" ht="15" hidden="false" customHeight="false" outlineLevel="0" collapsed="false">
      <c r="A93" s="11" t="s">
        <v>170</v>
      </c>
      <c r="B93" s="11" t="s">
        <v>49</v>
      </c>
      <c r="C93" s="11" t="s">
        <v>171</v>
      </c>
      <c r="D93" s="11"/>
      <c r="E93" s="12" t="n">
        <v>10</v>
      </c>
      <c r="F93" s="11" t="s">
        <v>211</v>
      </c>
      <c r="G93" s="8" t="n">
        <v>18</v>
      </c>
      <c r="H93" s="11" t="s">
        <v>175</v>
      </c>
      <c r="I93" s="11" t="s">
        <v>513</v>
      </c>
      <c r="J93" s="11" t="s">
        <v>514</v>
      </c>
      <c r="K93" s="8" t="n">
        <v>3</v>
      </c>
      <c r="L93" s="8" t="n">
        <v>62</v>
      </c>
      <c r="M93" s="8" t="n">
        <v>4</v>
      </c>
      <c r="N93" s="8" t="n">
        <v>53</v>
      </c>
      <c r="O93" s="8" t="n">
        <v>2</v>
      </c>
      <c r="P93" s="9" t="n">
        <v>6.29542586967907</v>
      </c>
      <c r="Q93" s="10" t="n">
        <v>0.158845488883658</v>
      </c>
      <c r="R93" s="9" t="n">
        <v>7.5</v>
      </c>
      <c r="S93" s="13" t="n">
        <f aca="false">IF(AND(ISNUMBER(R93),R93&gt;1,P93&gt;0),R93/P93-1,"")</f>
        <v>0.191341166627435</v>
      </c>
      <c r="T93" s="9" t="n">
        <f aca="false">IF(AND(ISNUMBER(P93),P93&gt;0),P93*EXP('Read me'!$B$22),"")</f>
        <v>7.6892505210189</v>
      </c>
    </row>
    <row r="94" customFormat="false" ht="15" hidden="false" customHeight="false" outlineLevel="0" collapsed="false">
      <c r="A94" s="11" t="s">
        <v>170</v>
      </c>
      <c r="B94" s="11" t="s">
        <v>49</v>
      </c>
      <c r="C94" s="11" t="s">
        <v>171</v>
      </c>
      <c r="D94" s="11"/>
      <c r="E94" s="12" t="n">
        <v>10</v>
      </c>
      <c r="F94" s="11" t="s">
        <v>211</v>
      </c>
      <c r="G94" s="8" t="n">
        <v>18</v>
      </c>
      <c r="H94" s="11" t="s">
        <v>515</v>
      </c>
      <c r="I94" s="11" t="s">
        <v>516</v>
      </c>
      <c r="J94" s="11" t="s">
        <v>320</v>
      </c>
      <c r="K94" s="8" t="n">
        <v>19</v>
      </c>
      <c r="L94" s="8" t="n">
        <v>49</v>
      </c>
      <c r="M94" s="8" t="n">
        <v>5</v>
      </c>
      <c r="N94" s="8" t="n">
        <v>2</v>
      </c>
      <c r="O94" s="8" t="n">
        <v>3</v>
      </c>
      <c r="P94" s="9" t="n">
        <v>10.0487433728049</v>
      </c>
      <c r="Q94" s="10" t="n">
        <v>0.0995149306635016</v>
      </c>
      <c r="R94" s="9" t="n">
        <v>5.5</v>
      </c>
      <c r="S94" s="13" t="n">
        <f aca="false">IF(AND(ISNUMBER(R94),R94&gt;1,P94&gt;0),R94/P94-1,"")</f>
        <v>-0.452667881350741</v>
      </c>
      <c r="T94" s="9" t="n">
        <f aca="false">IF(AND(ISNUMBER(P94),P94&gt;0),P94*EXP('Read me'!$B$22),"")</f>
        <v>12.2735628715876</v>
      </c>
    </row>
    <row r="95" customFormat="false" ht="15" hidden="false" customHeight="false" outlineLevel="0" collapsed="false">
      <c r="A95" s="11" t="s">
        <v>170</v>
      </c>
      <c r="B95" s="11" t="s">
        <v>49</v>
      </c>
      <c r="C95" s="11" t="s">
        <v>171</v>
      </c>
      <c r="D95" s="11"/>
      <c r="E95" s="12" t="n">
        <v>10</v>
      </c>
      <c r="F95" s="11" t="s">
        <v>211</v>
      </c>
      <c r="G95" s="8" t="n">
        <v>18</v>
      </c>
      <c r="H95" s="11" t="s">
        <v>517</v>
      </c>
      <c r="I95" s="11" t="s">
        <v>518</v>
      </c>
      <c r="J95" s="11" t="s">
        <v>389</v>
      </c>
      <c r="K95" s="8" t="n">
        <v>7</v>
      </c>
      <c r="L95" s="8" t="n">
        <v>71</v>
      </c>
      <c r="M95" s="8" t="n">
        <v>4</v>
      </c>
      <c r="N95" s="8" t="n">
        <v>28</v>
      </c>
      <c r="O95" s="8" t="n">
        <v>4</v>
      </c>
      <c r="P95" s="9" t="n">
        <v>10.5695170705165</v>
      </c>
      <c r="Q95" s="10" t="n">
        <v>0.0946117020605877</v>
      </c>
      <c r="R95" s="9" t="n">
        <v>6</v>
      </c>
      <c r="S95" s="13" t="n">
        <f aca="false">IF(AND(ISNUMBER(R95),R95&gt;1,P95&gt;0),R95/P95-1,"")</f>
        <v>-0.432329787636474</v>
      </c>
      <c r="T95" s="9" t="n">
        <f aca="false">IF(AND(ISNUMBER(P95),P95&gt;0),P95*EXP('Read me'!$B$22),"")</f>
        <v>12.9096373023498</v>
      </c>
    </row>
    <row r="96" customFormat="false" ht="15" hidden="false" customHeight="false" outlineLevel="0" collapsed="false">
      <c r="A96" s="11" t="s">
        <v>170</v>
      </c>
      <c r="B96" s="11" t="s">
        <v>49</v>
      </c>
      <c r="C96" s="11" t="s">
        <v>171</v>
      </c>
      <c r="D96" s="11"/>
      <c r="E96" s="12" t="n">
        <v>10</v>
      </c>
      <c r="F96" s="11" t="s">
        <v>211</v>
      </c>
      <c r="G96" s="8" t="n">
        <v>18</v>
      </c>
      <c r="H96" s="11" t="s">
        <v>519</v>
      </c>
      <c r="I96" s="11" t="s">
        <v>520</v>
      </c>
      <c r="J96" s="11" t="s">
        <v>320</v>
      </c>
      <c r="K96" s="8" t="n">
        <v>17</v>
      </c>
      <c r="L96" s="8" t="n">
        <v>62</v>
      </c>
      <c r="M96" s="8" t="n">
        <v>5</v>
      </c>
      <c r="N96" s="8" t="n">
        <v>40</v>
      </c>
      <c r="O96" s="8" t="n">
        <v>5</v>
      </c>
      <c r="P96" s="9" t="n">
        <v>11.2567192088087</v>
      </c>
      <c r="Q96" s="10" t="n">
        <v>0.088835830533773</v>
      </c>
      <c r="R96" s="9" t="n">
        <v>7</v>
      </c>
      <c r="S96" s="13" t="n">
        <f aca="false">IF(AND(ISNUMBER(R96),R96&gt;1,P96&gt;0),R96/P96-1,"")</f>
        <v>-0.378149186263589</v>
      </c>
      <c r="T96" s="9" t="n">
        <f aca="false">IF(AND(ISNUMBER(P96),P96&gt;0),P96*EXP('Read me'!$B$22),"")</f>
        <v>13.7489878894735</v>
      </c>
    </row>
    <row r="97" customFormat="false" ht="15" hidden="false" customHeight="false" outlineLevel="0" collapsed="false">
      <c r="A97" s="11" t="s">
        <v>170</v>
      </c>
      <c r="B97" s="11" t="s">
        <v>49</v>
      </c>
      <c r="C97" s="11" t="s">
        <v>171</v>
      </c>
      <c r="D97" s="11"/>
      <c r="E97" s="12" t="n">
        <v>10</v>
      </c>
      <c r="F97" s="11" t="s">
        <v>211</v>
      </c>
      <c r="G97" s="8" t="n">
        <v>18</v>
      </c>
      <c r="H97" s="11" t="s">
        <v>521</v>
      </c>
      <c r="I97" s="11" t="s">
        <v>522</v>
      </c>
      <c r="J97" s="11" t="s">
        <v>523</v>
      </c>
      <c r="K97" s="8" t="n">
        <v>23</v>
      </c>
      <c r="L97" s="8" t="n">
        <v>70</v>
      </c>
      <c r="M97" s="8" t="n">
        <v>8</v>
      </c>
      <c r="N97" s="8" t="n">
        <v>12</v>
      </c>
      <c r="O97" s="8" t="n">
        <v>6</v>
      </c>
      <c r="P97" s="9" t="n">
        <v>16.8623451202688</v>
      </c>
      <c r="Q97" s="10" t="n">
        <v>0.0593037322429124</v>
      </c>
      <c r="R97" s="9" t="n">
        <v>15</v>
      </c>
      <c r="S97" s="13" t="n">
        <f aca="false">IF(AND(ISNUMBER(R97),R97&gt;1,P97&gt;0),R97/P97-1,"")</f>
        <v>-0.110444016356314</v>
      </c>
      <c r="T97" s="9" t="n">
        <f aca="false">IF(AND(ISNUMBER(P97),P97&gt;0),P97*EXP('Read me'!$B$22),"")</f>
        <v>20.595714838945</v>
      </c>
    </row>
    <row r="98" customFormat="false" ht="15" hidden="false" customHeight="false" outlineLevel="0" collapsed="false">
      <c r="A98" s="11" t="s">
        <v>170</v>
      </c>
      <c r="B98" s="11" t="s">
        <v>49</v>
      </c>
      <c r="C98" s="11" t="s">
        <v>171</v>
      </c>
      <c r="D98" s="11"/>
      <c r="E98" s="12" t="n">
        <v>10</v>
      </c>
      <c r="F98" s="11" t="s">
        <v>211</v>
      </c>
      <c r="G98" s="8" t="n">
        <v>18</v>
      </c>
      <c r="H98" s="11" t="s">
        <v>524</v>
      </c>
      <c r="I98" s="11" t="s">
        <v>525</v>
      </c>
      <c r="J98" s="11" t="s">
        <v>526</v>
      </c>
      <c r="K98" s="8" t="n">
        <v>15</v>
      </c>
      <c r="L98" s="8" t="n">
        <v>61</v>
      </c>
      <c r="M98" s="8" t="n">
        <v>4</v>
      </c>
      <c r="N98" s="8" t="n">
        <v>53</v>
      </c>
      <c r="O98" s="8" t="n">
        <v>7</v>
      </c>
      <c r="P98" s="9" t="n">
        <v>17.2247689103517</v>
      </c>
      <c r="Q98" s="10" t="n">
        <v>0.0580559312699412</v>
      </c>
      <c r="R98" s="9" t="n">
        <v>21</v>
      </c>
      <c r="S98" s="13" t="n">
        <f aca="false">IF(AND(ISNUMBER(R98),R98&gt;1,P98&gt;0),R98/P98-1,"")</f>
        <v>0.219174556668765</v>
      </c>
      <c r="T98" s="9" t="n">
        <f aca="false">IF(AND(ISNUMBER(P98),P98&gt;0),P98*EXP('Read me'!$B$22),"")</f>
        <v>21.0383802557752</v>
      </c>
    </row>
    <row r="99" customFormat="false" ht="15" hidden="false" customHeight="false" outlineLevel="0" collapsed="false">
      <c r="A99" s="11" t="s">
        <v>170</v>
      </c>
      <c r="B99" s="11" t="s">
        <v>49</v>
      </c>
      <c r="C99" s="11" t="s">
        <v>171</v>
      </c>
      <c r="D99" s="11"/>
      <c r="E99" s="12" t="n">
        <v>10</v>
      </c>
      <c r="F99" s="11" t="s">
        <v>211</v>
      </c>
      <c r="G99" s="8" t="n">
        <v>18</v>
      </c>
      <c r="H99" s="11" t="s">
        <v>527</v>
      </c>
      <c r="I99" s="11" t="s">
        <v>528</v>
      </c>
      <c r="J99" s="11" t="s">
        <v>226</v>
      </c>
      <c r="K99" s="8" t="n">
        <v>18</v>
      </c>
      <c r="L99" s="8" t="n">
        <v>58</v>
      </c>
      <c r="M99" s="8" t="n">
        <v>4</v>
      </c>
      <c r="N99" s="8" t="n">
        <v>8</v>
      </c>
      <c r="O99" s="8" t="n">
        <v>8</v>
      </c>
      <c r="P99" s="9" t="n">
        <v>25.4488434094895</v>
      </c>
      <c r="Q99" s="10" t="n">
        <v>0.039294516607663</v>
      </c>
      <c r="R99" s="9" t="n">
        <v>12</v>
      </c>
      <c r="S99" s="13" t="n">
        <f aca="false">IF(AND(ISNUMBER(R99),R99&gt;1,P99&gt;0),R99/P99-1,"")</f>
        <v>-0.528465800708044</v>
      </c>
      <c r="T99" s="9" t="n">
        <f aca="false">IF(AND(ISNUMBER(P99),P99&gt;0),P99*EXP('Read me'!$B$22),"")</f>
        <v>31.0832875323367</v>
      </c>
    </row>
    <row r="100" customFormat="false" ht="15" hidden="false" customHeight="false" outlineLevel="0" collapsed="false">
      <c r="A100" s="11" t="s">
        <v>170</v>
      </c>
      <c r="B100" s="11" t="s">
        <v>49</v>
      </c>
      <c r="C100" s="11" t="s">
        <v>171</v>
      </c>
      <c r="D100" s="11"/>
      <c r="E100" s="12" t="n">
        <v>10</v>
      </c>
      <c r="F100" s="11" t="s">
        <v>211</v>
      </c>
      <c r="G100" s="8" t="n">
        <v>18</v>
      </c>
      <c r="H100" s="11" t="s">
        <v>529</v>
      </c>
      <c r="I100" s="11" t="s">
        <v>530</v>
      </c>
      <c r="J100" s="11" t="s">
        <v>224</v>
      </c>
      <c r="K100" s="8" t="n">
        <v>4</v>
      </c>
      <c r="L100" s="8" t="n">
        <v>62</v>
      </c>
      <c r="M100" s="8" t="n">
        <v>3</v>
      </c>
      <c r="N100" s="8" t="n">
        <v>25</v>
      </c>
      <c r="O100" s="8" t="n">
        <v>9</v>
      </c>
      <c r="P100" s="9" t="n">
        <v>29.4113538940938</v>
      </c>
      <c r="Q100" s="10" t="n">
        <v>0.0340004749050609</v>
      </c>
      <c r="R100" s="9" t="n">
        <v>26</v>
      </c>
      <c r="S100" s="13" t="n">
        <f aca="false">IF(AND(ISNUMBER(R100),R100&gt;1,P100&gt;0),R100/P100-1,"")</f>
        <v>-0.115987652468416</v>
      </c>
      <c r="T100" s="9" t="n">
        <f aca="false">IF(AND(ISNUMBER(P100),P100&gt;0),P100*EXP('Read me'!$B$22),"")</f>
        <v>35.923108767471</v>
      </c>
    </row>
    <row r="101" customFormat="false" ht="15" hidden="false" customHeight="false" outlineLevel="0" collapsed="false">
      <c r="A101" s="11" t="s">
        <v>170</v>
      </c>
      <c r="B101" s="11" t="s">
        <v>49</v>
      </c>
      <c r="C101" s="11" t="s">
        <v>171</v>
      </c>
      <c r="D101" s="11"/>
      <c r="E101" s="12" t="n">
        <v>10</v>
      </c>
      <c r="F101" s="11" t="s">
        <v>211</v>
      </c>
      <c r="G101" s="8" t="n">
        <v>18</v>
      </c>
      <c r="H101" s="11" t="s">
        <v>531</v>
      </c>
      <c r="I101" s="11" t="s">
        <v>532</v>
      </c>
      <c r="J101" s="11" t="s">
        <v>533</v>
      </c>
      <c r="K101" s="8" t="n">
        <v>20</v>
      </c>
      <c r="L101" s="8" t="n">
        <v>60</v>
      </c>
      <c r="M101" s="8" t="n">
        <v>4</v>
      </c>
      <c r="N101" s="8" t="n">
        <v>50</v>
      </c>
      <c r="O101" s="8" t="n">
        <v>10</v>
      </c>
      <c r="P101" s="9" t="n">
        <v>35.8469599022574</v>
      </c>
      <c r="Q101" s="10" t="n">
        <v>0.0278963684152481</v>
      </c>
      <c r="R101" s="9" t="n">
        <v>10</v>
      </c>
      <c r="S101" s="13" t="n">
        <f aca="false">IF(AND(ISNUMBER(R101),R101&gt;1,P101&gt;0),R101/P101-1,"")</f>
        <v>-0.721036315847519</v>
      </c>
      <c r="T101" s="9" t="n">
        <f aca="false">IF(AND(ISNUMBER(P101),P101&gt;0),P101*EXP('Read me'!$B$22),"")</f>
        <v>43.7835756962742</v>
      </c>
    </row>
    <row r="102" customFormat="false" ht="15" hidden="false" customHeight="false" outlineLevel="0" collapsed="false">
      <c r="A102" s="11" t="s">
        <v>170</v>
      </c>
      <c r="B102" s="11" t="s">
        <v>49</v>
      </c>
      <c r="C102" s="11" t="s">
        <v>171</v>
      </c>
      <c r="D102" s="11"/>
      <c r="E102" s="12" t="n">
        <v>10</v>
      </c>
      <c r="F102" s="11" t="s">
        <v>211</v>
      </c>
      <c r="G102" s="8" t="n">
        <v>18</v>
      </c>
      <c r="H102" s="11" t="s">
        <v>534</v>
      </c>
      <c r="I102" s="11" t="s">
        <v>535</v>
      </c>
      <c r="J102" s="11" t="s">
        <v>536</v>
      </c>
      <c r="K102" s="8" t="n">
        <v>13</v>
      </c>
      <c r="L102" s="8" t="n">
        <v>61</v>
      </c>
      <c r="M102" s="8" t="n">
        <v>3</v>
      </c>
      <c r="N102" s="8" t="n">
        <v>19</v>
      </c>
      <c r="O102" s="8" t="n">
        <v>11</v>
      </c>
      <c r="P102" s="9" t="n">
        <v>42.4441961608176</v>
      </c>
      <c r="Q102" s="10" t="n">
        <v>0.0235603472430266</v>
      </c>
      <c r="R102" s="9" t="n">
        <v>21</v>
      </c>
      <c r="S102" s="13" t="n">
        <f aca="false">IF(AND(ISNUMBER(R102),R102&gt;1,P102&gt;0),R102/P102-1,"")</f>
        <v>-0.505232707896441</v>
      </c>
      <c r="T102" s="9" t="n">
        <f aca="false">IF(AND(ISNUMBER(P102),P102&gt;0),P102*EXP('Read me'!$B$22),"")</f>
        <v>51.8414582587139</v>
      </c>
    </row>
    <row r="103" customFormat="false" ht="15" hidden="false" customHeight="false" outlineLevel="0" collapsed="false">
      <c r="A103" s="11" t="s">
        <v>170</v>
      </c>
      <c r="B103" s="11" t="s">
        <v>49</v>
      </c>
      <c r="C103" s="11" t="s">
        <v>171</v>
      </c>
      <c r="D103" s="11"/>
      <c r="E103" s="12" t="n">
        <v>10</v>
      </c>
      <c r="F103" s="11" t="s">
        <v>211</v>
      </c>
      <c r="G103" s="8" t="n">
        <v>18</v>
      </c>
      <c r="H103" s="11" t="s">
        <v>537</v>
      </c>
      <c r="I103" s="11" t="s">
        <v>538</v>
      </c>
      <c r="J103" s="11" t="s">
        <v>539</v>
      </c>
      <c r="K103" s="8" t="n">
        <v>10</v>
      </c>
      <c r="L103" s="8" t="n">
        <v>66</v>
      </c>
      <c r="M103" s="8" t="n">
        <v>8</v>
      </c>
      <c r="N103" s="8" t="n">
        <v>341</v>
      </c>
      <c r="O103" s="8" t="n">
        <v>12</v>
      </c>
      <c r="P103" s="9" t="n">
        <v>52.9395380907805</v>
      </c>
      <c r="Q103" s="10" t="n">
        <v>0.0188894734647137</v>
      </c>
      <c r="R103" s="9" t="n">
        <v>23</v>
      </c>
      <c r="S103" s="13" t="n">
        <f aca="false">IF(AND(ISNUMBER(R103),R103&gt;1,P103&gt;0),R103/P103-1,"")</f>
        <v>-0.565542110311584</v>
      </c>
      <c r="T103" s="9" t="n">
        <f aca="false">IF(AND(ISNUMBER(P103),P103&gt;0),P103*EXP('Read me'!$B$22),"")</f>
        <v>64.6604978398047</v>
      </c>
    </row>
    <row r="104" customFormat="false" ht="15" hidden="false" customHeight="false" outlineLevel="0" collapsed="false">
      <c r="A104" s="11" t="s">
        <v>170</v>
      </c>
      <c r="B104" s="11" t="s">
        <v>49</v>
      </c>
      <c r="C104" s="11" t="s">
        <v>171</v>
      </c>
      <c r="D104" s="11"/>
      <c r="E104" s="12" t="n">
        <v>10</v>
      </c>
      <c r="F104" s="11" t="s">
        <v>211</v>
      </c>
      <c r="G104" s="8" t="n">
        <v>18</v>
      </c>
      <c r="H104" s="11" t="s">
        <v>540</v>
      </c>
      <c r="I104" s="11"/>
      <c r="J104" s="11" t="s">
        <v>541</v>
      </c>
      <c r="K104" s="8" t="n">
        <v>12</v>
      </c>
      <c r="L104" s="8" t="n">
        <v>60</v>
      </c>
      <c r="M104" s="8" t="n">
        <v>10</v>
      </c>
      <c r="N104" s="8" t="n">
        <v>28</v>
      </c>
      <c r="O104" s="8" t="n">
        <v>13</v>
      </c>
      <c r="P104" s="9" t="n">
        <v>59.2473644274317</v>
      </c>
      <c r="Q104" s="10" t="n">
        <v>0.0168783879192607</v>
      </c>
      <c r="R104" s="9" t="n">
        <v>67</v>
      </c>
      <c r="S104" s="13" t="n">
        <f aca="false">IF(AND(ISNUMBER(R104),R104&gt;1,P104&gt;0),R104/P104-1,"")</f>
        <v>0.130851990590467</v>
      </c>
      <c r="T104" s="9" t="n">
        <f aca="false">IF(AND(ISNUMBER(P104),P104&gt;0),P104*EXP('Read me'!$B$22),"")</f>
        <v>72.3648943253858</v>
      </c>
    </row>
    <row r="105" customFormat="false" ht="15" hidden="false" customHeight="false" outlineLevel="0" collapsed="false">
      <c r="A105" s="11" t="s">
        <v>170</v>
      </c>
      <c r="B105" s="11" t="s">
        <v>49</v>
      </c>
      <c r="C105" s="11" t="s">
        <v>171</v>
      </c>
      <c r="D105" s="11"/>
      <c r="E105" s="12" t="n">
        <v>10</v>
      </c>
      <c r="F105" s="11" t="s">
        <v>211</v>
      </c>
      <c r="G105" s="8" t="n">
        <v>18</v>
      </c>
      <c r="H105" s="11" t="s">
        <v>542</v>
      </c>
      <c r="I105" s="11" t="s">
        <v>543</v>
      </c>
      <c r="J105" s="11" t="s">
        <v>544</v>
      </c>
      <c r="K105" s="8" t="n">
        <v>22</v>
      </c>
      <c r="L105" s="8" t="n">
        <v>57</v>
      </c>
      <c r="M105" s="8" t="n">
        <v>3</v>
      </c>
      <c r="N105" s="8" t="n">
        <v>181</v>
      </c>
      <c r="O105" s="8" t="n">
        <v>14</v>
      </c>
      <c r="P105" s="9" t="n">
        <v>73.4188999449473</v>
      </c>
      <c r="Q105" s="10" t="n">
        <v>0.0136204710333421</v>
      </c>
      <c r="R105" s="9" t="n">
        <v>34</v>
      </c>
      <c r="S105" s="13" t="n">
        <f aca="false">IF(AND(ISNUMBER(R105),R105&gt;1,P105&gt;0),R105/P105-1,"")</f>
        <v>-0.536903984866367</v>
      </c>
      <c r="T105" s="9" t="n">
        <f aca="false">IF(AND(ISNUMBER(P105),P105&gt;0),P105*EXP('Read me'!$B$22),"")</f>
        <v>89.6740468938441</v>
      </c>
    </row>
    <row r="106" customFormat="false" ht="15" hidden="false" customHeight="false" outlineLevel="0" collapsed="false">
      <c r="A106" s="11" t="s">
        <v>170</v>
      </c>
      <c r="B106" s="11" t="s">
        <v>49</v>
      </c>
      <c r="C106" s="11" t="s">
        <v>171</v>
      </c>
      <c r="D106" s="11"/>
      <c r="E106" s="12" t="n">
        <v>10</v>
      </c>
      <c r="F106" s="11" t="s">
        <v>211</v>
      </c>
      <c r="G106" s="8" t="n">
        <v>18</v>
      </c>
      <c r="H106" s="11" t="s">
        <v>545</v>
      </c>
      <c r="I106" s="11" t="s">
        <v>546</v>
      </c>
      <c r="J106" s="11" t="s">
        <v>547</v>
      </c>
      <c r="K106" s="8" t="n">
        <v>16</v>
      </c>
      <c r="L106" s="8" t="n">
        <v>64</v>
      </c>
      <c r="M106" s="8" t="n">
        <v>5</v>
      </c>
      <c r="N106" s="8" t="n">
        <v>22</v>
      </c>
      <c r="O106" s="8" t="n">
        <v>15</v>
      </c>
      <c r="P106" s="9" t="n">
        <v>82.6501752932484</v>
      </c>
      <c r="Q106" s="10" t="n">
        <v>0.0120991878898251</v>
      </c>
      <c r="R106" s="9" t="n">
        <v>19</v>
      </c>
      <c r="S106" s="13" t="n">
        <f aca="false">IF(AND(ISNUMBER(R106),R106&gt;1,P106&gt;0),R106/P106-1,"")</f>
        <v>-0.770115430093322</v>
      </c>
      <c r="T106" s="9" t="n">
        <f aca="false">IF(AND(ISNUMBER(P106),P106&gt;0),P106*EXP('Read me'!$B$22),"")</f>
        <v>100.949152065595</v>
      </c>
    </row>
    <row r="107" customFormat="false" ht="15" hidden="false" customHeight="false" outlineLevel="0" collapsed="false">
      <c r="A107" s="11" t="s">
        <v>170</v>
      </c>
      <c r="B107" s="11" t="s">
        <v>49</v>
      </c>
      <c r="C107" s="11" t="s">
        <v>171</v>
      </c>
      <c r="D107" s="11"/>
      <c r="E107" s="12" t="n">
        <v>10</v>
      </c>
      <c r="F107" s="11" t="s">
        <v>211</v>
      </c>
      <c r="G107" s="8" t="n">
        <v>18</v>
      </c>
      <c r="H107" s="11" t="s">
        <v>548</v>
      </c>
      <c r="I107" s="11" t="s">
        <v>549</v>
      </c>
      <c r="J107" s="11" t="s">
        <v>219</v>
      </c>
      <c r="K107" s="8" t="n">
        <v>5</v>
      </c>
      <c r="L107" s="8" t="n">
        <v>64</v>
      </c>
      <c r="M107" s="8" t="n">
        <v>3</v>
      </c>
      <c r="N107" s="8" t="n">
        <v>42</v>
      </c>
      <c r="O107" s="8" t="n">
        <v>16</v>
      </c>
      <c r="P107" s="9" t="n">
        <v>88.9608411213698</v>
      </c>
      <c r="Q107" s="10" t="n">
        <v>0.011240900910949</v>
      </c>
      <c r="R107" s="9" t="n">
        <v>41</v>
      </c>
      <c r="S107" s="13" t="n">
        <f aca="false">IF(AND(ISNUMBER(R107),R107&gt;1,P107&gt;0),R107/P107-1,"")</f>
        <v>-0.539123062651089</v>
      </c>
      <c r="T107" s="9" t="n">
        <f aca="false">IF(AND(ISNUMBER(P107),P107&gt;0),P107*EXP('Read me'!$B$22),"")</f>
        <v>108.65701671389</v>
      </c>
    </row>
    <row r="108" customFormat="false" ht="15" hidden="false" customHeight="false" outlineLevel="0" collapsed="false">
      <c r="A108" s="11" t="s">
        <v>170</v>
      </c>
      <c r="B108" s="11" t="s">
        <v>49</v>
      </c>
      <c r="C108" s="11" t="s">
        <v>171</v>
      </c>
      <c r="D108" s="11"/>
      <c r="E108" s="12" t="n">
        <v>10</v>
      </c>
      <c r="F108" s="11" t="s">
        <v>211</v>
      </c>
      <c r="G108" s="8" t="n">
        <v>18</v>
      </c>
      <c r="H108" s="11" t="s">
        <v>550</v>
      </c>
      <c r="I108" s="11" t="s">
        <v>551</v>
      </c>
      <c r="J108" s="11" t="s">
        <v>240</v>
      </c>
      <c r="K108" s="8" t="n">
        <v>9</v>
      </c>
      <c r="L108" s="8" t="n">
        <v>72</v>
      </c>
      <c r="M108" s="8" t="n">
        <v>6</v>
      </c>
      <c r="N108" s="8" t="n">
        <v>45</v>
      </c>
      <c r="O108" s="8" t="n">
        <v>17</v>
      </c>
      <c r="P108" s="9" t="n">
        <v>93.0438759961226</v>
      </c>
      <c r="Q108" s="10" t="n">
        <v>0.0107476176082956</v>
      </c>
      <c r="R108" s="9" t="n">
        <v>51</v>
      </c>
      <c r="S108" s="13" t="n">
        <f aca="false">IF(AND(ISNUMBER(R108),R108&gt;1,P108&gt;0),R108/P108-1,"")</f>
        <v>-0.451871501976924</v>
      </c>
      <c r="T108" s="9" t="n">
        <f aca="false">IF(AND(ISNUMBER(P108),P108&gt;0),P108*EXP('Read me'!$B$22),"")</f>
        <v>113.644046771577</v>
      </c>
    </row>
    <row r="109" customFormat="false" ht="15" hidden="false" customHeight="false" outlineLevel="0" collapsed="false">
      <c r="A109" s="11" t="s">
        <v>170</v>
      </c>
      <c r="B109" s="11" t="s">
        <v>49</v>
      </c>
      <c r="C109" s="11" t="s">
        <v>171</v>
      </c>
      <c r="D109" s="11"/>
      <c r="E109" s="12" t="n">
        <v>10</v>
      </c>
      <c r="F109" s="11" t="s">
        <v>211</v>
      </c>
      <c r="G109" s="8" t="n">
        <v>18</v>
      </c>
      <c r="H109" s="11" t="s">
        <v>552</v>
      </c>
      <c r="I109" s="11" t="s">
        <v>553</v>
      </c>
      <c r="J109" s="11" t="s">
        <v>554</v>
      </c>
      <c r="K109" s="8" t="n">
        <v>1</v>
      </c>
      <c r="L109" s="8" t="n">
        <v>56</v>
      </c>
      <c r="M109" s="8" t="n">
        <v>4</v>
      </c>
      <c r="N109" s="8" t="n">
        <v>22</v>
      </c>
      <c r="O109" s="8" t="n">
        <v>18</v>
      </c>
      <c r="P109" s="9" t="n">
        <v>120.306547751701</v>
      </c>
      <c r="Q109" s="10" t="n">
        <v>0.0083120995381222</v>
      </c>
      <c r="R109" s="9" t="n">
        <v>34</v>
      </c>
      <c r="S109" s="13" t="n">
        <f aca="false">IF(AND(ISNUMBER(R109),R109&gt;1,P109&gt;0),R109/P109-1,"")</f>
        <v>-0.717388615703843</v>
      </c>
      <c r="T109" s="9" t="n">
        <f aca="false">IF(AND(ISNUMBER(P109),P109&gt;0),P109*EXP('Read me'!$B$22),"")</f>
        <v>146.942749248656</v>
      </c>
    </row>
  </sheetData>
  <autoFilter ref="A1:T109"/>
  <conditionalFormatting sqref="A2:T109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176</v>
      </c>
      <c r="E1" s="6" t="s">
        <v>177</v>
      </c>
      <c r="F1" s="6" t="s">
        <v>178</v>
      </c>
      <c r="G1" s="6" t="s">
        <v>1</v>
      </c>
      <c r="H1" s="6" t="s">
        <v>179</v>
      </c>
      <c r="I1" s="6" t="s">
        <v>35</v>
      </c>
      <c r="J1" s="6" t="s">
        <v>36</v>
      </c>
      <c r="K1" s="6" t="s">
        <v>180</v>
      </c>
      <c r="L1" s="6" t="s">
        <v>181</v>
      </c>
      <c r="M1" s="6" t="s">
        <v>182</v>
      </c>
      <c r="N1" s="6" t="s">
        <v>183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55</v>
      </c>
      <c r="B2" s="11" t="s">
        <v>56</v>
      </c>
      <c r="C2" s="11" t="s">
        <v>57</v>
      </c>
      <c r="D2" s="11" t="s">
        <v>241</v>
      </c>
      <c r="E2" s="12" t="n">
        <v>7</v>
      </c>
      <c r="F2" s="11" t="s">
        <v>242</v>
      </c>
      <c r="G2" s="8" t="n">
        <v>8</v>
      </c>
      <c r="H2" s="11" t="s">
        <v>58</v>
      </c>
      <c r="I2" s="11" t="s">
        <v>59</v>
      </c>
      <c r="J2" s="11" t="s">
        <v>60</v>
      </c>
      <c r="K2" s="8" t="n">
        <v>7</v>
      </c>
      <c r="L2" s="8" t="n">
        <v>73</v>
      </c>
      <c r="M2" s="8" t="n">
        <v>2</v>
      </c>
      <c r="N2" s="8" t="n">
        <v>69</v>
      </c>
      <c r="O2" s="8" t="n">
        <v>1</v>
      </c>
      <c r="P2" s="9" t="n">
        <v>4.59751270241181</v>
      </c>
      <c r="Q2" s="10" t="n">
        <v>0.217508915086936</v>
      </c>
      <c r="R2" s="9" t="n">
        <v>5.5</v>
      </c>
      <c r="S2" s="13" t="n">
        <f aca="false">IF(AND(ISNUMBER(R2),R2&gt;1,P2&gt;0),R2/P2-1,"")</f>
        <v>0.196299032978149</v>
      </c>
      <c r="T2" s="9" t="n">
        <f aca="false">IF(AND(ISNUMBER(P2),P2&gt;0),P2*EXP('Read me'!$B$22),"")</f>
        <v>5.6154146954022</v>
      </c>
    </row>
    <row r="3" customFormat="false" ht="15" hidden="false" customHeight="false" outlineLevel="0" collapsed="false">
      <c r="A3" s="11" t="s">
        <v>55</v>
      </c>
      <c r="B3" s="11" t="s">
        <v>56</v>
      </c>
      <c r="C3" s="11" t="s">
        <v>57</v>
      </c>
      <c r="D3" s="11" t="s">
        <v>241</v>
      </c>
      <c r="E3" s="12" t="n">
        <v>7</v>
      </c>
      <c r="F3" s="11" t="s">
        <v>242</v>
      </c>
      <c r="G3" s="8" t="n">
        <v>8</v>
      </c>
      <c r="H3" s="11" t="s">
        <v>61</v>
      </c>
      <c r="I3" s="11" t="s">
        <v>243</v>
      </c>
      <c r="J3" s="11" t="s">
        <v>244</v>
      </c>
      <c r="K3" s="8" t="n">
        <v>3</v>
      </c>
      <c r="L3" s="8" t="n">
        <v>76</v>
      </c>
      <c r="M3" s="8" t="n">
        <v>2</v>
      </c>
      <c r="N3" s="8" t="n">
        <v>17</v>
      </c>
      <c r="O3" s="8" t="n">
        <v>2</v>
      </c>
      <c r="P3" s="9" t="n">
        <v>5.82020933403116</v>
      </c>
      <c r="Q3" s="10" t="n">
        <v>0.171815125987468</v>
      </c>
      <c r="R3" s="9" t="n">
        <v>3.5</v>
      </c>
      <c r="S3" s="13" t="n">
        <f aca="false">IF(AND(ISNUMBER(R3),R3&gt;1,P3&gt;0),R3/P3-1,"")</f>
        <v>-0.398647059043863</v>
      </c>
      <c r="T3" s="9" t="n">
        <f aca="false">IF(AND(ISNUMBER(P3),P3&gt;0),P3*EXP('Read me'!$B$22),"")</f>
        <v>7.10881973365523</v>
      </c>
    </row>
    <row r="4" customFormat="false" ht="15" hidden="false" customHeight="false" outlineLevel="0" collapsed="false">
      <c r="A4" s="11" t="s">
        <v>55</v>
      </c>
      <c r="B4" s="11" t="s">
        <v>56</v>
      </c>
      <c r="C4" s="11" t="s">
        <v>57</v>
      </c>
      <c r="D4" s="11" t="s">
        <v>241</v>
      </c>
      <c r="E4" s="12" t="n">
        <v>7</v>
      </c>
      <c r="F4" s="11" t="s">
        <v>242</v>
      </c>
      <c r="G4" s="8" t="n">
        <v>8</v>
      </c>
      <c r="H4" s="11" t="s">
        <v>245</v>
      </c>
      <c r="I4" s="11" t="s">
        <v>246</v>
      </c>
      <c r="J4" s="11" t="s">
        <v>247</v>
      </c>
      <c r="K4" s="8" t="n">
        <v>9</v>
      </c>
      <c r="L4" s="8" t="n">
        <v>83</v>
      </c>
      <c r="M4" s="8" t="n">
        <v>2</v>
      </c>
      <c r="N4" s="8" t="n">
        <v>38</v>
      </c>
      <c r="O4" s="8" t="n">
        <v>3</v>
      </c>
      <c r="P4" s="9" t="n">
        <v>6.2737355886032</v>
      </c>
      <c r="Q4" s="10" t="n">
        <v>0.159394667798335</v>
      </c>
      <c r="R4" s="9" t="n">
        <v>4.5</v>
      </c>
      <c r="S4" s="13" t="n">
        <f aca="false">IF(AND(ISNUMBER(R4),R4&gt;1,P4&gt;0),R4/P4-1,"")</f>
        <v>-0.282723994907492</v>
      </c>
      <c r="T4" s="9" t="n">
        <f aca="false">IF(AND(ISNUMBER(P4),P4&gt;0),P4*EXP('Read me'!$B$22),"")</f>
        <v>7.66275795188757</v>
      </c>
    </row>
    <row r="5" customFormat="false" ht="15" hidden="false" customHeight="false" outlineLevel="0" collapsed="false">
      <c r="A5" s="11" t="s">
        <v>55</v>
      </c>
      <c r="B5" s="11" t="s">
        <v>56</v>
      </c>
      <c r="C5" s="11" t="s">
        <v>57</v>
      </c>
      <c r="D5" s="11" t="s">
        <v>241</v>
      </c>
      <c r="E5" s="12" t="n">
        <v>7</v>
      </c>
      <c r="F5" s="11" t="s">
        <v>242</v>
      </c>
      <c r="G5" s="8" t="n">
        <v>8</v>
      </c>
      <c r="H5" s="11" t="s">
        <v>248</v>
      </c>
      <c r="I5" s="11" t="s">
        <v>92</v>
      </c>
      <c r="J5" s="11" t="s">
        <v>249</v>
      </c>
      <c r="K5" s="8" t="n">
        <v>8</v>
      </c>
      <c r="L5" s="8" t="n">
        <v>80</v>
      </c>
      <c r="M5" s="8" t="n">
        <v>2</v>
      </c>
      <c r="N5" s="8" t="n">
        <v>38</v>
      </c>
      <c r="O5" s="8" t="n">
        <v>4</v>
      </c>
      <c r="P5" s="9" t="n">
        <v>8.74538487819185</v>
      </c>
      <c r="Q5" s="10" t="n">
        <v>0.114346025238257</v>
      </c>
      <c r="R5" s="9" t="n">
        <v>6.5</v>
      </c>
      <c r="S5" s="13" t="n">
        <f aca="false">IF(AND(ISNUMBER(R5),R5&gt;1,P5&gt;0),R5/P5-1,"")</f>
        <v>-0.256750835951327</v>
      </c>
      <c r="T5" s="9" t="n">
        <f aca="false">IF(AND(ISNUMBER(P5),P5&gt;0),P5*EXP('Read me'!$B$22),"")</f>
        <v>10.6816372113958</v>
      </c>
    </row>
    <row r="6" customFormat="false" ht="15" hidden="false" customHeight="false" outlineLevel="0" collapsed="false">
      <c r="A6" s="11" t="s">
        <v>55</v>
      </c>
      <c r="B6" s="11" t="s">
        <v>56</v>
      </c>
      <c r="C6" s="11" t="s">
        <v>57</v>
      </c>
      <c r="D6" s="11" t="s">
        <v>241</v>
      </c>
      <c r="E6" s="12" t="n">
        <v>7</v>
      </c>
      <c r="F6" s="11" t="s">
        <v>242</v>
      </c>
      <c r="G6" s="8" t="n">
        <v>8</v>
      </c>
      <c r="H6" s="11" t="s">
        <v>250</v>
      </c>
      <c r="I6" s="11" t="s">
        <v>75</v>
      </c>
      <c r="J6" s="11" t="s">
        <v>251</v>
      </c>
      <c r="K6" s="8" t="n">
        <v>5</v>
      </c>
      <c r="L6" s="8" t="n">
        <v>78</v>
      </c>
      <c r="M6" s="8" t="n">
        <v>2</v>
      </c>
      <c r="N6" s="8" t="n">
        <v>34</v>
      </c>
      <c r="O6" s="8" t="n">
        <v>5</v>
      </c>
      <c r="P6" s="9" t="n">
        <v>9.13889470646226</v>
      </c>
      <c r="Q6" s="10" t="n">
        <v>0.109422422745814</v>
      </c>
      <c r="R6" s="9" t="n">
        <v>17</v>
      </c>
      <c r="S6" s="13" t="n">
        <f aca="false">IF(AND(ISNUMBER(R6),R6&gt;1,P6&gt;0),R6/P6-1,"")</f>
        <v>0.860181186678846</v>
      </c>
      <c r="T6" s="9" t="n">
        <f aca="false">IF(AND(ISNUMBER(P6),P6&gt;0),P6*EXP('Read me'!$B$22),"")</f>
        <v>11.1622712010084</v>
      </c>
    </row>
    <row r="7" customFormat="false" ht="15" hidden="false" customHeight="false" outlineLevel="0" collapsed="false">
      <c r="A7" s="11" t="s">
        <v>55</v>
      </c>
      <c r="B7" s="11" t="s">
        <v>56</v>
      </c>
      <c r="C7" s="11" t="s">
        <v>57</v>
      </c>
      <c r="D7" s="11" t="s">
        <v>241</v>
      </c>
      <c r="E7" s="12" t="n">
        <v>7</v>
      </c>
      <c r="F7" s="11" t="s">
        <v>242</v>
      </c>
      <c r="G7" s="8" t="n">
        <v>8</v>
      </c>
      <c r="H7" s="11" t="s">
        <v>252</v>
      </c>
      <c r="I7" s="11" t="s">
        <v>253</v>
      </c>
      <c r="J7" s="11" t="s">
        <v>254</v>
      </c>
      <c r="K7" s="8" t="n">
        <v>1</v>
      </c>
      <c r="L7" s="8" t="n">
        <v>78</v>
      </c>
      <c r="M7" s="8" t="n">
        <v>2</v>
      </c>
      <c r="N7" s="8" t="n">
        <v>16</v>
      </c>
      <c r="O7" s="8" t="n">
        <v>6</v>
      </c>
      <c r="P7" s="9" t="n">
        <v>9.33500438373489</v>
      </c>
      <c r="Q7" s="10" t="n">
        <v>0.107123677600235</v>
      </c>
      <c r="R7" s="9" t="n">
        <v>9.5</v>
      </c>
      <c r="S7" s="13" t="n">
        <f aca="false">IF(AND(ISNUMBER(R7),R7&gt;1,P7&gt;0),R7/P7-1,"")</f>
        <v>0.017674937202236</v>
      </c>
      <c r="T7" s="9" t="n">
        <f aca="false">IF(AND(ISNUMBER(P7),P7&gt;0),P7*EXP('Read me'!$B$22),"")</f>
        <v>11.4018001017311</v>
      </c>
    </row>
    <row r="8" customFormat="false" ht="15" hidden="false" customHeight="false" outlineLevel="0" collapsed="false">
      <c r="A8" s="11" t="s">
        <v>55</v>
      </c>
      <c r="B8" s="11" t="s">
        <v>56</v>
      </c>
      <c r="C8" s="11" t="s">
        <v>57</v>
      </c>
      <c r="D8" s="11" t="s">
        <v>241</v>
      </c>
      <c r="E8" s="12" t="n">
        <v>7</v>
      </c>
      <c r="F8" s="11" t="s">
        <v>242</v>
      </c>
      <c r="G8" s="8" t="n">
        <v>8</v>
      </c>
      <c r="H8" s="11" t="s">
        <v>255</v>
      </c>
      <c r="I8" s="11" t="s">
        <v>127</v>
      </c>
      <c r="J8" s="11" t="s">
        <v>256</v>
      </c>
      <c r="K8" s="8" t="n">
        <v>6</v>
      </c>
      <c r="L8" s="8" t="n">
        <v>71</v>
      </c>
      <c r="M8" s="8" t="n">
        <v>2</v>
      </c>
      <c r="N8" s="8" t="n">
        <v>27</v>
      </c>
      <c r="O8" s="8" t="n">
        <v>7</v>
      </c>
      <c r="P8" s="9" t="n">
        <v>13.8115462440101</v>
      </c>
      <c r="Q8" s="10" t="n">
        <v>0.0724031895005012</v>
      </c>
      <c r="R8" s="9" t="n">
        <v>11</v>
      </c>
      <c r="S8" s="13" t="n">
        <f aca="false">IF(AND(ISNUMBER(R8),R8&gt;1,P8&gt;0),R8/P8-1,"")</f>
        <v>-0.203564915494487</v>
      </c>
      <c r="T8" s="9" t="n">
        <f aca="false">IF(AND(ISNUMBER(P8),P8&gt;0),P8*EXP('Read me'!$B$22),"")</f>
        <v>16.8694606768907</v>
      </c>
    </row>
    <row r="9" customFormat="false" ht="15" hidden="false" customHeight="false" outlineLevel="0" collapsed="false">
      <c r="A9" s="11" t="s">
        <v>55</v>
      </c>
      <c r="B9" s="11" t="s">
        <v>56</v>
      </c>
      <c r="C9" s="11" t="s">
        <v>57</v>
      </c>
      <c r="D9" s="11" t="s">
        <v>241</v>
      </c>
      <c r="E9" s="12" t="n">
        <v>7</v>
      </c>
      <c r="F9" s="11" t="s">
        <v>242</v>
      </c>
      <c r="G9" s="8" t="n">
        <v>8</v>
      </c>
      <c r="H9" s="11" t="s">
        <v>257</v>
      </c>
      <c r="I9" s="11" t="s">
        <v>258</v>
      </c>
      <c r="J9" s="11" t="s">
        <v>259</v>
      </c>
      <c r="K9" s="8" t="n">
        <v>2</v>
      </c>
      <c r="L9" s="8" t="n">
        <v>71</v>
      </c>
      <c r="M9" s="8" t="n">
        <v>2</v>
      </c>
      <c r="N9" s="8" t="n">
        <v>17</v>
      </c>
      <c r="O9" s="8" t="n">
        <v>8</v>
      </c>
      <c r="P9" s="9" t="n">
        <v>20.8394218993339</v>
      </c>
      <c r="Q9" s="10" t="n">
        <v>0.0479859760424526</v>
      </c>
      <c r="R9" s="9" t="n">
        <v>19</v>
      </c>
      <c r="S9" s="13" t="n">
        <f aca="false">IF(AND(ISNUMBER(R9),R9&gt;1,P9&gt;0),R9/P9-1,"")</f>
        <v>-0.0882664551933997</v>
      </c>
      <c r="T9" s="9" t="n">
        <f aca="false">IF(AND(ISNUMBER(P9),P9&gt;0),P9*EXP('Read me'!$B$22),"")</f>
        <v>25.4533273863099</v>
      </c>
    </row>
    <row r="10" customFormat="false" ht="15" hidden="false" customHeight="false" outlineLevel="0" collapsed="false">
      <c r="A10" s="11" t="s">
        <v>72</v>
      </c>
      <c r="B10" s="11" t="s">
        <v>56</v>
      </c>
      <c r="C10" s="11" t="s">
        <v>73</v>
      </c>
      <c r="D10" s="11" t="s">
        <v>285</v>
      </c>
      <c r="E10" s="12" t="n">
        <v>8.5</v>
      </c>
      <c r="F10" s="11" t="s">
        <v>242</v>
      </c>
      <c r="G10" s="8" t="n">
        <v>5</v>
      </c>
      <c r="H10" s="11" t="s">
        <v>74</v>
      </c>
      <c r="I10" s="11" t="s">
        <v>75</v>
      </c>
      <c r="J10" s="11" t="s">
        <v>66</v>
      </c>
      <c r="K10" s="8" t="n">
        <v>5</v>
      </c>
      <c r="L10" s="8" t="n">
        <v>0</v>
      </c>
      <c r="M10" s="8" t="n">
        <v>2</v>
      </c>
      <c r="N10" s="8" t="n">
        <v>24</v>
      </c>
      <c r="O10" s="8" t="n">
        <v>1</v>
      </c>
      <c r="P10" s="9" t="n">
        <v>3.31256245561359</v>
      </c>
      <c r="Q10" s="10" t="n">
        <v>0.301881100628115</v>
      </c>
      <c r="R10" s="9" t="n">
        <v>2.375</v>
      </c>
      <c r="S10" s="13" t="n">
        <f aca="false">IF(AND(ISNUMBER(R10),R10&gt;1,P10&gt;0),R10/P10-1,"")</f>
        <v>-0.283032386008227</v>
      </c>
      <c r="T10" s="9" t="n">
        <f aca="false">IF(AND(ISNUMBER(P10),P10&gt;0),P10*EXP('Read me'!$B$22),"")</f>
        <v>4.04597291986426</v>
      </c>
    </row>
    <row r="11" customFormat="false" ht="15" hidden="false" customHeight="false" outlineLevel="0" collapsed="false">
      <c r="A11" s="11" t="s">
        <v>72</v>
      </c>
      <c r="B11" s="11" t="s">
        <v>56</v>
      </c>
      <c r="C11" s="11" t="s">
        <v>73</v>
      </c>
      <c r="D11" s="11" t="s">
        <v>285</v>
      </c>
      <c r="E11" s="12" t="n">
        <v>8.5</v>
      </c>
      <c r="F11" s="11" t="s">
        <v>242</v>
      </c>
      <c r="G11" s="8" t="n">
        <v>5</v>
      </c>
      <c r="H11" s="11" t="s">
        <v>76</v>
      </c>
      <c r="I11" s="11" t="s">
        <v>92</v>
      </c>
      <c r="J11" s="11" t="s">
        <v>286</v>
      </c>
      <c r="K11" s="8" t="n">
        <v>4</v>
      </c>
      <c r="L11" s="8" t="n">
        <v>89</v>
      </c>
      <c r="M11" s="8" t="n">
        <v>2</v>
      </c>
      <c r="N11" s="8" t="n">
        <v>17</v>
      </c>
      <c r="O11" s="8" t="n">
        <v>2</v>
      </c>
      <c r="P11" s="9" t="n">
        <v>3.5245139727454</v>
      </c>
      <c r="Q11" s="10" t="n">
        <v>0.283727063570429</v>
      </c>
      <c r="R11" s="9" t="n">
        <v>4</v>
      </c>
      <c r="S11" s="13" t="n">
        <f aca="false">IF(AND(ISNUMBER(R11),R11&gt;1,P11&gt;0),R11/P11-1,"")</f>
        <v>0.134908254281718</v>
      </c>
      <c r="T11" s="9" t="n">
        <f aca="false">IF(AND(ISNUMBER(P11),P11&gt;0),P11*EXP('Read me'!$B$22),"")</f>
        <v>4.30485108748529</v>
      </c>
    </row>
    <row r="12" customFormat="false" ht="15" hidden="false" customHeight="false" outlineLevel="0" collapsed="false">
      <c r="A12" s="11" t="s">
        <v>72</v>
      </c>
      <c r="B12" s="11" t="s">
        <v>56</v>
      </c>
      <c r="C12" s="11" t="s">
        <v>73</v>
      </c>
      <c r="D12" s="11" t="s">
        <v>285</v>
      </c>
      <c r="E12" s="12" t="n">
        <v>8.5</v>
      </c>
      <c r="F12" s="11" t="s">
        <v>242</v>
      </c>
      <c r="G12" s="8" t="n">
        <v>5</v>
      </c>
      <c r="H12" s="11" t="s">
        <v>287</v>
      </c>
      <c r="I12" s="11" t="s">
        <v>127</v>
      </c>
      <c r="J12" s="11" t="s">
        <v>128</v>
      </c>
      <c r="K12" s="8" t="n">
        <v>1</v>
      </c>
      <c r="L12" s="8" t="n">
        <v>0</v>
      </c>
      <c r="M12" s="8" t="n">
        <v>2</v>
      </c>
      <c r="N12" s="8" t="n">
        <v>17</v>
      </c>
      <c r="O12" s="8" t="n">
        <v>3</v>
      </c>
      <c r="P12" s="9" t="n">
        <v>5.33912186667854</v>
      </c>
      <c r="Q12" s="10" t="n">
        <v>0.187296717507236</v>
      </c>
      <c r="R12" s="9" t="n">
        <v>3.5</v>
      </c>
      <c r="S12" s="13" t="n">
        <f aca="false">IF(AND(ISNUMBER(R12),R12&gt;1,P12&gt;0),R12/P12-1,"")</f>
        <v>-0.344461488724673</v>
      </c>
      <c r="T12" s="9" t="n">
        <f aca="false">IF(AND(ISNUMBER(P12),P12&gt;0),P12*EXP('Read me'!$B$22),"")</f>
        <v>6.52121817411445</v>
      </c>
    </row>
    <row r="13" customFormat="false" ht="15" hidden="false" customHeight="false" outlineLevel="0" collapsed="false">
      <c r="A13" s="11" t="s">
        <v>72</v>
      </c>
      <c r="B13" s="11" t="s">
        <v>56</v>
      </c>
      <c r="C13" s="11" t="s">
        <v>73</v>
      </c>
      <c r="D13" s="11" t="s">
        <v>285</v>
      </c>
      <c r="E13" s="12" t="n">
        <v>8.5</v>
      </c>
      <c r="F13" s="11" t="s">
        <v>242</v>
      </c>
      <c r="G13" s="8" t="n">
        <v>5</v>
      </c>
      <c r="H13" s="11" t="s">
        <v>288</v>
      </c>
      <c r="I13" s="11" t="s">
        <v>289</v>
      </c>
      <c r="J13" s="11" t="s">
        <v>249</v>
      </c>
      <c r="K13" s="8" t="n">
        <v>2</v>
      </c>
      <c r="L13" s="8" t="n">
        <v>91</v>
      </c>
      <c r="M13" s="8" t="n">
        <v>2</v>
      </c>
      <c r="N13" s="8" t="n">
        <v>59</v>
      </c>
      <c r="O13" s="8" t="n">
        <v>4</v>
      </c>
      <c r="P13" s="9" t="n">
        <v>8.01634204614209</v>
      </c>
      <c r="Q13" s="10" t="n">
        <v>0.124745176072078</v>
      </c>
      <c r="R13" s="9" t="n">
        <v>13</v>
      </c>
      <c r="S13" s="13" t="n">
        <f aca="false">IF(AND(ISNUMBER(R13),R13&gt;1,P13&gt;0),R13/P13-1,"")</f>
        <v>0.621687288937018</v>
      </c>
      <c r="T13" s="9" t="n">
        <f aca="false">IF(AND(ISNUMBER(P13),P13&gt;0),P13*EXP('Read me'!$B$22),"")</f>
        <v>9.79118228551329</v>
      </c>
    </row>
    <row r="14" customFormat="false" ht="15" hidden="false" customHeight="false" outlineLevel="0" collapsed="false">
      <c r="A14" s="11" t="s">
        <v>72</v>
      </c>
      <c r="B14" s="11" t="s">
        <v>56</v>
      </c>
      <c r="C14" s="11" t="s">
        <v>73</v>
      </c>
      <c r="D14" s="11" t="s">
        <v>285</v>
      </c>
      <c r="E14" s="12" t="n">
        <v>8.5</v>
      </c>
      <c r="F14" s="11" t="s">
        <v>242</v>
      </c>
      <c r="G14" s="8" t="n">
        <v>5</v>
      </c>
      <c r="H14" s="11" t="s">
        <v>290</v>
      </c>
      <c r="I14" s="11" t="s">
        <v>243</v>
      </c>
      <c r="J14" s="11" t="s">
        <v>244</v>
      </c>
      <c r="K14" s="8" t="n">
        <v>3</v>
      </c>
      <c r="L14" s="8" t="n">
        <v>81</v>
      </c>
      <c r="M14" s="8" t="n">
        <v>2</v>
      </c>
      <c r="N14" s="8" t="n">
        <v>31</v>
      </c>
      <c r="O14" s="8" t="n">
        <v>5</v>
      </c>
      <c r="P14" s="9" t="n">
        <v>9.77040121653995</v>
      </c>
      <c r="Q14" s="10" t="n">
        <v>0.102349942222141</v>
      </c>
      <c r="R14" s="9" t="n">
        <v>17</v>
      </c>
      <c r="S14" s="13" t="n">
        <f aca="false">IF(AND(ISNUMBER(R14),R14&gt;1,P14&gt;0),R14/P14-1,"")</f>
        <v>0.739949017776397</v>
      </c>
      <c r="T14" s="9" t="n">
        <f aca="false">IF(AND(ISNUMBER(P14),P14&gt;0),P14*EXP('Read me'!$B$22),"")</f>
        <v>11.9335949942134</v>
      </c>
    </row>
    <row r="15" customFormat="false" ht="15" hidden="false" customHeight="false" outlineLevel="0" collapsed="false">
      <c r="A15" s="11" t="s">
        <v>89</v>
      </c>
      <c r="B15" s="11" t="s">
        <v>56</v>
      </c>
      <c r="C15" s="11" t="s">
        <v>90</v>
      </c>
      <c r="D15" s="11" t="s">
        <v>305</v>
      </c>
      <c r="E15" s="12" t="n">
        <v>10</v>
      </c>
      <c r="F15" s="11" t="s">
        <v>242</v>
      </c>
      <c r="G15" s="8" t="n">
        <v>6</v>
      </c>
      <c r="H15" s="11" t="s">
        <v>91</v>
      </c>
      <c r="I15" s="11" t="s">
        <v>92</v>
      </c>
      <c r="J15" s="11" t="s">
        <v>93</v>
      </c>
      <c r="K15" s="8" t="n">
        <v>5</v>
      </c>
      <c r="L15" s="8" t="n">
        <v>75</v>
      </c>
      <c r="M15" s="8" t="n">
        <v>4</v>
      </c>
      <c r="N15" s="8" t="n">
        <v>24</v>
      </c>
      <c r="O15" s="8" t="n">
        <v>1</v>
      </c>
      <c r="P15" s="9" t="n">
        <v>3.49405326570162</v>
      </c>
      <c r="Q15" s="10" t="n">
        <v>0.286200559624038</v>
      </c>
      <c r="R15" s="9" t="n">
        <v>4</v>
      </c>
      <c r="S15" s="13" t="n">
        <f aca="false">IF(AND(ISNUMBER(R15),R15&gt;1,P15&gt;0),R15/P15-1,"")</f>
        <v>0.14480223849615</v>
      </c>
      <c r="T15" s="9" t="n">
        <f aca="false">IF(AND(ISNUMBER(P15),P15&gt;0),P15*EXP('Read me'!$B$22),"")</f>
        <v>4.26764629588651</v>
      </c>
    </row>
    <row r="16" customFormat="false" ht="15" hidden="false" customHeight="false" outlineLevel="0" collapsed="false">
      <c r="A16" s="11" t="s">
        <v>89</v>
      </c>
      <c r="B16" s="11" t="s">
        <v>56</v>
      </c>
      <c r="C16" s="11" t="s">
        <v>90</v>
      </c>
      <c r="D16" s="11" t="s">
        <v>305</v>
      </c>
      <c r="E16" s="12" t="n">
        <v>10</v>
      </c>
      <c r="F16" s="11" t="s">
        <v>242</v>
      </c>
      <c r="G16" s="8" t="n">
        <v>6</v>
      </c>
      <c r="H16" s="11" t="s">
        <v>94</v>
      </c>
      <c r="I16" s="11" t="s">
        <v>127</v>
      </c>
      <c r="J16" s="11" t="s">
        <v>128</v>
      </c>
      <c r="K16" s="8" t="n">
        <v>3</v>
      </c>
      <c r="L16" s="8" t="n">
        <v>0</v>
      </c>
      <c r="M16" s="8" t="n">
        <v>3</v>
      </c>
      <c r="N16" s="8"/>
      <c r="O16" s="8" t="n">
        <v>2</v>
      </c>
      <c r="P16" s="9" t="n">
        <v>3.93860003830891</v>
      </c>
      <c r="Q16" s="10" t="n">
        <v>0.253897321452666</v>
      </c>
      <c r="R16" s="9" t="n">
        <v>3.5</v>
      </c>
      <c r="S16" s="13" t="n">
        <f aca="false">IF(AND(ISNUMBER(R16),R16&gt;1,P16&gt;0),R16/P16-1,"")</f>
        <v>-0.111359374915668</v>
      </c>
      <c r="T16" s="9" t="n">
        <f aca="false">IF(AND(ISNUMBER(P16),P16&gt;0),P16*EXP('Read me'!$B$22),"")</f>
        <v>4.81061695008025</v>
      </c>
    </row>
    <row r="17" customFormat="false" ht="15" hidden="false" customHeight="false" outlineLevel="0" collapsed="false">
      <c r="A17" s="11" t="s">
        <v>89</v>
      </c>
      <c r="B17" s="11" t="s">
        <v>56</v>
      </c>
      <c r="C17" s="11" t="s">
        <v>90</v>
      </c>
      <c r="D17" s="11" t="s">
        <v>305</v>
      </c>
      <c r="E17" s="12" t="n">
        <v>10</v>
      </c>
      <c r="F17" s="11" t="s">
        <v>242</v>
      </c>
      <c r="G17" s="8" t="n">
        <v>6</v>
      </c>
      <c r="H17" s="11" t="s">
        <v>306</v>
      </c>
      <c r="I17" s="11" t="s">
        <v>258</v>
      </c>
      <c r="J17" s="11" t="s">
        <v>259</v>
      </c>
      <c r="K17" s="8" t="n">
        <v>2</v>
      </c>
      <c r="L17" s="8" t="n">
        <v>74</v>
      </c>
      <c r="M17" s="8" t="n">
        <v>3</v>
      </c>
      <c r="N17" s="8" t="n">
        <v>30</v>
      </c>
      <c r="O17" s="8" t="n">
        <v>3</v>
      </c>
      <c r="P17" s="9" t="n">
        <v>4.03943460726022</v>
      </c>
      <c r="Q17" s="10" t="n">
        <v>0.247559398090679</v>
      </c>
      <c r="R17" s="9" t="n">
        <v>2.75</v>
      </c>
      <c r="S17" s="13" t="n">
        <f aca="false">IF(AND(ISNUMBER(R17),R17&gt;1,P17&gt;0),R17/P17-1,"")</f>
        <v>-0.319211655250632</v>
      </c>
      <c r="T17" s="9" t="n">
        <f aca="false">IF(AND(ISNUMBER(P17),P17&gt;0),P17*EXP('Read me'!$B$22),"")</f>
        <v>4.93377657071528</v>
      </c>
    </row>
    <row r="18" customFormat="false" ht="15" hidden="false" customHeight="false" outlineLevel="0" collapsed="false">
      <c r="A18" s="11" t="s">
        <v>89</v>
      </c>
      <c r="B18" s="11" t="s">
        <v>56</v>
      </c>
      <c r="C18" s="11" t="s">
        <v>90</v>
      </c>
      <c r="D18" s="11" t="s">
        <v>305</v>
      </c>
      <c r="E18" s="12" t="n">
        <v>10</v>
      </c>
      <c r="F18" s="11" t="s">
        <v>242</v>
      </c>
      <c r="G18" s="8" t="n">
        <v>6</v>
      </c>
      <c r="H18" s="11" t="s">
        <v>307</v>
      </c>
      <c r="I18" s="11" t="s">
        <v>75</v>
      </c>
      <c r="J18" s="11" t="s">
        <v>66</v>
      </c>
      <c r="K18" s="8" t="n">
        <v>6</v>
      </c>
      <c r="L18" s="8" t="n">
        <v>73</v>
      </c>
      <c r="M18" s="8" t="n">
        <v>3</v>
      </c>
      <c r="N18" s="8" t="n">
        <v>13</v>
      </c>
      <c r="O18" s="8" t="n">
        <v>4</v>
      </c>
      <c r="P18" s="9" t="n">
        <v>5.64366856701598</v>
      </c>
      <c r="Q18" s="10" t="n">
        <v>0.177189710580176</v>
      </c>
      <c r="R18" s="9" t="n">
        <v>6</v>
      </c>
      <c r="S18" s="13" t="n">
        <f aca="false">IF(AND(ISNUMBER(R18),R18&gt;1,P18&gt;0),R18/P18-1,"")</f>
        <v>0.0631382634810578</v>
      </c>
      <c r="T18" s="9" t="n">
        <f aca="false">IF(AND(ISNUMBER(P18),P18&gt;0),P18*EXP('Read me'!$B$22),"")</f>
        <v>6.89319235389517</v>
      </c>
    </row>
    <row r="19" customFormat="false" ht="15" hidden="false" customHeight="false" outlineLevel="0" collapsed="false">
      <c r="A19" s="11" t="s">
        <v>89</v>
      </c>
      <c r="B19" s="11" t="s">
        <v>56</v>
      </c>
      <c r="C19" s="11" t="s">
        <v>90</v>
      </c>
      <c r="D19" s="11" t="s">
        <v>305</v>
      </c>
      <c r="E19" s="12" t="n">
        <v>10</v>
      </c>
      <c r="F19" s="11" t="s">
        <v>242</v>
      </c>
      <c r="G19" s="8" t="n">
        <v>6</v>
      </c>
      <c r="H19" s="11" t="s">
        <v>308</v>
      </c>
      <c r="I19" s="11" t="s">
        <v>253</v>
      </c>
      <c r="J19" s="11" t="s">
        <v>309</v>
      </c>
      <c r="K19" s="8" t="n">
        <v>4</v>
      </c>
      <c r="L19" s="8" t="n">
        <v>0</v>
      </c>
      <c r="M19" s="8" t="n">
        <v>3</v>
      </c>
      <c r="N19" s="8"/>
      <c r="O19" s="8" t="n">
        <v>5</v>
      </c>
      <c r="P19" s="9" t="n">
        <v>29.5625884607217</v>
      </c>
      <c r="Q19" s="10" t="n">
        <v>0.0338265372576778</v>
      </c>
      <c r="R19" s="9" t="n">
        <v>19</v>
      </c>
      <c r="S19" s="13" t="n">
        <f aca="false">IF(AND(ISNUMBER(R19),R19&gt;1,P19&gt;0),R19/P19-1,"")</f>
        <v>-0.35729579210412</v>
      </c>
      <c r="T19" s="9" t="n">
        <f aca="false">IF(AND(ISNUMBER(P19),P19&gt;0),P19*EXP('Read me'!$B$22),"")</f>
        <v>36.1078270842795</v>
      </c>
    </row>
    <row r="20" customFormat="false" ht="15" hidden="false" customHeight="false" outlineLevel="0" collapsed="false">
      <c r="A20" s="11" t="s">
        <v>89</v>
      </c>
      <c r="B20" s="11" t="s">
        <v>56</v>
      </c>
      <c r="C20" s="11" t="s">
        <v>90</v>
      </c>
      <c r="D20" s="11" t="s">
        <v>305</v>
      </c>
      <c r="E20" s="12" t="n">
        <v>10</v>
      </c>
      <c r="F20" s="11" t="s">
        <v>242</v>
      </c>
      <c r="G20" s="8" t="n">
        <v>6</v>
      </c>
      <c r="H20" s="11" t="s">
        <v>310</v>
      </c>
      <c r="I20" s="11" t="s">
        <v>311</v>
      </c>
      <c r="J20" s="11" t="s">
        <v>312</v>
      </c>
      <c r="K20" s="8" t="n">
        <v>1</v>
      </c>
      <c r="L20" s="8" t="n">
        <v>0</v>
      </c>
      <c r="M20" s="8" t="n">
        <v>3</v>
      </c>
      <c r="N20" s="8" t="n">
        <v>13</v>
      </c>
      <c r="O20" s="8" t="n">
        <v>6</v>
      </c>
      <c r="P20" s="9" t="n">
        <v>753.87889836297</v>
      </c>
      <c r="Q20" s="10" t="n">
        <v>0.0013264729947627</v>
      </c>
      <c r="R20" s="9" t="n">
        <v>151</v>
      </c>
      <c r="S20" s="13" t="n">
        <f aca="false">IF(AND(ISNUMBER(R20),R20&gt;1,P20&gt;0),R20/P20-1,"")</f>
        <v>-0.799702577790819</v>
      </c>
      <c r="T20" s="9" t="n">
        <f aca="false">IF(AND(ISNUMBER(P20),P20&gt;0),P20*EXP('Read me'!$B$22),"")</f>
        <v>920.789765779282</v>
      </c>
    </row>
    <row r="21" customFormat="false" ht="15" hidden="false" customHeight="false" outlineLevel="0" collapsed="false">
      <c r="A21" s="11" t="s">
        <v>107</v>
      </c>
      <c r="B21" s="11" t="s">
        <v>56</v>
      </c>
      <c r="C21" s="11" t="s">
        <v>108</v>
      </c>
      <c r="D21" s="11" t="s">
        <v>241</v>
      </c>
      <c r="E21" s="12" t="n">
        <v>12</v>
      </c>
      <c r="F21" s="11" t="s">
        <v>242</v>
      </c>
      <c r="G21" s="8" t="n">
        <v>13</v>
      </c>
      <c r="H21" s="11" t="s">
        <v>109</v>
      </c>
      <c r="I21" s="11" t="s">
        <v>110</v>
      </c>
      <c r="J21" s="11" t="s">
        <v>111</v>
      </c>
      <c r="K21" s="8" t="n">
        <v>11</v>
      </c>
      <c r="L21" s="8" t="n">
        <v>75</v>
      </c>
      <c r="M21" s="8" t="n">
        <v>5</v>
      </c>
      <c r="N21" s="8" t="n">
        <v>27</v>
      </c>
      <c r="O21" s="8" t="n">
        <v>1</v>
      </c>
      <c r="P21" s="9" t="n">
        <v>4.88904141695731</v>
      </c>
      <c r="Q21" s="10" t="n">
        <v>0.204539073146643</v>
      </c>
      <c r="R21" s="9" t="n">
        <v>4.5</v>
      </c>
      <c r="S21" s="13" t="n">
        <f aca="false">IF(AND(ISNUMBER(R21),R21&gt;1,P21&gt;0),R21/P21-1,"")</f>
        <v>-0.0795741708401053</v>
      </c>
      <c r="T21" s="9" t="n">
        <f aca="false">IF(AND(ISNUMBER(P21),P21&gt;0),P21*EXP('Read me'!$B$22),"")</f>
        <v>5.97148867143097</v>
      </c>
    </row>
    <row r="22" customFormat="false" ht="15" hidden="false" customHeight="false" outlineLevel="0" collapsed="false">
      <c r="A22" s="11" t="s">
        <v>107</v>
      </c>
      <c r="B22" s="11" t="s">
        <v>56</v>
      </c>
      <c r="C22" s="11" t="s">
        <v>108</v>
      </c>
      <c r="D22" s="11" t="s">
        <v>241</v>
      </c>
      <c r="E22" s="12" t="n">
        <v>12</v>
      </c>
      <c r="F22" s="11" t="s">
        <v>242</v>
      </c>
      <c r="G22" s="8" t="n">
        <v>13</v>
      </c>
      <c r="H22" s="11" t="s">
        <v>112</v>
      </c>
      <c r="I22" s="11" t="s">
        <v>346</v>
      </c>
      <c r="J22" s="11" t="s">
        <v>347</v>
      </c>
      <c r="K22" s="8" t="n">
        <v>3</v>
      </c>
      <c r="L22" s="8" t="n">
        <v>79</v>
      </c>
      <c r="M22" s="8" t="n">
        <v>8</v>
      </c>
      <c r="N22" s="8" t="n">
        <v>15</v>
      </c>
      <c r="O22" s="8" t="n">
        <v>2</v>
      </c>
      <c r="P22" s="9" t="n">
        <v>6.90238377612501</v>
      </c>
      <c r="Q22" s="10" t="n">
        <v>0.144877484711724</v>
      </c>
      <c r="R22" s="9" t="n">
        <v>8</v>
      </c>
      <c r="S22" s="13" t="n">
        <f aca="false">IF(AND(ISNUMBER(R22),R22&gt;1,P22&gt;0),R22/P22-1,"")</f>
        <v>0.159019877693789</v>
      </c>
      <c r="T22" s="9" t="n">
        <f aca="false">IF(AND(ISNUMBER(P22),P22&gt;0),P22*EXP('Read me'!$B$22),"")</f>
        <v>8.4305905820391</v>
      </c>
    </row>
    <row r="23" customFormat="false" ht="15" hidden="false" customHeight="false" outlineLevel="0" collapsed="false">
      <c r="A23" s="11" t="s">
        <v>107</v>
      </c>
      <c r="B23" s="11" t="s">
        <v>56</v>
      </c>
      <c r="C23" s="11" t="s">
        <v>108</v>
      </c>
      <c r="D23" s="11" t="s">
        <v>241</v>
      </c>
      <c r="E23" s="12" t="n">
        <v>12</v>
      </c>
      <c r="F23" s="11" t="s">
        <v>242</v>
      </c>
      <c r="G23" s="8" t="n">
        <v>13</v>
      </c>
      <c r="H23" s="11" t="s">
        <v>348</v>
      </c>
      <c r="I23" s="11" t="s">
        <v>349</v>
      </c>
      <c r="J23" s="11" t="s">
        <v>350</v>
      </c>
      <c r="K23" s="8" t="n">
        <v>8</v>
      </c>
      <c r="L23" s="8" t="n">
        <v>84</v>
      </c>
      <c r="M23" s="8" t="n">
        <v>4</v>
      </c>
      <c r="N23" s="8" t="n">
        <v>28</v>
      </c>
      <c r="O23" s="8" t="n">
        <v>3</v>
      </c>
      <c r="P23" s="9" t="n">
        <v>7.29819590900017</v>
      </c>
      <c r="Q23" s="10" t="n">
        <v>0.137020163951312</v>
      </c>
      <c r="R23" s="9" t="n">
        <v>8</v>
      </c>
      <c r="S23" s="13" t="n">
        <f aca="false">IF(AND(ISNUMBER(R23),R23&gt;1,P23&gt;0),R23/P23-1,"")</f>
        <v>0.0961613116104991</v>
      </c>
      <c r="T23" s="9" t="n">
        <f aca="false">IF(AND(ISNUMBER(P23),P23&gt;0),P23*EXP('Read me'!$B$22),"")</f>
        <v>8.91403661284607</v>
      </c>
    </row>
    <row r="24" customFormat="false" ht="15" hidden="false" customHeight="false" outlineLevel="0" collapsed="false">
      <c r="A24" s="11" t="s">
        <v>107</v>
      </c>
      <c r="B24" s="11" t="s">
        <v>56</v>
      </c>
      <c r="C24" s="11" t="s">
        <v>108</v>
      </c>
      <c r="D24" s="11" t="s">
        <v>241</v>
      </c>
      <c r="E24" s="12" t="n">
        <v>12</v>
      </c>
      <c r="F24" s="11" t="s">
        <v>242</v>
      </c>
      <c r="G24" s="8" t="n">
        <v>13</v>
      </c>
      <c r="H24" s="11" t="s">
        <v>351</v>
      </c>
      <c r="I24" s="11" t="s">
        <v>352</v>
      </c>
      <c r="J24" s="11" t="s">
        <v>353</v>
      </c>
      <c r="K24" s="8" t="n">
        <v>12</v>
      </c>
      <c r="L24" s="8" t="n">
        <v>81</v>
      </c>
      <c r="M24" s="8" t="n">
        <v>5</v>
      </c>
      <c r="N24" s="8" t="n">
        <v>18</v>
      </c>
      <c r="O24" s="8" t="n">
        <v>4</v>
      </c>
      <c r="P24" s="9" t="n">
        <v>7.66248592365814</v>
      </c>
      <c r="Q24" s="10" t="n">
        <v>0.130505949369835</v>
      </c>
      <c r="R24" s="9" t="n">
        <v>7.5</v>
      </c>
      <c r="S24" s="13" t="n">
        <f aca="false">IF(AND(ISNUMBER(R24),R24&gt;1,P24&gt;0),R24/P24-1,"")</f>
        <v>-0.0212053797262406</v>
      </c>
      <c r="T24" s="9" t="n">
        <f aca="false">IF(AND(ISNUMBER(P24),P24&gt;0),P24*EXP('Read me'!$B$22),"")</f>
        <v>9.35898144151953</v>
      </c>
    </row>
    <row r="25" customFormat="false" ht="15" hidden="false" customHeight="false" outlineLevel="0" collapsed="false">
      <c r="A25" s="11" t="s">
        <v>107</v>
      </c>
      <c r="B25" s="11" t="s">
        <v>56</v>
      </c>
      <c r="C25" s="11" t="s">
        <v>108</v>
      </c>
      <c r="D25" s="11" t="s">
        <v>241</v>
      </c>
      <c r="E25" s="12" t="n">
        <v>12</v>
      </c>
      <c r="F25" s="11" t="s">
        <v>242</v>
      </c>
      <c r="G25" s="8" t="n">
        <v>13</v>
      </c>
      <c r="H25" s="11" t="s">
        <v>354</v>
      </c>
      <c r="I25" s="11" t="s">
        <v>355</v>
      </c>
      <c r="J25" s="11" t="s">
        <v>356</v>
      </c>
      <c r="K25" s="8" t="n">
        <v>9</v>
      </c>
      <c r="L25" s="8" t="n">
        <v>77</v>
      </c>
      <c r="M25" s="8" t="n">
        <v>6</v>
      </c>
      <c r="N25" s="8" t="n">
        <v>15</v>
      </c>
      <c r="O25" s="8" t="n">
        <v>5</v>
      </c>
      <c r="P25" s="9" t="n">
        <v>15.267406498378</v>
      </c>
      <c r="Q25" s="10" t="n">
        <v>0.0654990092853188</v>
      </c>
      <c r="R25" s="9" t="n">
        <v>12</v>
      </c>
      <c r="S25" s="13" t="n">
        <f aca="false">IF(AND(ISNUMBER(R25),R25&gt;1,P25&gt;0),R25/P25-1,"")</f>
        <v>-0.214011888576173</v>
      </c>
      <c r="T25" s="9" t="n">
        <f aca="false">IF(AND(ISNUMBER(P25),P25&gt;0),P25*EXP('Read me'!$B$22),"")</f>
        <v>18.6476524070714</v>
      </c>
    </row>
    <row r="26" customFormat="false" ht="15" hidden="false" customHeight="false" outlineLevel="0" collapsed="false">
      <c r="A26" s="11" t="s">
        <v>107</v>
      </c>
      <c r="B26" s="11" t="s">
        <v>56</v>
      </c>
      <c r="C26" s="11" t="s">
        <v>108</v>
      </c>
      <c r="D26" s="11" t="s">
        <v>241</v>
      </c>
      <c r="E26" s="12" t="n">
        <v>12</v>
      </c>
      <c r="F26" s="11" t="s">
        <v>242</v>
      </c>
      <c r="G26" s="8" t="n">
        <v>13</v>
      </c>
      <c r="H26" s="11" t="s">
        <v>357</v>
      </c>
      <c r="I26" s="11" t="s">
        <v>358</v>
      </c>
      <c r="J26" s="11" t="s">
        <v>309</v>
      </c>
      <c r="K26" s="8" t="n">
        <v>10</v>
      </c>
      <c r="L26" s="8" t="n">
        <v>86</v>
      </c>
      <c r="M26" s="8" t="n">
        <v>4</v>
      </c>
      <c r="N26" s="8" t="n">
        <v>28</v>
      </c>
      <c r="O26" s="8" t="n">
        <v>6</v>
      </c>
      <c r="P26" s="9" t="n">
        <v>16.7744558203885</v>
      </c>
      <c r="Q26" s="10" t="n">
        <v>0.0596144525168173</v>
      </c>
      <c r="R26" s="9" t="n">
        <v>6.5</v>
      </c>
      <c r="S26" s="13" t="n">
        <f aca="false">IF(AND(ISNUMBER(R26),R26&gt;1,P26&gt;0),R26/P26-1,"")</f>
        <v>-0.612506058640687</v>
      </c>
      <c r="T26" s="9" t="n">
        <f aca="false">IF(AND(ISNUMBER(P26),P26&gt;0),P26*EXP('Read me'!$B$22),"")</f>
        <v>20.4883666056584</v>
      </c>
    </row>
    <row r="27" customFormat="false" ht="15" hidden="false" customHeight="false" outlineLevel="0" collapsed="false">
      <c r="A27" s="11" t="s">
        <v>107</v>
      </c>
      <c r="B27" s="11" t="s">
        <v>56</v>
      </c>
      <c r="C27" s="11" t="s">
        <v>108</v>
      </c>
      <c r="D27" s="11" t="s">
        <v>241</v>
      </c>
      <c r="E27" s="12" t="n">
        <v>12</v>
      </c>
      <c r="F27" s="11" t="s">
        <v>242</v>
      </c>
      <c r="G27" s="8" t="n">
        <v>13</v>
      </c>
      <c r="H27" s="11" t="s">
        <v>359</v>
      </c>
      <c r="I27" s="11" t="s">
        <v>360</v>
      </c>
      <c r="J27" s="11" t="s">
        <v>309</v>
      </c>
      <c r="K27" s="8" t="n">
        <v>7</v>
      </c>
      <c r="L27" s="8" t="n">
        <v>70</v>
      </c>
      <c r="M27" s="8" t="n">
        <v>4</v>
      </c>
      <c r="N27" s="8" t="n">
        <v>13</v>
      </c>
      <c r="O27" s="8" t="n">
        <v>7</v>
      </c>
      <c r="P27" s="9" t="n">
        <v>17.7319172384846</v>
      </c>
      <c r="Q27" s="10" t="n">
        <v>0.0563954809031953</v>
      </c>
      <c r="R27" s="9" t="n">
        <v>12</v>
      </c>
      <c r="S27" s="13" t="n">
        <f aca="false">IF(AND(ISNUMBER(R27),R27&gt;1,P27&gt;0),R27/P27-1,"")</f>
        <v>-0.323254229161656</v>
      </c>
      <c r="T27" s="9" t="n">
        <f aca="false">IF(AND(ISNUMBER(P27),P27&gt;0),P27*EXP('Read me'!$B$22),"")</f>
        <v>21.657812622553</v>
      </c>
    </row>
    <row r="28" customFormat="false" ht="15" hidden="false" customHeight="false" outlineLevel="0" collapsed="false">
      <c r="A28" s="11" t="s">
        <v>107</v>
      </c>
      <c r="B28" s="11" t="s">
        <v>56</v>
      </c>
      <c r="C28" s="11" t="s">
        <v>108</v>
      </c>
      <c r="D28" s="11" t="s">
        <v>241</v>
      </c>
      <c r="E28" s="12" t="n">
        <v>12</v>
      </c>
      <c r="F28" s="11" t="s">
        <v>242</v>
      </c>
      <c r="G28" s="8" t="n">
        <v>13</v>
      </c>
      <c r="H28" s="11" t="s">
        <v>361</v>
      </c>
      <c r="I28" s="11" t="s">
        <v>362</v>
      </c>
      <c r="J28" s="11" t="s">
        <v>350</v>
      </c>
      <c r="K28" s="8" t="n">
        <v>6</v>
      </c>
      <c r="L28" s="8" t="n">
        <v>82</v>
      </c>
      <c r="M28" s="8" t="n">
        <v>7</v>
      </c>
      <c r="N28" s="8" t="n">
        <v>8</v>
      </c>
      <c r="O28" s="8" t="n">
        <v>8</v>
      </c>
      <c r="P28" s="9" t="n">
        <v>21.7258434952172</v>
      </c>
      <c r="Q28" s="10" t="n">
        <v>0.046028132358596</v>
      </c>
      <c r="R28" s="9" t="n">
        <v>11</v>
      </c>
      <c r="S28" s="13" t="n">
        <f aca="false">IF(AND(ISNUMBER(R28),R28&gt;1,P28&gt;0),R28/P28-1,"")</f>
        <v>-0.493690544055444</v>
      </c>
      <c r="T28" s="9" t="n">
        <f aca="false">IF(AND(ISNUMBER(P28),P28&gt;0),P28*EXP('Read me'!$B$22),"")</f>
        <v>26.5360051684145</v>
      </c>
    </row>
    <row r="29" customFormat="false" ht="15" hidden="false" customHeight="false" outlineLevel="0" collapsed="false">
      <c r="A29" s="11" t="s">
        <v>107</v>
      </c>
      <c r="B29" s="11" t="s">
        <v>56</v>
      </c>
      <c r="C29" s="11" t="s">
        <v>108</v>
      </c>
      <c r="D29" s="11" t="s">
        <v>241</v>
      </c>
      <c r="E29" s="12" t="n">
        <v>12</v>
      </c>
      <c r="F29" s="11" t="s">
        <v>242</v>
      </c>
      <c r="G29" s="8" t="n">
        <v>13</v>
      </c>
      <c r="H29" s="11" t="s">
        <v>363</v>
      </c>
      <c r="I29" s="11" t="s">
        <v>364</v>
      </c>
      <c r="J29" s="11" t="s">
        <v>365</v>
      </c>
      <c r="K29" s="8" t="n">
        <v>1</v>
      </c>
      <c r="L29" s="8" t="n">
        <v>75</v>
      </c>
      <c r="M29" s="8" t="n">
        <v>6</v>
      </c>
      <c r="N29" s="8" t="n">
        <v>14</v>
      </c>
      <c r="O29" s="8" t="n">
        <v>9</v>
      </c>
      <c r="P29" s="9" t="n">
        <v>26.3564451597946</v>
      </c>
      <c r="Q29" s="10" t="n">
        <v>0.0379413837464488</v>
      </c>
      <c r="R29" s="9" t="n">
        <v>15</v>
      </c>
      <c r="S29" s="13" t="n">
        <f aca="false">IF(AND(ISNUMBER(R29),R29&gt;1,P29&gt;0),R29/P29-1,"")</f>
        <v>-0.430879243803267</v>
      </c>
      <c r="T29" s="9" t="n">
        <f aca="false">IF(AND(ISNUMBER(P29),P29&gt;0),P29*EXP('Read me'!$B$22),"")</f>
        <v>32.1918348134704</v>
      </c>
    </row>
    <row r="30" customFormat="false" ht="15" hidden="false" customHeight="false" outlineLevel="0" collapsed="false">
      <c r="A30" s="11" t="s">
        <v>107</v>
      </c>
      <c r="B30" s="11" t="s">
        <v>56</v>
      </c>
      <c r="C30" s="11" t="s">
        <v>108</v>
      </c>
      <c r="D30" s="11" t="s">
        <v>241</v>
      </c>
      <c r="E30" s="12" t="n">
        <v>12</v>
      </c>
      <c r="F30" s="11" t="s">
        <v>242</v>
      </c>
      <c r="G30" s="8" t="n">
        <v>13</v>
      </c>
      <c r="H30" s="11" t="s">
        <v>366</v>
      </c>
      <c r="I30" s="11" t="s">
        <v>367</v>
      </c>
      <c r="J30" s="11" t="s">
        <v>261</v>
      </c>
      <c r="K30" s="8" t="n">
        <v>5</v>
      </c>
      <c r="L30" s="8" t="n">
        <v>83</v>
      </c>
      <c r="M30" s="8" t="n">
        <v>6</v>
      </c>
      <c r="N30" s="8" t="n">
        <v>17</v>
      </c>
      <c r="O30" s="8" t="n">
        <v>10</v>
      </c>
      <c r="P30" s="9" t="n">
        <v>27.9219933203795</v>
      </c>
      <c r="Q30" s="10" t="n">
        <v>0.0358140620021611</v>
      </c>
      <c r="R30" s="9" t="n">
        <v>13</v>
      </c>
      <c r="S30" s="13" t="n">
        <f aca="false">IF(AND(ISNUMBER(R30),R30&gt;1,P30&gt;0),R30/P30-1,"")</f>
        <v>-0.534417193971905</v>
      </c>
      <c r="T30" s="9" t="n">
        <f aca="false">IF(AND(ISNUMBER(P30),P30&gt;0),P30*EXP('Read me'!$B$22),"")</f>
        <v>34.1039996548413</v>
      </c>
    </row>
    <row r="31" customFormat="false" ht="15" hidden="false" customHeight="false" outlineLevel="0" collapsed="false">
      <c r="A31" s="11" t="s">
        <v>107</v>
      </c>
      <c r="B31" s="11" t="s">
        <v>56</v>
      </c>
      <c r="C31" s="11" t="s">
        <v>108</v>
      </c>
      <c r="D31" s="11" t="s">
        <v>241</v>
      </c>
      <c r="E31" s="12" t="n">
        <v>12</v>
      </c>
      <c r="F31" s="11" t="s">
        <v>242</v>
      </c>
      <c r="G31" s="8" t="n">
        <v>13</v>
      </c>
      <c r="H31" s="11" t="s">
        <v>368</v>
      </c>
      <c r="I31" s="11" t="s">
        <v>369</v>
      </c>
      <c r="J31" s="11" t="s">
        <v>370</v>
      </c>
      <c r="K31" s="8" t="n">
        <v>2</v>
      </c>
      <c r="L31" s="8" t="n">
        <v>79</v>
      </c>
      <c r="M31" s="8" t="n">
        <v>4</v>
      </c>
      <c r="N31" s="8" t="n">
        <v>8</v>
      </c>
      <c r="O31" s="8" t="n">
        <v>11</v>
      </c>
      <c r="P31" s="9" t="n">
        <v>29.4721379581574</v>
      </c>
      <c r="Q31" s="10" t="n">
        <v>0.0339303514872159</v>
      </c>
      <c r="R31" s="9" t="n">
        <v>21</v>
      </c>
      <c r="S31" s="13" t="n">
        <f aca="false">IF(AND(ISNUMBER(R31),R31&gt;1,P31&gt;0),R31/P31-1,"")</f>
        <v>-0.287462618768465</v>
      </c>
      <c r="T31" s="9" t="n">
        <f aca="false">IF(AND(ISNUMBER(P31),P31&gt;0),P31*EXP('Read me'!$B$22),"")</f>
        <v>35.9973505909705</v>
      </c>
    </row>
    <row r="32" customFormat="false" ht="15" hidden="false" customHeight="false" outlineLevel="0" collapsed="false">
      <c r="A32" s="11" t="s">
        <v>107</v>
      </c>
      <c r="B32" s="11" t="s">
        <v>56</v>
      </c>
      <c r="C32" s="11" t="s">
        <v>108</v>
      </c>
      <c r="D32" s="11" t="s">
        <v>241</v>
      </c>
      <c r="E32" s="12" t="n">
        <v>12</v>
      </c>
      <c r="F32" s="11" t="s">
        <v>242</v>
      </c>
      <c r="G32" s="8" t="n">
        <v>13</v>
      </c>
      <c r="H32" s="11" t="s">
        <v>371</v>
      </c>
      <c r="I32" s="11" t="s">
        <v>372</v>
      </c>
      <c r="J32" s="11" t="s">
        <v>373</v>
      </c>
      <c r="K32" s="8" t="n">
        <v>4</v>
      </c>
      <c r="L32" s="8" t="n">
        <v>78</v>
      </c>
      <c r="M32" s="8" t="n">
        <v>4</v>
      </c>
      <c r="N32" s="8" t="n">
        <v>126</v>
      </c>
      <c r="O32" s="8" t="n">
        <v>12</v>
      </c>
      <c r="P32" s="9" t="n">
        <v>39.9089889258909</v>
      </c>
      <c r="Q32" s="10" t="n">
        <v>0.0250570116385797</v>
      </c>
      <c r="R32" s="9" t="n">
        <v>41</v>
      </c>
      <c r="S32" s="13" t="n">
        <f aca="false">IF(AND(ISNUMBER(R32),R32&gt;1,P32&gt;0),R32/P32-1,"")</f>
        <v>0.0273374771817709</v>
      </c>
      <c r="T32" s="9" t="n">
        <f aca="false">IF(AND(ISNUMBER(P32),P32&gt;0),P32*EXP('Read me'!$B$22),"")</f>
        <v>48.7449491494668</v>
      </c>
    </row>
    <row r="33" customFormat="false" ht="15" hidden="false" customHeight="false" outlineLevel="0" collapsed="false">
      <c r="A33" s="11" t="s">
        <v>107</v>
      </c>
      <c r="B33" s="11" t="s">
        <v>56</v>
      </c>
      <c r="C33" s="11" t="s">
        <v>108</v>
      </c>
      <c r="D33" s="11" t="s">
        <v>241</v>
      </c>
      <c r="E33" s="12" t="n">
        <v>12</v>
      </c>
      <c r="F33" s="11" t="s">
        <v>242</v>
      </c>
      <c r="G33" s="8" t="n">
        <v>13</v>
      </c>
      <c r="H33" s="11" t="s">
        <v>374</v>
      </c>
      <c r="I33" s="11" t="s">
        <v>375</v>
      </c>
      <c r="J33" s="11" t="s">
        <v>187</v>
      </c>
      <c r="K33" s="8" t="n">
        <v>13</v>
      </c>
      <c r="L33" s="8" t="n">
        <v>68</v>
      </c>
      <c r="M33" s="8" t="n">
        <v>4</v>
      </c>
      <c r="N33" s="8" t="n">
        <v>19</v>
      </c>
      <c r="O33" s="8" t="n">
        <v>13</v>
      </c>
      <c r="P33" s="9" t="n">
        <v>43.9030806648356</v>
      </c>
      <c r="Q33" s="10" t="n">
        <v>0.0227774448821527</v>
      </c>
      <c r="R33" s="9" t="n">
        <v>26</v>
      </c>
      <c r="S33" s="13" t="n">
        <f aca="false">IF(AND(ISNUMBER(R33),R33&gt;1,P33&gt;0),R33/P33-1,"")</f>
        <v>-0.407786433064028</v>
      </c>
      <c r="T33" s="9" t="n">
        <f aca="false">IF(AND(ISNUMBER(P33),P33&gt;0),P33*EXP('Read me'!$B$22),"")</f>
        <v>53.6233438157586</v>
      </c>
    </row>
    <row r="34" customFormat="false" ht="15" hidden="false" customHeight="false" outlineLevel="0" collapsed="false">
      <c r="A34" s="11" t="s">
        <v>124</v>
      </c>
      <c r="B34" s="11" t="s">
        <v>56</v>
      </c>
      <c r="C34" s="11" t="s">
        <v>125</v>
      </c>
      <c r="D34" s="11" t="s">
        <v>305</v>
      </c>
      <c r="E34" s="12" t="n">
        <v>10</v>
      </c>
      <c r="F34" s="11" t="s">
        <v>242</v>
      </c>
      <c r="G34" s="8" t="n">
        <v>5</v>
      </c>
      <c r="H34" s="11" t="s">
        <v>126</v>
      </c>
      <c r="I34" s="11" t="s">
        <v>127</v>
      </c>
      <c r="J34" s="11" t="s">
        <v>128</v>
      </c>
      <c r="K34" s="8" t="n">
        <v>2</v>
      </c>
      <c r="L34" s="8" t="n">
        <v>95</v>
      </c>
      <c r="M34" s="8" t="n">
        <v>3</v>
      </c>
      <c r="N34" s="8" t="n">
        <v>44</v>
      </c>
      <c r="O34" s="8" t="n">
        <v>1</v>
      </c>
      <c r="P34" s="9" t="n">
        <v>1.8000795676527</v>
      </c>
      <c r="Q34" s="10" t="n">
        <v>0.555530998723572</v>
      </c>
      <c r="R34" s="9" t="n">
        <v>1.83333333333333</v>
      </c>
      <c r="S34" s="13" t="n">
        <f aca="false">IF(AND(ISNUMBER(R34),R34&gt;1,P34&gt;0),R34/P34-1,"")</f>
        <v>0.0184734976598822</v>
      </c>
      <c r="T34" s="9" t="n">
        <f aca="false">IF(AND(ISNUMBER(P34),P34&gt;0),P34*EXP('Read me'!$B$22),"")</f>
        <v>2.19862214883877</v>
      </c>
    </row>
    <row r="35" customFormat="false" ht="15" hidden="false" customHeight="false" outlineLevel="0" collapsed="false">
      <c r="A35" s="11" t="s">
        <v>124</v>
      </c>
      <c r="B35" s="11" t="s">
        <v>56</v>
      </c>
      <c r="C35" s="11" t="s">
        <v>125</v>
      </c>
      <c r="D35" s="11" t="s">
        <v>305</v>
      </c>
      <c r="E35" s="12" t="n">
        <v>10</v>
      </c>
      <c r="F35" s="11" t="s">
        <v>242</v>
      </c>
      <c r="G35" s="8" t="n">
        <v>5</v>
      </c>
      <c r="H35" s="11" t="s">
        <v>129</v>
      </c>
      <c r="I35" s="11" t="s">
        <v>390</v>
      </c>
      <c r="J35" s="11" t="s">
        <v>391</v>
      </c>
      <c r="K35" s="8" t="n">
        <v>4</v>
      </c>
      <c r="L35" s="8" t="n">
        <v>82</v>
      </c>
      <c r="M35" s="8" t="n">
        <v>5</v>
      </c>
      <c r="N35" s="8" t="n">
        <v>46</v>
      </c>
      <c r="O35" s="8" t="n">
        <v>2</v>
      </c>
      <c r="P35" s="9" t="n">
        <v>7.45051390775989</v>
      </c>
      <c r="Q35" s="10" t="n">
        <v>0.134218929375929</v>
      </c>
      <c r="R35" s="9" t="n">
        <v>8.5</v>
      </c>
      <c r="S35" s="13" t="n">
        <f aca="false">IF(AND(ISNUMBER(R35),R35&gt;1,P35&gt;0),R35/P35-1,"")</f>
        <v>0.140860899695395</v>
      </c>
      <c r="T35" s="9" t="n">
        <f aca="false">IF(AND(ISNUMBER(P35),P35&gt;0),P35*EXP('Read me'!$B$22),"")</f>
        <v>9.10007823664864</v>
      </c>
    </row>
    <row r="36" customFormat="false" ht="15" hidden="false" customHeight="false" outlineLevel="0" collapsed="false">
      <c r="A36" s="11" t="s">
        <v>124</v>
      </c>
      <c r="B36" s="11" t="s">
        <v>56</v>
      </c>
      <c r="C36" s="11" t="s">
        <v>125</v>
      </c>
      <c r="D36" s="11" t="s">
        <v>305</v>
      </c>
      <c r="E36" s="12" t="n">
        <v>10</v>
      </c>
      <c r="F36" s="11" t="s">
        <v>242</v>
      </c>
      <c r="G36" s="8" t="n">
        <v>5</v>
      </c>
      <c r="H36" s="11" t="s">
        <v>392</v>
      </c>
      <c r="I36" s="11" t="s">
        <v>92</v>
      </c>
      <c r="J36" s="11" t="s">
        <v>350</v>
      </c>
      <c r="K36" s="8" t="n">
        <v>5</v>
      </c>
      <c r="L36" s="8" t="n">
        <v>78</v>
      </c>
      <c r="M36" s="8" t="n">
        <v>4</v>
      </c>
      <c r="N36" s="8" t="n">
        <v>12</v>
      </c>
      <c r="O36" s="8" t="n">
        <v>3</v>
      </c>
      <c r="P36" s="9" t="n">
        <v>7.67918224036979</v>
      </c>
      <c r="Q36" s="10" t="n">
        <v>0.130222199278324</v>
      </c>
      <c r="R36" s="9" t="n">
        <v>5</v>
      </c>
      <c r="S36" s="13" t="n">
        <f aca="false">IF(AND(ISNUMBER(R36),R36&gt;1,P36&gt;0),R36/P36-1,"")</f>
        <v>-0.348889003608381</v>
      </c>
      <c r="T36" s="9" t="n">
        <f aca="false">IF(AND(ISNUMBER(P36),P36&gt;0),P36*EXP('Read me'!$B$22),"")</f>
        <v>9.37937436880226</v>
      </c>
    </row>
    <row r="37" customFormat="false" ht="15" hidden="false" customHeight="false" outlineLevel="0" collapsed="false">
      <c r="A37" s="11" t="s">
        <v>124</v>
      </c>
      <c r="B37" s="11" t="s">
        <v>56</v>
      </c>
      <c r="C37" s="11" t="s">
        <v>125</v>
      </c>
      <c r="D37" s="11" t="s">
        <v>305</v>
      </c>
      <c r="E37" s="12" t="n">
        <v>10</v>
      </c>
      <c r="F37" s="11" t="s">
        <v>242</v>
      </c>
      <c r="G37" s="8" t="n">
        <v>5</v>
      </c>
      <c r="H37" s="11" t="s">
        <v>393</v>
      </c>
      <c r="I37" s="11" t="s">
        <v>394</v>
      </c>
      <c r="J37" s="11" t="s">
        <v>395</v>
      </c>
      <c r="K37" s="8" t="n">
        <v>1</v>
      </c>
      <c r="L37" s="8" t="n">
        <v>77</v>
      </c>
      <c r="M37" s="8" t="n">
        <v>5</v>
      </c>
      <c r="N37" s="8" t="n">
        <v>17</v>
      </c>
      <c r="O37" s="8" t="n">
        <v>4</v>
      </c>
      <c r="P37" s="9" t="n">
        <v>9.52504339932046</v>
      </c>
      <c r="Q37" s="10" t="n">
        <v>0.104986398284688</v>
      </c>
      <c r="R37" s="9" t="n">
        <v>5.5</v>
      </c>
      <c r="S37" s="13" t="n">
        <f aca="false">IF(AND(ISNUMBER(R37),R37&gt;1,P37&gt;0),R37/P37-1,"")</f>
        <v>-0.422574809434214</v>
      </c>
      <c r="T37" s="9" t="n">
        <f aca="false">IF(AND(ISNUMBER(P37),P37&gt;0),P37*EXP('Read me'!$B$22),"")</f>
        <v>11.6339142795253</v>
      </c>
    </row>
    <row r="38" customFormat="false" ht="15" hidden="false" customHeight="false" outlineLevel="0" collapsed="false">
      <c r="A38" s="11" t="s">
        <v>124</v>
      </c>
      <c r="B38" s="11" t="s">
        <v>56</v>
      </c>
      <c r="C38" s="11" t="s">
        <v>125</v>
      </c>
      <c r="D38" s="11" t="s">
        <v>305</v>
      </c>
      <c r="E38" s="12" t="n">
        <v>10</v>
      </c>
      <c r="F38" s="11" t="s">
        <v>242</v>
      </c>
      <c r="G38" s="8" t="n">
        <v>5</v>
      </c>
      <c r="H38" s="11" t="s">
        <v>396</v>
      </c>
      <c r="I38" s="11" t="s">
        <v>253</v>
      </c>
      <c r="J38" s="11" t="s">
        <v>397</v>
      </c>
      <c r="K38" s="8" t="n">
        <v>3</v>
      </c>
      <c r="L38" s="8" t="n">
        <v>85</v>
      </c>
      <c r="M38" s="8" t="n">
        <v>4</v>
      </c>
      <c r="N38" s="8" t="n">
        <v>23</v>
      </c>
      <c r="O38" s="8" t="n">
        <v>5</v>
      </c>
      <c r="P38" s="9" t="n">
        <v>13.3259641928498</v>
      </c>
      <c r="Q38" s="10" t="n">
        <v>0.0750414743374865</v>
      </c>
      <c r="R38" s="9" t="n">
        <v>15</v>
      </c>
      <c r="S38" s="13" t="n">
        <f aca="false">IF(AND(ISNUMBER(R38),R38&gt;1,P38&gt;0),R38/P38-1,"")</f>
        <v>0.125622115062298</v>
      </c>
      <c r="T38" s="9" t="n">
        <f aca="false">IF(AND(ISNUMBER(P38),P38&gt;0),P38*EXP('Read me'!$B$22),"")</f>
        <v>16.2763694202904</v>
      </c>
    </row>
    <row r="39" customFormat="false" ht="15" hidden="false" customHeight="false" outlineLevel="0" collapsed="false">
      <c r="A39" s="11" t="s">
        <v>142</v>
      </c>
      <c r="B39" s="11" t="s">
        <v>56</v>
      </c>
      <c r="C39" s="11" t="s">
        <v>143</v>
      </c>
      <c r="D39" s="11" t="s">
        <v>241</v>
      </c>
      <c r="E39" s="12" t="n">
        <v>8.5</v>
      </c>
      <c r="F39" s="11" t="s">
        <v>242</v>
      </c>
      <c r="G39" s="8" t="n">
        <v>9</v>
      </c>
      <c r="H39" s="11" t="s">
        <v>144</v>
      </c>
      <c r="I39" s="11" t="s">
        <v>127</v>
      </c>
      <c r="J39" s="11" t="s">
        <v>128</v>
      </c>
      <c r="K39" s="8" t="n">
        <v>1</v>
      </c>
      <c r="L39" s="8" t="n">
        <v>82</v>
      </c>
      <c r="M39" s="8" t="n">
        <v>3</v>
      </c>
      <c r="N39" s="8" t="n">
        <v>22</v>
      </c>
      <c r="O39" s="8" t="n">
        <v>1</v>
      </c>
      <c r="P39" s="9" t="n">
        <v>4.08104028830556</v>
      </c>
      <c r="Q39" s="10" t="n">
        <v>0.245035561855528</v>
      </c>
      <c r="R39" s="9" t="n">
        <v>3.75</v>
      </c>
      <c r="S39" s="13" t="n">
        <f aca="false">IF(AND(ISNUMBER(R39),R39&gt;1,P39&gt;0),R39/P39-1,"")</f>
        <v>-0.0811166430417699</v>
      </c>
      <c r="T39" s="9" t="n">
        <f aca="false">IF(AND(ISNUMBER(P39),P39&gt;0),P39*EXP('Read me'!$B$22),"")</f>
        <v>4.98459386429919</v>
      </c>
    </row>
    <row r="40" customFormat="false" ht="15" hidden="false" customHeight="false" outlineLevel="0" collapsed="false">
      <c r="A40" s="11" t="s">
        <v>142</v>
      </c>
      <c r="B40" s="11" t="s">
        <v>56</v>
      </c>
      <c r="C40" s="11" t="s">
        <v>143</v>
      </c>
      <c r="D40" s="11" t="s">
        <v>241</v>
      </c>
      <c r="E40" s="12" t="n">
        <v>8.5</v>
      </c>
      <c r="F40" s="11" t="s">
        <v>242</v>
      </c>
      <c r="G40" s="8" t="n">
        <v>9</v>
      </c>
      <c r="H40" s="11" t="s">
        <v>145</v>
      </c>
      <c r="I40" s="11" t="s">
        <v>243</v>
      </c>
      <c r="J40" s="11" t="s">
        <v>244</v>
      </c>
      <c r="K40" s="8" t="n">
        <v>2</v>
      </c>
      <c r="L40" s="8" t="n">
        <v>82</v>
      </c>
      <c r="M40" s="8" t="n">
        <v>3</v>
      </c>
      <c r="N40" s="8" t="n">
        <v>27</v>
      </c>
      <c r="O40" s="8" t="n">
        <v>2</v>
      </c>
      <c r="P40" s="9" t="n">
        <v>4.1806050499826</v>
      </c>
      <c r="Q40" s="10" t="n">
        <v>0.23919982587309</v>
      </c>
      <c r="R40" s="9" t="n">
        <v>5.5</v>
      </c>
      <c r="S40" s="13" t="n">
        <f aca="false">IF(AND(ISNUMBER(R40),R40&gt;1,P40&gt;0),R40/P40-1,"")</f>
        <v>0.315599042301996</v>
      </c>
      <c r="T40" s="9" t="n">
        <f aca="false">IF(AND(ISNUMBER(P40),P40&gt;0),P40*EXP('Read me'!$B$22),"")</f>
        <v>5.10620253882709</v>
      </c>
    </row>
    <row r="41" customFormat="false" ht="15" hidden="false" customHeight="false" outlineLevel="0" collapsed="false">
      <c r="A41" s="11" t="s">
        <v>142</v>
      </c>
      <c r="B41" s="11" t="s">
        <v>56</v>
      </c>
      <c r="C41" s="11" t="s">
        <v>143</v>
      </c>
      <c r="D41" s="11" t="s">
        <v>241</v>
      </c>
      <c r="E41" s="12" t="n">
        <v>8.5</v>
      </c>
      <c r="F41" s="11" t="s">
        <v>242</v>
      </c>
      <c r="G41" s="8" t="n">
        <v>9</v>
      </c>
      <c r="H41" s="11" t="s">
        <v>452</v>
      </c>
      <c r="I41" s="11" t="s">
        <v>75</v>
      </c>
      <c r="J41" s="11" t="s">
        <v>66</v>
      </c>
      <c r="K41" s="8" t="n">
        <v>7</v>
      </c>
      <c r="L41" s="8" t="n">
        <v>84</v>
      </c>
      <c r="M41" s="8" t="n">
        <v>3</v>
      </c>
      <c r="N41" s="8" t="n">
        <v>43</v>
      </c>
      <c r="O41" s="8" t="n">
        <v>3</v>
      </c>
      <c r="P41" s="9" t="n">
        <v>5.58694472703069</v>
      </c>
      <c r="Q41" s="10" t="n">
        <v>0.178988704714012</v>
      </c>
      <c r="R41" s="9" t="n">
        <v>4.5</v>
      </c>
      <c r="S41" s="13" t="n">
        <f aca="false">IF(AND(ISNUMBER(R41),R41&gt;1,P41&gt;0),R41/P41-1,"")</f>
        <v>-0.194550828786947</v>
      </c>
      <c r="T41" s="9" t="n">
        <f aca="false">IF(AND(ISNUMBER(P41),P41&gt;0),P41*EXP('Read me'!$B$22),"")</f>
        <v>6.8239096992837</v>
      </c>
    </row>
    <row r="42" customFormat="false" ht="15" hidden="false" customHeight="false" outlineLevel="0" collapsed="false">
      <c r="A42" s="11" t="s">
        <v>142</v>
      </c>
      <c r="B42" s="11" t="s">
        <v>56</v>
      </c>
      <c r="C42" s="11" t="s">
        <v>143</v>
      </c>
      <c r="D42" s="11" t="s">
        <v>241</v>
      </c>
      <c r="E42" s="12" t="n">
        <v>8.5</v>
      </c>
      <c r="F42" s="11" t="s">
        <v>242</v>
      </c>
      <c r="G42" s="8" t="n">
        <v>9</v>
      </c>
      <c r="H42" s="11" t="s">
        <v>453</v>
      </c>
      <c r="I42" s="11" t="s">
        <v>454</v>
      </c>
      <c r="J42" s="11" t="s">
        <v>455</v>
      </c>
      <c r="K42" s="8" t="n">
        <v>8</v>
      </c>
      <c r="L42" s="8" t="n">
        <v>84</v>
      </c>
      <c r="M42" s="8" t="n">
        <v>3</v>
      </c>
      <c r="N42" s="8" t="n">
        <v>22</v>
      </c>
      <c r="O42" s="8" t="n">
        <v>4</v>
      </c>
      <c r="P42" s="9" t="n">
        <v>10.7589885522509</v>
      </c>
      <c r="Q42" s="10" t="n">
        <v>0.0929455399216673</v>
      </c>
      <c r="R42" s="9" t="n">
        <v>10</v>
      </c>
      <c r="S42" s="13" t="n">
        <f aca="false">IF(AND(ISNUMBER(R42),R42&gt;1,P42&gt;0),R42/P42-1,"")</f>
        <v>-0.0705446007833264</v>
      </c>
      <c r="T42" s="9" t="n">
        <f aca="false">IF(AND(ISNUMBER(P42),P42&gt;0),P42*EXP('Read me'!$B$22),"")</f>
        <v>13.141058292733</v>
      </c>
    </row>
    <row r="43" customFormat="false" ht="15" hidden="false" customHeight="false" outlineLevel="0" collapsed="false">
      <c r="A43" s="11" t="s">
        <v>142</v>
      </c>
      <c r="B43" s="11" t="s">
        <v>56</v>
      </c>
      <c r="C43" s="11" t="s">
        <v>143</v>
      </c>
      <c r="D43" s="11" t="s">
        <v>241</v>
      </c>
      <c r="E43" s="12" t="n">
        <v>8.5</v>
      </c>
      <c r="F43" s="11" t="s">
        <v>242</v>
      </c>
      <c r="G43" s="8" t="n">
        <v>9</v>
      </c>
      <c r="H43" s="11" t="s">
        <v>456</v>
      </c>
      <c r="I43" s="11" t="s">
        <v>457</v>
      </c>
      <c r="J43" s="11" t="s">
        <v>458</v>
      </c>
      <c r="K43" s="8" t="n">
        <v>5</v>
      </c>
      <c r="L43" s="8" t="n">
        <v>75</v>
      </c>
      <c r="M43" s="8" t="n">
        <v>3</v>
      </c>
      <c r="N43" s="8" t="n">
        <v>17</v>
      </c>
      <c r="O43" s="8" t="n">
        <v>5</v>
      </c>
      <c r="P43" s="9" t="n">
        <v>11.0004150507797</v>
      </c>
      <c r="Q43" s="10" t="n">
        <v>0.0909056608667795</v>
      </c>
      <c r="R43" s="9" t="n">
        <v>7.5</v>
      </c>
      <c r="S43" s="13" t="n">
        <f aca="false">IF(AND(ISNUMBER(R43),R43&gt;1,P43&gt;0),R43/P43-1,"")</f>
        <v>-0.318207543499153</v>
      </c>
      <c r="T43" s="9" t="n">
        <f aca="false">IF(AND(ISNUMBER(P43),P43&gt;0),P43*EXP('Read me'!$B$22),"")</f>
        <v>13.435937283929</v>
      </c>
    </row>
    <row r="44" customFormat="false" ht="15" hidden="false" customHeight="false" outlineLevel="0" collapsed="false">
      <c r="A44" s="11" t="s">
        <v>142</v>
      </c>
      <c r="B44" s="11" t="s">
        <v>56</v>
      </c>
      <c r="C44" s="11" t="s">
        <v>143</v>
      </c>
      <c r="D44" s="11" t="s">
        <v>241</v>
      </c>
      <c r="E44" s="12" t="n">
        <v>8.5</v>
      </c>
      <c r="F44" s="11" t="s">
        <v>242</v>
      </c>
      <c r="G44" s="8" t="n">
        <v>9</v>
      </c>
      <c r="H44" s="11" t="s">
        <v>459</v>
      </c>
      <c r="I44" s="11" t="s">
        <v>59</v>
      </c>
      <c r="J44" s="11" t="s">
        <v>460</v>
      </c>
      <c r="K44" s="8" t="n">
        <v>4</v>
      </c>
      <c r="L44" s="8" t="n">
        <v>84</v>
      </c>
      <c r="M44" s="8" t="n">
        <v>4</v>
      </c>
      <c r="N44" s="8" t="n">
        <v>23</v>
      </c>
      <c r="O44" s="8" t="n">
        <v>6</v>
      </c>
      <c r="P44" s="9" t="n">
        <v>13.8321556586598</v>
      </c>
      <c r="Q44" s="10" t="n">
        <v>0.0722953113511221</v>
      </c>
      <c r="R44" s="9" t="n">
        <v>11</v>
      </c>
      <c r="S44" s="13" t="n">
        <f aca="false">IF(AND(ISNUMBER(R44),R44&gt;1,P44&gt;0),R44/P44-1,"")</f>
        <v>-0.204751575137656</v>
      </c>
      <c r="T44" s="9" t="n">
        <f aca="false">IF(AND(ISNUMBER(P44),P44&gt;0),P44*EXP('Read me'!$B$22),"")</f>
        <v>16.8946330727879</v>
      </c>
    </row>
    <row r="45" customFormat="false" ht="15" hidden="false" customHeight="false" outlineLevel="0" collapsed="false">
      <c r="A45" s="11" t="s">
        <v>142</v>
      </c>
      <c r="B45" s="11" t="s">
        <v>56</v>
      </c>
      <c r="C45" s="11" t="s">
        <v>143</v>
      </c>
      <c r="D45" s="11" t="s">
        <v>241</v>
      </c>
      <c r="E45" s="12" t="n">
        <v>8.5</v>
      </c>
      <c r="F45" s="11" t="s">
        <v>242</v>
      </c>
      <c r="G45" s="8" t="n">
        <v>9</v>
      </c>
      <c r="H45" s="11" t="s">
        <v>461</v>
      </c>
      <c r="I45" s="11" t="s">
        <v>462</v>
      </c>
      <c r="J45" s="11" t="s">
        <v>395</v>
      </c>
      <c r="K45" s="8" t="n">
        <v>6</v>
      </c>
      <c r="L45" s="8" t="n">
        <v>66</v>
      </c>
      <c r="M45" s="8" t="n">
        <v>4</v>
      </c>
      <c r="N45" s="8" t="n">
        <v>17</v>
      </c>
      <c r="O45" s="8" t="n">
        <v>7</v>
      </c>
      <c r="P45" s="9" t="n">
        <v>28.4123141194663</v>
      </c>
      <c r="Q45" s="10" t="n">
        <v>0.0351960067664767</v>
      </c>
      <c r="R45" s="9" t="n">
        <v>17</v>
      </c>
      <c r="S45" s="13" t="n">
        <f aca="false">IF(AND(ISNUMBER(R45),R45&gt;1,P45&gt;0),R45/P45-1,"")</f>
        <v>-0.401667884969895</v>
      </c>
      <c r="T45" s="9" t="n">
        <f aca="false">IF(AND(ISNUMBER(P45),P45&gt;0),P45*EXP('Read me'!$B$22),"")</f>
        <v>34.7028788312293</v>
      </c>
    </row>
    <row r="46" customFormat="false" ht="15" hidden="false" customHeight="false" outlineLevel="0" collapsed="false">
      <c r="A46" s="11" t="s">
        <v>142</v>
      </c>
      <c r="B46" s="11" t="s">
        <v>56</v>
      </c>
      <c r="C46" s="11" t="s">
        <v>143</v>
      </c>
      <c r="D46" s="11" t="s">
        <v>241</v>
      </c>
      <c r="E46" s="12" t="n">
        <v>8.5</v>
      </c>
      <c r="F46" s="11" t="s">
        <v>242</v>
      </c>
      <c r="G46" s="8" t="n">
        <v>9</v>
      </c>
      <c r="H46" s="11" t="s">
        <v>463</v>
      </c>
      <c r="I46" s="11" t="s">
        <v>464</v>
      </c>
      <c r="J46" s="11" t="s">
        <v>465</v>
      </c>
      <c r="K46" s="8" t="n">
        <v>3</v>
      </c>
      <c r="L46" s="8" t="n">
        <v>77</v>
      </c>
      <c r="M46" s="8" t="n">
        <v>5</v>
      </c>
      <c r="N46" s="8" t="n">
        <v>29</v>
      </c>
      <c r="O46" s="8" t="n">
        <v>8</v>
      </c>
      <c r="P46" s="9" t="n">
        <v>29.7032925827513</v>
      </c>
      <c r="Q46" s="10" t="n">
        <v>0.0336663013776695</v>
      </c>
      <c r="R46" s="9" t="n">
        <v>15</v>
      </c>
      <c r="S46" s="13" t="n">
        <f aca="false">IF(AND(ISNUMBER(R46),R46&gt;1,P46&gt;0),R46/P46-1,"")</f>
        <v>-0.495005479334957</v>
      </c>
      <c r="T46" s="9" t="n">
        <f aca="false">IF(AND(ISNUMBER(P46),P46&gt;0),P46*EXP('Read me'!$B$22),"")</f>
        <v>36.2796834870109</v>
      </c>
    </row>
    <row r="47" customFormat="false" ht="15" hidden="false" customHeight="false" outlineLevel="0" collapsed="false">
      <c r="A47" s="11" t="s">
        <v>142</v>
      </c>
      <c r="B47" s="11" t="s">
        <v>56</v>
      </c>
      <c r="C47" s="11" t="s">
        <v>143</v>
      </c>
      <c r="D47" s="11" t="s">
        <v>241</v>
      </c>
      <c r="E47" s="12" t="n">
        <v>8.5</v>
      </c>
      <c r="F47" s="11" t="s">
        <v>242</v>
      </c>
      <c r="G47" s="8" t="n">
        <v>9</v>
      </c>
      <c r="H47" s="11" t="s">
        <v>466</v>
      </c>
      <c r="I47" s="11" t="s">
        <v>258</v>
      </c>
      <c r="J47" s="11" t="s">
        <v>467</v>
      </c>
      <c r="K47" s="8" t="n">
        <v>9</v>
      </c>
      <c r="L47" s="8" t="n">
        <v>74</v>
      </c>
      <c r="M47" s="8" t="n">
        <v>3</v>
      </c>
      <c r="N47" s="8" t="n">
        <v>17</v>
      </c>
      <c r="O47" s="8" t="n">
        <v>9</v>
      </c>
      <c r="P47" s="9" t="n">
        <v>84.9827979298576</v>
      </c>
      <c r="Q47" s="10" t="n">
        <v>0.0117670872736547</v>
      </c>
      <c r="R47" s="9" t="n">
        <v>29</v>
      </c>
      <c r="S47" s="13" t="n">
        <f aca="false">IF(AND(ISNUMBER(R47),R47&gt;1,P47&gt;0),R47/P47-1,"")</f>
        <v>-0.658754469064013</v>
      </c>
      <c r="T47" s="9" t="n">
        <f aca="false">IF(AND(ISNUMBER(P47),P47&gt;0),P47*EXP('Read me'!$B$22),"")</f>
        <v>103.798223787696</v>
      </c>
    </row>
    <row r="48" customFormat="false" ht="15" hidden="false" customHeight="false" outlineLevel="0" collapsed="false">
      <c r="A48" s="11" t="s">
        <v>158</v>
      </c>
      <c r="B48" s="11" t="s">
        <v>56</v>
      </c>
      <c r="C48" s="11" t="s">
        <v>159</v>
      </c>
      <c r="D48" s="11" t="s">
        <v>241</v>
      </c>
      <c r="E48" s="12" t="n">
        <v>7</v>
      </c>
      <c r="F48" s="11" t="s">
        <v>242</v>
      </c>
      <c r="G48" s="8" t="n">
        <v>10</v>
      </c>
      <c r="H48" s="11" t="s">
        <v>160</v>
      </c>
      <c r="I48" s="11" t="s">
        <v>161</v>
      </c>
      <c r="J48" s="11" t="s">
        <v>162</v>
      </c>
      <c r="K48" s="8" t="n">
        <v>1</v>
      </c>
      <c r="L48" s="8" t="n">
        <v>79</v>
      </c>
      <c r="M48" s="8" t="n">
        <v>4</v>
      </c>
      <c r="N48" s="8" t="n">
        <v>17</v>
      </c>
      <c r="O48" s="8" t="n">
        <v>1</v>
      </c>
      <c r="P48" s="9" t="n">
        <v>4.33854368130244</v>
      </c>
      <c r="Q48" s="10" t="n">
        <v>0.230492089847946</v>
      </c>
      <c r="R48" s="9" t="n">
        <v>3.5</v>
      </c>
      <c r="S48" s="13" t="n">
        <f aca="false">IF(AND(ISNUMBER(R48),R48&gt;1,P48&gt;0),R48/P48-1,"")</f>
        <v>-0.19327768553219</v>
      </c>
      <c r="T48" s="9" t="n">
        <f aca="false">IF(AND(ISNUMBER(P48),P48&gt;0),P48*EXP('Read me'!$B$22),"")</f>
        <v>5.29910921874118</v>
      </c>
    </row>
    <row r="49" customFormat="false" ht="15" hidden="false" customHeight="false" outlineLevel="0" collapsed="false">
      <c r="A49" s="11" t="s">
        <v>158</v>
      </c>
      <c r="B49" s="11" t="s">
        <v>56</v>
      </c>
      <c r="C49" s="11" t="s">
        <v>159</v>
      </c>
      <c r="D49" s="11" t="s">
        <v>241</v>
      </c>
      <c r="E49" s="12" t="n">
        <v>7</v>
      </c>
      <c r="F49" s="11" t="s">
        <v>242</v>
      </c>
      <c r="G49" s="8" t="n">
        <v>10</v>
      </c>
      <c r="H49" s="11" t="s">
        <v>163</v>
      </c>
      <c r="I49" s="11" t="s">
        <v>390</v>
      </c>
      <c r="J49" s="11" t="s">
        <v>391</v>
      </c>
      <c r="K49" s="8" t="n">
        <v>5</v>
      </c>
      <c r="L49" s="8" t="n">
        <v>75</v>
      </c>
      <c r="M49" s="8" t="n">
        <v>5</v>
      </c>
      <c r="N49" s="8" t="n">
        <v>17</v>
      </c>
      <c r="O49" s="8" t="n">
        <v>2</v>
      </c>
      <c r="P49" s="9" t="n">
        <v>6.7629404279676</v>
      </c>
      <c r="Q49" s="10" t="n">
        <v>0.147864676711417</v>
      </c>
      <c r="R49" s="9" t="n">
        <v>5</v>
      </c>
      <c r="S49" s="13" t="n">
        <f aca="false">IF(AND(ISNUMBER(R49),R49&gt;1,P49&gt;0),R49/P49-1,"")</f>
        <v>-0.260676616442916</v>
      </c>
      <c r="T49" s="9" t="n">
        <f aca="false">IF(AND(ISNUMBER(P49),P49&gt;0),P49*EXP('Read me'!$B$22),"")</f>
        <v>8.26027409199255</v>
      </c>
    </row>
    <row r="50" customFormat="false" ht="15" hidden="false" customHeight="false" outlineLevel="0" collapsed="false">
      <c r="A50" s="11" t="s">
        <v>158</v>
      </c>
      <c r="B50" s="11" t="s">
        <v>56</v>
      </c>
      <c r="C50" s="11" t="s">
        <v>159</v>
      </c>
      <c r="D50" s="11" t="s">
        <v>241</v>
      </c>
      <c r="E50" s="12" t="n">
        <v>7</v>
      </c>
      <c r="F50" s="11" t="s">
        <v>242</v>
      </c>
      <c r="G50" s="8" t="n">
        <v>10</v>
      </c>
      <c r="H50" s="11" t="s">
        <v>491</v>
      </c>
      <c r="I50" s="11" t="s">
        <v>311</v>
      </c>
      <c r="J50" s="11" t="s">
        <v>312</v>
      </c>
      <c r="K50" s="8" t="n">
        <v>6</v>
      </c>
      <c r="L50" s="8" t="n">
        <v>70</v>
      </c>
      <c r="M50" s="8" t="n">
        <v>4</v>
      </c>
      <c r="N50" s="8" t="n">
        <v>23</v>
      </c>
      <c r="O50" s="8" t="n">
        <v>3</v>
      </c>
      <c r="P50" s="9" t="n">
        <v>7.69252573007377</v>
      </c>
      <c r="Q50" s="10" t="n">
        <v>0.129996315266197</v>
      </c>
      <c r="R50" s="9" t="n">
        <v>6</v>
      </c>
      <c r="S50" s="13" t="n">
        <f aca="false">IF(AND(ISNUMBER(R50),R50&gt;1,P50&gt;0),R50/P50-1,"")</f>
        <v>-0.220022108402819</v>
      </c>
      <c r="T50" s="9" t="n">
        <f aca="false">IF(AND(ISNUMBER(P50),P50&gt;0),P50*EXP('Read me'!$B$22),"")</f>
        <v>9.39567214393017</v>
      </c>
    </row>
    <row r="51" customFormat="false" ht="15" hidden="false" customHeight="false" outlineLevel="0" collapsed="false">
      <c r="A51" s="11" t="s">
        <v>158</v>
      </c>
      <c r="B51" s="11" t="s">
        <v>56</v>
      </c>
      <c r="C51" s="11" t="s">
        <v>159</v>
      </c>
      <c r="D51" s="11" t="s">
        <v>241</v>
      </c>
      <c r="E51" s="12" t="n">
        <v>7</v>
      </c>
      <c r="F51" s="11" t="s">
        <v>242</v>
      </c>
      <c r="G51" s="8" t="n">
        <v>10</v>
      </c>
      <c r="H51" s="11" t="s">
        <v>492</v>
      </c>
      <c r="I51" s="11" t="s">
        <v>289</v>
      </c>
      <c r="J51" s="11" t="s">
        <v>249</v>
      </c>
      <c r="K51" s="8" t="n">
        <v>10</v>
      </c>
      <c r="L51" s="8" t="n">
        <v>75</v>
      </c>
      <c r="M51" s="8" t="n">
        <v>3</v>
      </c>
      <c r="N51" s="8" t="n">
        <v>9</v>
      </c>
      <c r="O51" s="8" t="n">
        <v>4</v>
      </c>
      <c r="P51" s="9" t="n">
        <v>7.91218429755934</v>
      </c>
      <c r="Q51" s="10" t="n">
        <v>0.126387349231548</v>
      </c>
      <c r="R51" s="9" t="n">
        <v>6</v>
      </c>
      <c r="S51" s="13" t="n">
        <f aca="false">IF(AND(ISNUMBER(R51),R51&gt;1,P51&gt;0),R51/P51-1,"")</f>
        <v>-0.241675904610714</v>
      </c>
      <c r="T51" s="9" t="n">
        <f aca="false">IF(AND(ISNUMBER(P51),P51&gt;0),P51*EXP('Read me'!$B$22),"")</f>
        <v>9.66396372411056</v>
      </c>
    </row>
    <row r="52" customFormat="false" ht="15" hidden="false" customHeight="false" outlineLevel="0" collapsed="false">
      <c r="A52" s="11" t="s">
        <v>158</v>
      </c>
      <c r="B52" s="11" t="s">
        <v>56</v>
      </c>
      <c r="C52" s="11" t="s">
        <v>159</v>
      </c>
      <c r="D52" s="11" t="s">
        <v>241</v>
      </c>
      <c r="E52" s="12" t="n">
        <v>7</v>
      </c>
      <c r="F52" s="11" t="s">
        <v>242</v>
      </c>
      <c r="G52" s="8" t="n">
        <v>10</v>
      </c>
      <c r="H52" s="11" t="s">
        <v>493</v>
      </c>
      <c r="I52" s="11" t="s">
        <v>75</v>
      </c>
      <c r="J52" s="11" t="s">
        <v>377</v>
      </c>
      <c r="K52" s="8" t="n">
        <v>3</v>
      </c>
      <c r="L52" s="8" t="n">
        <v>78</v>
      </c>
      <c r="M52" s="8" t="n">
        <v>4</v>
      </c>
      <c r="N52" s="8" t="n">
        <v>32</v>
      </c>
      <c r="O52" s="8" t="n">
        <v>5</v>
      </c>
      <c r="P52" s="9" t="n">
        <v>7.96485017360906</v>
      </c>
      <c r="Q52" s="10" t="n">
        <v>0.125551639792727</v>
      </c>
      <c r="R52" s="9" t="n">
        <v>11</v>
      </c>
      <c r="S52" s="13" t="n">
        <f aca="false">IF(AND(ISNUMBER(R52),R52&gt;1,P52&gt;0),R52/P52-1,"")</f>
        <v>0.381068037719993</v>
      </c>
      <c r="T52" s="9" t="n">
        <f aca="false">IF(AND(ISNUMBER(P52),P52&gt;0),P52*EXP('Read me'!$B$22),"")</f>
        <v>9.72828997037861</v>
      </c>
    </row>
    <row r="53" customFormat="false" ht="15" hidden="false" customHeight="false" outlineLevel="0" collapsed="false">
      <c r="A53" s="11" t="s">
        <v>158</v>
      </c>
      <c r="B53" s="11" t="s">
        <v>56</v>
      </c>
      <c r="C53" s="11" t="s">
        <v>159</v>
      </c>
      <c r="D53" s="11" t="s">
        <v>241</v>
      </c>
      <c r="E53" s="12" t="n">
        <v>7</v>
      </c>
      <c r="F53" s="11" t="s">
        <v>242</v>
      </c>
      <c r="G53" s="8" t="n">
        <v>10</v>
      </c>
      <c r="H53" s="11" t="s">
        <v>494</v>
      </c>
      <c r="I53" s="11" t="s">
        <v>495</v>
      </c>
      <c r="J53" s="11" t="s">
        <v>309</v>
      </c>
      <c r="K53" s="8" t="n">
        <v>8</v>
      </c>
      <c r="L53" s="8" t="n">
        <v>74</v>
      </c>
      <c r="M53" s="8" t="n">
        <v>3</v>
      </c>
      <c r="N53" s="8" t="n">
        <v>16</v>
      </c>
      <c r="O53" s="8" t="n">
        <v>6</v>
      </c>
      <c r="P53" s="9" t="n">
        <v>10.8227521648488</v>
      </c>
      <c r="Q53" s="10" t="n">
        <v>0.0923979395229892</v>
      </c>
      <c r="R53" s="9" t="n">
        <v>11</v>
      </c>
      <c r="S53" s="13" t="n">
        <f aca="false">IF(AND(ISNUMBER(R53),R53&gt;1,P53&gt;0),R53/P53-1,"")</f>
        <v>0.0163773347528813</v>
      </c>
      <c r="T53" s="9" t="n">
        <f aca="false">IF(AND(ISNUMBER(P53),P53&gt;0),P53*EXP('Read me'!$B$22),"")</f>
        <v>13.2189393450303</v>
      </c>
    </row>
    <row r="54" customFormat="false" ht="15" hidden="false" customHeight="false" outlineLevel="0" collapsed="false">
      <c r="A54" s="11" t="s">
        <v>158</v>
      </c>
      <c r="B54" s="11" t="s">
        <v>56</v>
      </c>
      <c r="C54" s="11" t="s">
        <v>159</v>
      </c>
      <c r="D54" s="11" t="s">
        <v>241</v>
      </c>
      <c r="E54" s="12" t="n">
        <v>7</v>
      </c>
      <c r="F54" s="11" t="s">
        <v>242</v>
      </c>
      <c r="G54" s="8" t="n">
        <v>10</v>
      </c>
      <c r="H54" s="11" t="s">
        <v>496</v>
      </c>
      <c r="I54" s="11" t="s">
        <v>253</v>
      </c>
      <c r="J54" s="11" t="s">
        <v>497</v>
      </c>
      <c r="K54" s="8" t="n">
        <v>9</v>
      </c>
      <c r="L54" s="8" t="n">
        <v>75</v>
      </c>
      <c r="M54" s="8" t="n">
        <v>6</v>
      </c>
      <c r="N54" s="8" t="n">
        <v>22</v>
      </c>
      <c r="O54" s="8" t="n">
        <v>7</v>
      </c>
      <c r="P54" s="9" t="n">
        <v>14.5089139281041</v>
      </c>
      <c r="Q54" s="10" t="n">
        <v>0.0689231464846569</v>
      </c>
      <c r="R54" s="9" t="n">
        <v>10</v>
      </c>
      <c r="S54" s="13" t="n">
        <f aca="false">IF(AND(ISNUMBER(R54),R54&gt;1,P54&gt;0),R54/P54-1,"")</f>
        <v>-0.31076853515343</v>
      </c>
      <c r="T54" s="9" t="n">
        <f aca="false">IF(AND(ISNUMBER(P54),P54&gt;0),P54*EXP('Read me'!$B$22),"")</f>
        <v>17.7212274896949</v>
      </c>
    </row>
    <row r="55" customFormat="false" ht="15" hidden="false" customHeight="false" outlineLevel="0" collapsed="false">
      <c r="A55" s="11" t="s">
        <v>158</v>
      </c>
      <c r="B55" s="11" t="s">
        <v>56</v>
      </c>
      <c r="C55" s="11" t="s">
        <v>159</v>
      </c>
      <c r="D55" s="11" t="s">
        <v>241</v>
      </c>
      <c r="E55" s="12" t="n">
        <v>7</v>
      </c>
      <c r="F55" s="11" t="s">
        <v>242</v>
      </c>
      <c r="G55" s="8" t="n">
        <v>10</v>
      </c>
      <c r="H55" s="11" t="s">
        <v>498</v>
      </c>
      <c r="I55" s="11" t="s">
        <v>464</v>
      </c>
      <c r="J55" s="11" t="s">
        <v>499</v>
      </c>
      <c r="K55" s="8" t="n">
        <v>7</v>
      </c>
      <c r="L55" s="8" t="n">
        <v>70</v>
      </c>
      <c r="M55" s="8" t="n">
        <v>3</v>
      </c>
      <c r="N55" s="8" t="n">
        <v>27</v>
      </c>
      <c r="O55" s="8" t="n">
        <v>8</v>
      </c>
      <c r="P55" s="9" t="n">
        <v>31.0243168877554</v>
      </c>
      <c r="Q55" s="10" t="n">
        <v>0.0322327806158619</v>
      </c>
      <c r="R55" s="9" t="n">
        <v>26</v>
      </c>
      <c r="S55" s="13" t="n">
        <f aca="false">IF(AND(ISNUMBER(R55),R55&gt;1,P55&gt;0),R55/P55-1,"")</f>
        <v>-0.161947703987591</v>
      </c>
      <c r="T55" s="9" t="n">
        <f aca="false">IF(AND(ISNUMBER(P55),P55&gt;0),P55*EXP('Read me'!$B$22),"")</f>
        <v>37.8931862167396</v>
      </c>
    </row>
    <row r="56" customFormat="false" ht="15" hidden="false" customHeight="false" outlineLevel="0" collapsed="false">
      <c r="A56" s="11" t="s">
        <v>158</v>
      </c>
      <c r="B56" s="11" t="s">
        <v>56</v>
      </c>
      <c r="C56" s="11" t="s">
        <v>159</v>
      </c>
      <c r="D56" s="11" t="s">
        <v>241</v>
      </c>
      <c r="E56" s="12" t="n">
        <v>7</v>
      </c>
      <c r="F56" s="11" t="s">
        <v>242</v>
      </c>
      <c r="G56" s="8" t="n">
        <v>10</v>
      </c>
      <c r="H56" s="11" t="s">
        <v>500</v>
      </c>
      <c r="I56" s="11" t="s">
        <v>258</v>
      </c>
      <c r="J56" s="11" t="s">
        <v>377</v>
      </c>
      <c r="K56" s="8" t="n">
        <v>2</v>
      </c>
      <c r="L56" s="8" t="n">
        <v>62</v>
      </c>
      <c r="M56" s="8" t="n">
        <v>4</v>
      </c>
      <c r="N56" s="8" t="n">
        <v>10</v>
      </c>
      <c r="O56" s="8" t="n">
        <v>9</v>
      </c>
      <c r="P56" s="9" t="n">
        <v>36.5946902668167</v>
      </c>
      <c r="Q56" s="10" t="n">
        <v>0.0273263687357064</v>
      </c>
      <c r="R56" s="9" t="n">
        <v>34</v>
      </c>
      <c r="S56" s="13" t="n">
        <f aca="false">IF(AND(ISNUMBER(R56),R56&gt;1,P56&gt;0),R56/P56-1,"")</f>
        <v>-0.0709034629859814</v>
      </c>
      <c r="T56" s="9" t="n">
        <f aca="false">IF(AND(ISNUMBER(P56),P56&gt;0),P56*EXP('Read me'!$B$22),"")</f>
        <v>44.696855625907</v>
      </c>
    </row>
    <row r="57" customFormat="false" ht="15" hidden="false" customHeight="false" outlineLevel="0" collapsed="false">
      <c r="A57" s="11" t="s">
        <v>158</v>
      </c>
      <c r="B57" s="11" t="s">
        <v>56</v>
      </c>
      <c r="C57" s="11" t="s">
        <v>159</v>
      </c>
      <c r="D57" s="11" t="s">
        <v>241</v>
      </c>
      <c r="E57" s="12" t="n">
        <v>7</v>
      </c>
      <c r="F57" s="11" t="s">
        <v>242</v>
      </c>
      <c r="G57" s="8" t="n">
        <v>10</v>
      </c>
      <c r="H57" s="11" t="s">
        <v>501</v>
      </c>
      <c r="I57" s="11" t="s">
        <v>457</v>
      </c>
      <c r="J57" s="11" t="s">
        <v>502</v>
      </c>
      <c r="K57" s="8" t="n">
        <v>4</v>
      </c>
      <c r="L57" s="8" t="n">
        <v>67</v>
      </c>
      <c r="M57" s="8" t="n">
        <v>3</v>
      </c>
      <c r="N57" s="8" t="n">
        <v>87</v>
      </c>
      <c r="O57" s="8" t="n">
        <v>10</v>
      </c>
      <c r="P57" s="9" t="n">
        <v>53.1132496153393</v>
      </c>
      <c r="Q57" s="10" t="n">
        <v>0.0188276937909518</v>
      </c>
      <c r="R57" s="9" t="n">
        <v>51</v>
      </c>
      <c r="S57" s="13" t="n">
        <f aca="false">IF(AND(ISNUMBER(R57),R57&gt;1,P57&gt;0),R57/P57-1,"")</f>
        <v>-0.0397876166614551</v>
      </c>
      <c r="T57" s="9" t="n">
        <f aca="false">IF(AND(ISNUMBER(P57),P57&gt;0),P57*EXP('Read me'!$B$22),"")</f>
        <v>64.872669575025</v>
      </c>
    </row>
  </sheetData>
  <autoFilter ref="A1:T57"/>
  <conditionalFormatting sqref="A2:T57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2026-09-27T12:03:18Z</dcterms:created>
  <dc:creator>openpyxl</dc:creator>
  <dc:description/>
  <dc:language>en-US</dc:language>
  <cp:lastModifiedBy/>
  <dcterms:modified xsi:type="dcterms:W3CDTF">2026-09-27T12:03:18Z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